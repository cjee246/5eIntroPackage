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7.xml" ContentType="application/vnd.openxmlformats-officedocument.spreadsheetml.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8.xml" ContentType="application/vnd.openxmlformats-officedocument.spreadsheetml.table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9.xml" ContentType="application/vnd.openxmlformats-officedocument.spreadsheetml.tab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20.xml" ContentType="application/vnd.openxmlformats-officedocument.spreadsheetml.tab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21.xml" ContentType="application/vnd.openxmlformats-officedocument.spreadsheetml.table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tables/table22.xml" ContentType="application/vnd.openxmlformats-officedocument.spreadsheetml.table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tables/table23.xml" ContentType="application/vnd.openxmlformats-officedocument.spreadsheetml.table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jee2\Google Drive\Personal\D&amp;D\D&amp;D - Game Master\One-Shot Project\Adventures\The Magic Basket\"/>
    </mc:Choice>
  </mc:AlternateContent>
  <xr:revisionPtr revIDLastSave="0" documentId="13_ncr:1_{FBE2D0BE-873D-4003-A985-692DAEA9781E}" xr6:coauthVersionLast="32" xr6:coauthVersionMax="32" xr10:uidLastSave="{00000000-0000-0000-0000-000000000000}"/>
  <bookViews>
    <workbookView xWindow="7080" yWindow="465" windowWidth="27315" windowHeight="15360" tabRatio="500" firstSheet="4" activeTab="5" xr2:uid="{00000000-000D-0000-FFFF-FFFF00000000}"/>
  </bookViews>
  <sheets>
    <sheet name="Calc Tables" sheetId="5" state="hidden" r:id="rId1"/>
    <sheet name="Database" sheetId="2" r:id="rId2"/>
    <sheet name="Party Power" sheetId="4" r:id="rId3"/>
    <sheet name="Encounter Template" sheetId="13" r:id="rId4"/>
    <sheet name="1) Cave Mouth" sheetId="14" r:id="rId5"/>
    <sheet name="_1) Cave Mouth" sheetId="15" r:id="rId6"/>
    <sheet name="2) Kennel" sheetId="16" r:id="rId7"/>
    <sheet name="3) Passageway" sheetId="17" r:id="rId8"/>
    <sheet name="4) The Dams" sheetId="18" r:id="rId9"/>
    <sheet name="5) Living Quarters" sheetId="19" r:id="rId10"/>
  </sheets>
  <functionGroups builtInGroupCount="19"/>
  <definedNames>
    <definedName name="encCalc" localSheetId="5">'_1) Cave Mouth'!$AC$4</definedName>
    <definedName name="encCalc" localSheetId="4">'1) Cave Mouth'!$AC$4</definedName>
    <definedName name="encCalc" localSheetId="6">'2) Kennel'!$AC$4</definedName>
    <definedName name="encCalc" localSheetId="7">'3) Passageway'!$AC$4</definedName>
    <definedName name="encCalc" localSheetId="8">'4) The Dams'!$AC$4</definedName>
    <definedName name="encCalc" localSheetId="9">'5) Living Quarters'!$AC$4</definedName>
    <definedName name="encCalc">'Encounter Template'!$AC$4</definedName>
    <definedName name="encDeadly" localSheetId="5">'_1) Cave Mouth'!$AC$8</definedName>
    <definedName name="encDeadly" localSheetId="4">'1) Cave Mouth'!$AC$8</definedName>
    <definedName name="encDeadly" localSheetId="6">'2) Kennel'!$AC$8</definedName>
    <definedName name="encDeadly" localSheetId="7">'3) Passageway'!$AC$8</definedName>
    <definedName name="encDeadly" localSheetId="8">'4) The Dams'!$AC$8</definedName>
    <definedName name="encDeadly" localSheetId="9">'5) Living Quarters'!$AC$8</definedName>
    <definedName name="encDeadly">'Encounter Template'!$AC$8</definedName>
    <definedName name="encDiff" localSheetId="5">'_1) Cave Mouth'!$Z$4</definedName>
    <definedName name="encDiff" localSheetId="4">'1) Cave Mouth'!$Z$4</definedName>
    <definedName name="encDiff" localSheetId="6">'2) Kennel'!$Z$4</definedName>
    <definedName name="encDiff" localSheetId="7">'3) Passageway'!$Z$4</definedName>
    <definedName name="encDiff" localSheetId="8">'4) The Dams'!$Z$4</definedName>
    <definedName name="encDiff" localSheetId="9">'5) Living Quarters'!$Z$4</definedName>
    <definedName name="encDiff">'Encounter Template'!$Z$4</definedName>
    <definedName name="encEasy" localSheetId="5">'_1) Cave Mouth'!$AC$5</definedName>
    <definedName name="encEasy" localSheetId="4">'1) Cave Mouth'!$AC$5</definedName>
    <definedName name="encEasy" localSheetId="6">'2) Kennel'!$AC$5</definedName>
    <definedName name="encEasy" localSheetId="7">'3) Passageway'!$AC$5</definedName>
    <definedName name="encEasy" localSheetId="8">'4) The Dams'!$AC$5</definedName>
    <definedName name="encEasy" localSheetId="9">'5) Living Quarters'!$AC$5</definedName>
    <definedName name="encEasy">'Encounter Template'!$AC$5</definedName>
    <definedName name="encHard" localSheetId="5">'_1) Cave Mouth'!$AC$7</definedName>
    <definedName name="encHard" localSheetId="4">'1) Cave Mouth'!$AC$7</definedName>
    <definedName name="encHard" localSheetId="6">'2) Kennel'!$AC$7</definedName>
    <definedName name="encHard" localSheetId="7">'3) Passageway'!$AC$7</definedName>
    <definedName name="encHard" localSheetId="8">'4) The Dams'!$AC$7</definedName>
    <definedName name="encHard" localSheetId="9">'5) Living Quarters'!$AC$7</definedName>
    <definedName name="encHard">'Encounter Template'!$AC$7</definedName>
    <definedName name="encMed" localSheetId="5">'_1) Cave Mouth'!$AC$6</definedName>
    <definedName name="encMed" localSheetId="4">'1) Cave Mouth'!$AC$6</definedName>
    <definedName name="encMed" localSheetId="6">'2) Kennel'!$AC$6</definedName>
    <definedName name="encMed" localSheetId="7">'3) Passageway'!$AC$6</definedName>
    <definedName name="encMed" localSheetId="8">'4) The Dams'!$AC$6</definedName>
    <definedName name="encMed" localSheetId="9">'5) Living Quarters'!$AC$6</definedName>
    <definedName name="encMed">'Encounter Template'!$AC$6</definedName>
    <definedName name="encMobCount" localSheetId="5">'_1) Cave Mouth'!$AA$5</definedName>
    <definedName name="encMobCount" localSheetId="4">'1) Cave Mouth'!$AA$5</definedName>
    <definedName name="encMobCount" localSheetId="6">'2) Kennel'!$AA$5</definedName>
    <definedName name="encMobCount" localSheetId="7">'3) Passageway'!$AA$5</definedName>
    <definedName name="encMobCount" localSheetId="8">'4) The Dams'!$AA$5</definedName>
    <definedName name="encMobCount" localSheetId="9">'5) Living Quarters'!$AA$5</definedName>
    <definedName name="encMobCount">'Encounter Template'!$AA$5</definedName>
    <definedName name="encMobCountMod" localSheetId="5">'_1) Cave Mouth'!$AA$6</definedName>
    <definedName name="encMobCountMod" localSheetId="4">'1) Cave Mouth'!$AA$6</definedName>
    <definedName name="encMobCountMod" localSheetId="6">'2) Kennel'!$AA$6</definedName>
    <definedName name="encMobCountMod" localSheetId="7">'3) Passageway'!$AA$6</definedName>
    <definedName name="encMobCountMod" localSheetId="8">'4) The Dams'!$AA$6</definedName>
    <definedName name="encMobCountMod" localSheetId="9">'5) Living Quarters'!$AA$6</definedName>
    <definedName name="encMobCountMod">'Encounter Template'!$AA$6</definedName>
    <definedName name="encMobSize" localSheetId="5">'_1) Cave Mouth'!$Z$5</definedName>
    <definedName name="encMobSize" localSheetId="4">'1) Cave Mouth'!$Z$5</definedName>
    <definedName name="encMobSize" localSheetId="6">'2) Kennel'!$Z$5</definedName>
    <definedName name="encMobSize" localSheetId="7">'3) Passageway'!$Z$5</definedName>
    <definedName name="encMobSize" localSheetId="8">'4) The Dams'!$Z$5</definedName>
    <definedName name="encMobSize" localSheetId="9">'5) Living Quarters'!$Z$5</definedName>
    <definedName name="encMobSize">'Encounter Template'!$Z$5</definedName>
    <definedName name="encPartyCount" localSheetId="5">'_1) Cave Mouth'!$AA$7</definedName>
    <definedName name="encPartyCount" localSheetId="4">'1) Cave Mouth'!$AA$7</definedName>
    <definedName name="encPartyCount" localSheetId="6">'2) Kennel'!$AA$7</definedName>
    <definedName name="encPartyCount" localSheetId="7">'3) Passageway'!$AA$7</definedName>
    <definedName name="encPartyCount" localSheetId="8">'4) The Dams'!$AA$7</definedName>
    <definedName name="encPartyCount" localSheetId="9">'5) Living Quarters'!$AA$7</definedName>
    <definedName name="encPartyCount">'Encounter Template'!$AA$7</definedName>
    <definedName name="encPartyCountMod" localSheetId="5">'_1) Cave Mouth'!$AA$8</definedName>
    <definedName name="encPartyCountMod" localSheetId="4">'1) Cave Mouth'!$AA$8</definedName>
    <definedName name="encPartyCountMod" localSheetId="6">'2) Kennel'!$AA$8</definedName>
    <definedName name="encPartyCountMod" localSheetId="7">'3) Passageway'!$AA$8</definedName>
    <definedName name="encPartyCountMod" localSheetId="8">'4) The Dams'!$AA$8</definedName>
    <definedName name="encPartyCountMod" localSheetId="9">'5) Living Quarters'!$AA$8</definedName>
    <definedName name="encPartyCountMod">'Encounter Template'!$AA$8</definedName>
    <definedName name="encPartySize" localSheetId="5">'_1) Cave Mouth'!$Z$7</definedName>
    <definedName name="encPartySize" localSheetId="4">'1) Cave Mouth'!$Z$7</definedName>
    <definedName name="encPartySize" localSheetId="6">'2) Kennel'!$Z$7</definedName>
    <definedName name="encPartySize" localSheetId="7">'3) Passageway'!$Z$7</definedName>
    <definedName name="encPartySize" localSheetId="8">'4) The Dams'!$Z$7</definedName>
    <definedName name="encPartySize" localSheetId="9">'5) Living Quarters'!$Z$7</definedName>
    <definedName name="encPartySize">'Encounter Template'!$Z$7</definedName>
    <definedName name="encPerXP" localSheetId="5">'_1) Cave Mouth'!$Z$10</definedName>
    <definedName name="encPerXP" localSheetId="4">'1) Cave Mouth'!$Z$10</definedName>
    <definedName name="encPerXP" localSheetId="6">'2) Kennel'!$Z$10</definedName>
    <definedName name="encPerXP" localSheetId="7">'3) Passageway'!$Z$10</definedName>
    <definedName name="encPerXP" localSheetId="8">'4) The Dams'!$Z$10</definedName>
    <definedName name="encPerXP" localSheetId="9">'5) Living Quarters'!$Z$10</definedName>
    <definedName name="encPerXP">'Encounter Template'!$Z$10</definedName>
    <definedName name="encTotalXP" localSheetId="5">'_1) Cave Mouth'!$Z$9</definedName>
    <definedName name="encTotalXP" localSheetId="4">'1) Cave Mouth'!$Z$9</definedName>
    <definedName name="encTotalXP" localSheetId="6">'2) Kennel'!$Z$9</definedName>
    <definedName name="encTotalXP" localSheetId="7">'3) Passageway'!$Z$9</definedName>
    <definedName name="encTotalXP" localSheetId="8">'4) The Dams'!$Z$9</definedName>
    <definedName name="encTotalXP" localSheetId="9">'5) Living Quarters'!$Z$9</definedName>
    <definedName name="encTotalXP">'Encounter Template'!$Z$9</definedName>
    <definedName name="mult1v1">'Calc Tables'!$M$6</definedName>
    <definedName name="roundLabel" localSheetId="5">'_1) Cave Mouth'!$Q$2</definedName>
    <definedName name="roundLabel" localSheetId="4">'1) Cave Mouth'!$Q$2</definedName>
    <definedName name="roundLabel" localSheetId="6">'2) Kennel'!$Q$2</definedName>
    <definedName name="roundLabel" localSheetId="7">'3) Passageway'!$Q$2</definedName>
    <definedName name="roundLabel" localSheetId="8">'4) The Dams'!$Q$2</definedName>
    <definedName name="roundLabel" localSheetId="9">'5) Living Quarters'!$Q$2</definedName>
    <definedName name="roundLabel">'Encounter Template'!$Q$2</definedName>
    <definedName name="roundNo" localSheetId="5">'_1) Cave Mouth'!$W$2</definedName>
    <definedName name="roundNo" localSheetId="4">'1) Cave Mouth'!$W$2</definedName>
    <definedName name="roundNo" localSheetId="6">'2) Kennel'!$W$2</definedName>
    <definedName name="roundNo" localSheetId="7">'3) Passageway'!$W$2</definedName>
    <definedName name="roundNo" localSheetId="8">'4) The Dams'!$W$2</definedName>
    <definedName name="roundNo" localSheetId="9">'5) Living Quarters'!$W$2</definedName>
    <definedName name="roundNo">'Encounter Template'!$W$2</definedName>
  </definedNames>
  <calcPr calcId="179017"/>
  <pivotCaches>
    <pivotCache cacheId="0" r:id="rId11"/>
  </pivotCaches>
</workbook>
</file>

<file path=xl/calcChain.xml><?xml version="1.0" encoding="utf-8"?>
<calcChain xmlns="http://schemas.openxmlformats.org/spreadsheetml/2006/main">
  <c r="B11" i="19" l="1"/>
  <c r="E11" i="19"/>
  <c r="F11" i="19"/>
  <c r="G11" i="19"/>
  <c r="H11" i="19"/>
  <c r="I11" i="19"/>
  <c r="K11" i="19"/>
  <c r="L11" i="19"/>
  <c r="M11" i="19"/>
  <c r="P11" i="19" s="1"/>
  <c r="O11" i="19"/>
  <c r="Q11" i="19"/>
  <c r="T11" i="19" s="1"/>
  <c r="R11" i="19"/>
  <c r="S11" i="19"/>
  <c r="U11" i="19"/>
  <c r="V11" i="19"/>
  <c r="W11" i="19" s="1"/>
  <c r="B10" i="19"/>
  <c r="E10" i="19"/>
  <c r="F10" i="19"/>
  <c r="G10" i="19"/>
  <c r="H10" i="19"/>
  <c r="I10" i="19"/>
  <c r="K10" i="19"/>
  <c r="L10" i="19"/>
  <c r="M10" i="19"/>
  <c r="O10" i="19"/>
  <c r="Q10" i="19"/>
  <c r="T10" i="19" s="1"/>
  <c r="V10" i="19"/>
  <c r="W10" i="19" s="1"/>
  <c r="B9" i="19"/>
  <c r="E9" i="19"/>
  <c r="F9" i="19"/>
  <c r="G9" i="19"/>
  <c r="H9" i="19"/>
  <c r="I9" i="19"/>
  <c r="K9" i="19"/>
  <c r="L9" i="19"/>
  <c r="M9" i="19"/>
  <c r="O9" i="19"/>
  <c r="Q9" i="19"/>
  <c r="R9" i="19" s="1"/>
  <c r="U9" i="19"/>
  <c r="V9" i="19"/>
  <c r="W9" i="19" s="1"/>
  <c r="W8" i="19"/>
  <c r="O8" i="19"/>
  <c r="M8" i="19"/>
  <c r="P8" i="19" s="1"/>
  <c r="L8" i="19"/>
  <c r="K8" i="19"/>
  <c r="I8" i="19"/>
  <c r="H8" i="19"/>
  <c r="G8" i="19"/>
  <c r="F8" i="19"/>
  <c r="E8" i="19"/>
  <c r="B8" i="19"/>
  <c r="AA7" i="19"/>
  <c r="Z7" i="19" s="1"/>
  <c r="W7" i="19"/>
  <c r="M7" i="19"/>
  <c r="P7" i="19" s="1"/>
  <c r="K7" i="19"/>
  <c r="I7" i="19"/>
  <c r="H7" i="19"/>
  <c r="G7" i="19"/>
  <c r="F7" i="19"/>
  <c r="E7" i="19"/>
  <c r="B7" i="19"/>
  <c r="W6" i="19"/>
  <c r="M6" i="19"/>
  <c r="P6" i="19" s="1"/>
  <c r="K6" i="19"/>
  <c r="I6" i="19"/>
  <c r="H6" i="19"/>
  <c r="G6" i="19"/>
  <c r="F6" i="19"/>
  <c r="E6" i="19"/>
  <c r="B6" i="19"/>
  <c r="AA5" i="19"/>
  <c r="Z5" i="19" s="1"/>
  <c r="W5" i="19"/>
  <c r="O5" i="19"/>
  <c r="M5" i="19"/>
  <c r="L5" i="19"/>
  <c r="K5" i="19"/>
  <c r="I5" i="19"/>
  <c r="H5" i="19"/>
  <c r="G5" i="19"/>
  <c r="AA17" i="19" s="1" a="1"/>
  <c r="AA17" i="19" s="1"/>
  <c r="F5" i="19"/>
  <c r="E5" i="19"/>
  <c r="B5" i="19"/>
  <c r="B10" i="18"/>
  <c r="E10" i="18"/>
  <c r="F10" i="18"/>
  <c r="G10" i="18"/>
  <c r="H10" i="18"/>
  <c r="I10" i="18"/>
  <c r="K10" i="18"/>
  <c r="L10" i="18"/>
  <c r="M10" i="18"/>
  <c r="P10" i="18" s="1"/>
  <c r="O10" i="18"/>
  <c r="B9" i="18"/>
  <c r="E9" i="18"/>
  <c r="F9" i="18"/>
  <c r="G9" i="18"/>
  <c r="H9" i="18"/>
  <c r="I9" i="18"/>
  <c r="K9" i="18"/>
  <c r="L9" i="18"/>
  <c r="M9" i="18"/>
  <c r="O9" i="18"/>
  <c r="W8" i="18"/>
  <c r="O8" i="18"/>
  <c r="M8" i="18"/>
  <c r="L8" i="18"/>
  <c r="K8" i="18"/>
  <c r="I8" i="18"/>
  <c r="H8" i="18"/>
  <c r="G8" i="18"/>
  <c r="F8" i="18"/>
  <c r="E8" i="18"/>
  <c r="B8" i="18"/>
  <c r="AA7" i="18"/>
  <c r="Z7" i="18" s="1"/>
  <c r="W7" i="18"/>
  <c r="M7" i="18"/>
  <c r="P7" i="18" s="1"/>
  <c r="K7" i="18"/>
  <c r="I7" i="18"/>
  <c r="H7" i="18"/>
  <c r="G7" i="18"/>
  <c r="F7" i="18"/>
  <c r="E7" i="18"/>
  <c r="B7" i="18"/>
  <c r="W6" i="18"/>
  <c r="M6" i="18"/>
  <c r="P6" i="18" s="1"/>
  <c r="K6" i="18"/>
  <c r="I6" i="18"/>
  <c r="H6" i="18"/>
  <c r="G6" i="18"/>
  <c r="F6" i="18"/>
  <c r="E6" i="18"/>
  <c r="B6" i="18"/>
  <c r="AA5" i="18"/>
  <c r="Z5" i="18" s="1"/>
  <c r="W5" i="18"/>
  <c r="O5" i="18"/>
  <c r="M5" i="18"/>
  <c r="L5" i="18"/>
  <c r="K5" i="18"/>
  <c r="I5" i="18"/>
  <c r="H5" i="18"/>
  <c r="G5" i="18"/>
  <c r="F5" i="18"/>
  <c r="E5" i="18"/>
  <c r="B5" i="18"/>
  <c r="B9" i="17"/>
  <c r="B10" i="17"/>
  <c r="B11" i="17"/>
  <c r="B12" i="17"/>
  <c r="B13" i="17"/>
  <c r="E9" i="17"/>
  <c r="E10" i="17"/>
  <c r="E11" i="17"/>
  <c r="E12" i="17"/>
  <c r="E13" i="17"/>
  <c r="F9" i="17"/>
  <c r="F10" i="17"/>
  <c r="F11" i="17"/>
  <c r="F12" i="17"/>
  <c r="F13" i="17"/>
  <c r="G9" i="17"/>
  <c r="G10" i="17"/>
  <c r="G11" i="17"/>
  <c r="G12" i="17"/>
  <c r="G13" i="17"/>
  <c r="H9" i="17"/>
  <c r="H10" i="17"/>
  <c r="H11" i="17"/>
  <c r="H12" i="17"/>
  <c r="H13" i="17"/>
  <c r="I9" i="17"/>
  <c r="I10" i="17"/>
  <c r="I11" i="17"/>
  <c r="I12" i="17"/>
  <c r="I13" i="17"/>
  <c r="K9" i="17"/>
  <c r="K10" i="17"/>
  <c r="K11" i="17"/>
  <c r="K12" i="17"/>
  <c r="K13" i="17"/>
  <c r="L9" i="17"/>
  <c r="L10" i="17"/>
  <c r="L11" i="17"/>
  <c r="L12" i="17"/>
  <c r="L13" i="17"/>
  <c r="M9" i="17"/>
  <c r="M10" i="17"/>
  <c r="M11" i="17"/>
  <c r="P11" i="17" s="1"/>
  <c r="M12" i="17"/>
  <c r="M13" i="17"/>
  <c r="O9" i="17"/>
  <c r="O10" i="17"/>
  <c r="P10" i="17" s="1"/>
  <c r="O11" i="17"/>
  <c r="O12" i="17"/>
  <c r="O13" i="17"/>
  <c r="P9" i="17"/>
  <c r="P13" i="17"/>
  <c r="W8" i="17"/>
  <c r="O8" i="17"/>
  <c r="M8" i="17"/>
  <c r="L8" i="17"/>
  <c r="K8" i="17"/>
  <c r="I8" i="17"/>
  <c r="H8" i="17"/>
  <c r="G8" i="17"/>
  <c r="F8" i="17"/>
  <c r="E8" i="17"/>
  <c r="B8" i="17"/>
  <c r="AA7" i="17"/>
  <c r="Z7" i="17" s="1"/>
  <c r="W7" i="17"/>
  <c r="M7" i="17"/>
  <c r="P7" i="17" s="1"/>
  <c r="K7" i="17"/>
  <c r="I7" i="17"/>
  <c r="H7" i="17"/>
  <c r="G7" i="17"/>
  <c r="F7" i="17"/>
  <c r="E7" i="17"/>
  <c r="B7" i="17"/>
  <c r="W6" i="17"/>
  <c r="M6" i="17"/>
  <c r="P6" i="17" s="1"/>
  <c r="K6" i="17"/>
  <c r="I6" i="17"/>
  <c r="H6" i="17"/>
  <c r="G6" i="17"/>
  <c r="F6" i="17"/>
  <c r="E6" i="17"/>
  <c r="B6" i="17"/>
  <c r="AA5" i="17"/>
  <c r="Z5" i="17" s="1"/>
  <c r="W5" i="17"/>
  <c r="O5" i="17"/>
  <c r="M5" i="17"/>
  <c r="L5" i="17"/>
  <c r="K5" i="17"/>
  <c r="I5" i="17"/>
  <c r="H5" i="17"/>
  <c r="G5" i="17"/>
  <c r="F5" i="17"/>
  <c r="E5" i="17"/>
  <c r="B5" i="17"/>
  <c r="B9" i="16"/>
  <c r="B10" i="16"/>
  <c r="B11" i="16"/>
  <c r="B12" i="16"/>
  <c r="E9" i="16"/>
  <c r="E10" i="16"/>
  <c r="E11" i="16"/>
  <c r="E12" i="16"/>
  <c r="F9" i="16"/>
  <c r="F10" i="16"/>
  <c r="F11" i="16"/>
  <c r="F12" i="16"/>
  <c r="G9" i="16"/>
  <c r="G10" i="16"/>
  <c r="G11" i="16"/>
  <c r="G12" i="16"/>
  <c r="H9" i="16"/>
  <c r="H10" i="16"/>
  <c r="H11" i="16"/>
  <c r="H12" i="16"/>
  <c r="I9" i="16"/>
  <c r="I10" i="16"/>
  <c r="I11" i="16"/>
  <c r="I12" i="16"/>
  <c r="K9" i="16"/>
  <c r="K10" i="16"/>
  <c r="K11" i="16"/>
  <c r="K12" i="16"/>
  <c r="L9" i="16"/>
  <c r="L10" i="16"/>
  <c r="L11" i="16"/>
  <c r="L12" i="16"/>
  <c r="M9" i="16"/>
  <c r="M10" i="16"/>
  <c r="M11" i="16"/>
  <c r="M12" i="16"/>
  <c r="O9" i="16"/>
  <c r="O10" i="16"/>
  <c r="O11" i="16"/>
  <c r="O12" i="16"/>
  <c r="P10" i="16"/>
  <c r="W8" i="16"/>
  <c r="O8" i="16"/>
  <c r="M8" i="16"/>
  <c r="L8" i="16"/>
  <c r="K8" i="16"/>
  <c r="I8" i="16"/>
  <c r="H8" i="16"/>
  <c r="G8" i="16"/>
  <c r="F8" i="16"/>
  <c r="E8" i="16"/>
  <c r="B8" i="16"/>
  <c r="AA7" i="16"/>
  <c r="Z7" i="16" s="1"/>
  <c r="W7" i="16"/>
  <c r="M7" i="16"/>
  <c r="P7" i="16" s="1"/>
  <c r="K7" i="16"/>
  <c r="I7" i="16"/>
  <c r="H7" i="16"/>
  <c r="G7" i="16"/>
  <c r="F7" i="16"/>
  <c r="E7" i="16"/>
  <c r="B7" i="16"/>
  <c r="W6" i="16"/>
  <c r="M6" i="16"/>
  <c r="P6" i="16" s="1"/>
  <c r="K6" i="16"/>
  <c r="I6" i="16"/>
  <c r="H6" i="16"/>
  <c r="G6" i="16"/>
  <c r="F6" i="16"/>
  <c r="E6" i="16"/>
  <c r="B6" i="16"/>
  <c r="AA5" i="16"/>
  <c r="Z5" i="16" s="1"/>
  <c r="W5" i="16"/>
  <c r="O5" i="16"/>
  <c r="M5" i="16"/>
  <c r="L5" i="16"/>
  <c r="K5" i="16"/>
  <c r="I5" i="16"/>
  <c r="H5" i="16"/>
  <c r="G5" i="16"/>
  <c r="F5" i="16"/>
  <c r="E5" i="16"/>
  <c r="B5" i="16"/>
  <c r="B15" i="15"/>
  <c r="E15" i="15"/>
  <c r="F15" i="15"/>
  <c r="G15" i="15"/>
  <c r="H15" i="15"/>
  <c r="I15" i="15"/>
  <c r="K15" i="15"/>
  <c r="L15" i="15"/>
  <c r="M15" i="15"/>
  <c r="O15" i="15"/>
  <c r="B14" i="15"/>
  <c r="E14" i="15"/>
  <c r="F14" i="15"/>
  <c r="G14" i="15"/>
  <c r="H14" i="15"/>
  <c r="I14" i="15"/>
  <c r="K14" i="15"/>
  <c r="L14" i="15"/>
  <c r="M14" i="15"/>
  <c r="O14" i="15"/>
  <c r="B11" i="14"/>
  <c r="E11" i="14"/>
  <c r="F11" i="14"/>
  <c r="G11" i="14"/>
  <c r="H11" i="14"/>
  <c r="I11" i="14"/>
  <c r="K11" i="14"/>
  <c r="L11" i="14"/>
  <c r="M11" i="14"/>
  <c r="O11" i="14"/>
  <c r="B13" i="15"/>
  <c r="E13" i="15"/>
  <c r="F13" i="15"/>
  <c r="G13" i="15"/>
  <c r="H13" i="15"/>
  <c r="I13" i="15"/>
  <c r="K13" i="15"/>
  <c r="L13" i="15"/>
  <c r="M13" i="15"/>
  <c r="O13" i="15"/>
  <c r="B12" i="15"/>
  <c r="E12" i="15"/>
  <c r="F12" i="15"/>
  <c r="G12" i="15"/>
  <c r="H12" i="15"/>
  <c r="I12" i="15"/>
  <c r="K12" i="15"/>
  <c r="L12" i="15"/>
  <c r="M12" i="15"/>
  <c r="O12" i="15"/>
  <c r="B11" i="15"/>
  <c r="E11" i="15"/>
  <c r="F11" i="15"/>
  <c r="G11" i="15"/>
  <c r="H11" i="15"/>
  <c r="I11" i="15"/>
  <c r="K11" i="15"/>
  <c r="L11" i="15"/>
  <c r="M11" i="15"/>
  <c r="O11" i="15"/>
  <c r="B10" i="15"/>
  <c r="E10" i="15"/>
  <c r="F10" i="15"/>
  <c r="G10" i="15"/>
  <c r="H10" i="15"/>
  <c r="I10" i="15"/>
  <c r="K10" i="15"/>
  <c r="L10" i="15"/>
  <c r="M10" i="15"/>
  <c r="O10" i="15"/>
  <c r="B9" i="15"/>
  <c r="E9" i="15"/>
  <c r="F9" i="15"/>
  <c r="G9" i="15"/>
  <c r="H9" i="15"/>
  <c r="I9" i="15"/>
  <c r="K9" i="15"/>
  <c r="L9" i="15"/>
  <c r="M9" i="15"/>
  <c r="O9" i="15"/>
  <c r="B10" i="14"/>
  <c r="E10" i="14"/>
  <c r="F10" i="14"/>
  <c r="G10" i="14"/>
  <c r="H10" i="14"/>
  <c r="I10" i="14"/>
  <c r="K10" i="14"/>
  <c r="L10" i="14"/>
  <c r="M10" i="14"/>
  <c r="O10" i="14"/>
  <c r="B9" i="14"/>
  <c r="E9" i="14"/>
  <c r="F9" i="14"/>
  <c r="G9" i="14"/>
  <c r="H9" i="14"/>
  <c r="I9" i="14"/>
  <c r="K9" i="14"/>
  <c r="L9" i="14"/>
  <c r="M9" i="14"/>
  <c r="O9" i="14"/>
  <c r="W8" i="15"/>
  <c r="O8" i="15"/>
  <c r="M8" i="15"/>
  <c r="L8" i="15"/>
  <c r="K8" i="15"/>
  <c r="I8" i="15"/>
  <c r="H8" i="15"/>
  <c r="G8" i="15"/>
  <c r="F8" i="15"/>
  <c r="E8" i="15"/>
  <c r="B8" i="15"/>
  <c r="AA7" i="15"/>
  <c r="Z7" i="15" s="1"/>
  <c r="W7" i="15"/>
  <c r="M7" i="15"/>
  <c r="P7" i="15" s="1"/>
  <c r="K7" i="15"/>
  <c r="I7" i="15"/>
  <c r="H7" i="15"/>
  <c r="G7" i="15"/>
  <c r="F7" i="15"/>
  <c r="E7" i="15"/>
  <c r="B7" i="15"/>
  <c r="W6" i="15"/>
  <c r="M6" i="15"/>
  <c r="P6" i="15" s="1"/>
  <c r="K6" i="15"/>
  <c r="I6" i="15"/>
  <c r="H6" i="15"/>
  <c r="G6" i="15"/>
  <c r="F6" i="15"/>
  <c r="E6" i="15"/>
  <c r="B6" i="15"/>
  <c r="AA5" i="15"/>
  <c r="Z5" i="15" s="1"/>
  <c r="W5" i="15"/>
  <c r="O5" i="15"/>
  <c r="M5" i="15"/>
  <c r="L5" i="15"/>
  <c r="K5" i="15"/>
  <c r="I5" i="15"/>
  <c r="H5" i="15"/>
  <c r="G5" i="15"/>
  <c r="F5" i="15"/>
  <c r="E5" i="15"/>
  <c r="B5" i="15"/>
  <c r="W8" i="14"/>
  <c r="O8" i="14"/>
  <c r="M8" i="14"/>
  <c r="L8" i="14"/>
  <c r="K8" i="14"/>
  <c r="I8" i="14"/>
  <c r="H8" i="14"/>
  <c r="G8" i="14"/>
  <c r="F8" i="14"/>
  <c r="E8" i="14"/>
  <c r="B8" i="14"/>
  <c r="AA7" i="14"/>
  <c r="Z7" i="14" s="1"/>
  <c r="W7" i="14"/>
  <c r="M7" i="14"/>
  <c r="P7" i="14" s="1"/>
  <c r="K7" i="14"/>
  <c r="I7" i="14"/>
  <c r="H7" i="14"/>
  <c r="G7" i="14"/>
  <c r="F7" i="14"/>
  <c r="E7" i="14"/>
  <c r="B7" i="14"/>
  <c r="W6" i="14"/>
  <c r="M6" i="14"/>
  <c r="P6" i="14" s="1"/>
  <c r="K6" i="14"/>
  <c r="I6" i="14"/>
  <c r="H6" i="14"/>
  <c r="G6" i="14"/>
  <c r="F6" i="14"/>
  <c r="E6" i="14"/>
  <c r="B6" i="14"/>
  <c r="AA5" i="14"/>
  <c r="Z5" i="14" s="1"/>
  <c r="W5" i="14"/>
  <c r="O5" i="14"/>
  <c r="M5" i="14"/>
  <c r="L5" i="14"/>
  <c r="K5" i="14"/>
  <c r="I5" i="14"/>
  <c r="H5" i="14"/>
  <c r="G5" i="14"/>
  <c r="F5" i="14"/>
  <c r="E5" i="14"/>
  <c r="B5" i="14"/>
  <c r="U10" i="19" l="1"/>
  <c r="S10" i="19"/>
  <c r="P10" i="19"/>
  <c r="R10" i="19"/>
  <c r="T9" i="19"/>
  <c r="S9" i="19"/>
  <c r="P9" i="19"/>
  <c r="P5" i="19"/>
  <c r="AA15" i="19" a="1"/>
  <c r="AA15" i="19" s="1"/>
  <c r="P12" i="16"/>
  <c r="Z9" i="19"/>
  <c r="AC4" i="19" s="1"/>
  <c r="P11" i="16"/>
  <c r="P8" i="18"/>
  <c r="AA13" i="19" a="1"/>
  <c r="AA13" i="19" s="1"/>
  <c r="Z10" i="19"/>
  <c r="AA16" i="19" a="1"/>
  <c r="AA16" i="19" s="1"/>
  <c r="P9" i="18"/>
  <c r="AA15" i="18" a="1"/>
  <c r="AA15" i="18" s="1"/>
  <c r="P12" i="17"/>
  <c r="AA17" i="18" a="1"/>
  <c r="AA17" i="18" s="1"/>
  <c r="P9" i="16"/>
  <c r="AA17" i="17" a="1"/>
  <c r="AA17" i="17" s="1"/>
  <c r="P5" i="18"/>
  <c r="AA13" i="18" a="1"/>
  <c r="AA13" i="18" s="1"/>
  <c r="AA16" i="18" a="1"/>
  <c r="AA16" i="18" s="1"/>
  <c r="P5" i="17"/>
  <c r="P8" i="16"/>
  <c r="AA15" i="17" a="1"/>
  <c r="AA15" i="17" s="1"/>
  <c r="P8" i="17"/>
  <c r="AA13" i="17" a="1"/>
  <c r="AA13" i="17" s="1"/>
  <c r="AA16" i="17" a="1"/>
  <c r="AA16" i="17" s="1"/>
  <c r="P5" i="16"/>
  <c r="AA15" i="16" a="1"/>
  <c r="AA15" i="16" s="1"/>
  <c r="P10" i="14"/>
  <c r="P11" i="14"/>
  <c r="P15" i="15"/>
  <c r="AA17" i="16" a="1"/>
  <c r="AA17" i="16" s="1"/>
  <c r="AA13" i="16" a="1"/>
  <c r="AA13" i="16" s="1"/>
  <c r="AA16" i="16" a="1"/>
  <c r="AA16" i="16" s="1"/>
  <c r="P14" i="15"/>
  <c r="P13" i="15"/>
  <c r="AA17" i="14" a="1"/>
  <c r="AA17" i="14" s="1"/>
  <c r="P12" i="15"/>
  <c r="P11" i="15"/>
  <c r="P10" i="15"/>
  <c r="P5" i="15"/>
  <c r="P9" i="15"/>
  <c r="AA17" i="15" a="1"/>
  <c r="AA17" i="15" s="1"/>
  <c r="P8" i="15"/>
  <c r="P9" i="14"/>
  <c r="P5" i="14"/>
  <c r="P8" i="14"/>
  <c r="AA15" i="14" a="1"/>
  <c r="AA15" i="14" s="1"/>
  <c r="AA15" i="15" a="1"/>
  <c r="AA15" i="15" s="1"/>
  <c r="AA13" i="15" a="1"/>
  <c r="AA13" i="15" s="1"/>
  <c r="AA16" i="15" a="1"/>
  <c r="AA16" i="15" s="1"/>
  <c r="AA13" i="14" a="1"/>
  <c r="AA13" i="14" s="1"/>
  <c r="AA16" i="14" a="1"/>
  <c r="AA16" i="14" s="1"/>
  <c r="G38" i="2"/>
  <c r="U38" i="2" s="1" a="1"/>
  <c r="U38" i="2" s="1"/>
  <c r="T38" i="2"/>
  <c r="V38" i="2" a="1"/>
  <c r="V38" i="2" s="1"/>
  <c r="G37" i="2"/>
  <c r="U37" i="2" s="1" a="1"/>
  <c r="U37" i="2" s="1"/>
  <c r="T37" i="2"/>
  <c r="V37" i="2" a="1"/>
  <c r="V37" i="2" s="1"/>
  <c r="G165" i="2"/>
  <c r="U165" i="2" s="1" a="1"/>
  <c r="U165" i="2" s="1"/>
  <c r="T165" i="2"/>
  <c r="V165" i="2" a="1"/>
  <c r="V165" i="2" s="1"/>
  <c r="Q10" i="16" l="1"/>
  <c r="Q11" i="16"/>
  <c r="Q9" i="16"/>
  <c r="Q12" i="16"/>
  <c r="V10" i="16"/>
  <c r="W10" i="16" s="1"/>
  <c r="V9" i="16"/>
  <c r="W9" i="16" s="1"/>
  <c r="V11" i="16"/>
  <c r="W11" i="16" s="1"/>
  <c r="V12" i="16"/>
  <c r="W12" i="16" s="1"/>
  <c r="G4" i="2"/>
  <c r="U4" i="2" s="1" a="1"/>
  <c r="U4" i="2" s="1"/>
  <c r="T4" i="2"/>
  <c r="V4" i="2" a="1"/>
  <c r="V4" i="2" s="1"/>
  <c r="V7" i="19" l="1"/>
  <c r="V8" i="19"/>
  <c r="V6" i="19"/>
  <c r="V5" i="19"/>
  <c r="Z9" i="16"/>
  <c r="Q8" i="19"/>
  <c r="Q6" i="19"/>
  <c r="Q7" i="19"/>
  <c r="Q5" i="19"/>
  <c r="Q6" i="18"/>
  <c r="Q5" i="18"/>
  <c r="Q8" i="18"/>
  <c r="Q7" i="18"/>
  <c r="V8" i="18"/>
  <c r="V7" i="18"/>
  <c r="V6" i="18"/>
  <c r="V5" i="18"/>
  <c r="Q6" i="17"/>
  <c r="Q5" i="17"/>
  <c r="Q7" i="17"/>
  <c r="Q8" i="17"/>
  <c r="R12" i="16"/>
  <c r="S12" i="16"/>
  <c r="T12" i="16"/>
  <c r="U12" i="16"/>
  <c r="R9" i="16"/>
  <c r="S9" i="16"/>
  <c r="T9" i="16"/>
  <c r="U9" i="16"/>
  <c r="AC4" i="16"/>
  <c r="Z10" i="16"/>
  <c r="R11" i="16"/>
  <c r="S11" i="16"/>
  <c r="T11" i="16"/>
  <c r="U11" i="16"/>
  <c r="V8" i="17"/>
  <c r="V6" i="17"/>
  <c r="V5" i="17"/>
  <c r="V7" i="17"/>
  <c r="R10" i="16"/>
  <c r="S10" i="16"/>
  <c r="T10" i="16"/>
  <c r="U10" i="16"/>
  <c r="V6" i="16"/>
  <c r="V7" i="16"/>
  <c r="V5" i="16"/>
  <c r="V8" i="16"/>
  <c r="Q8" i="16"/>
  <c r="Q5" i="16"/>
  <c r="Q7" i="16"/>
  <c r="Q6" i="16"/>
  <c r="V7" i="15"/>
  <c r="V8" i="15"/>
  <c r="V6" i="15"/>
  <c r="V5" i="15"/>
  <c r="Q6" i="15"/>
  <c r="Q8" i="15"/>
  <c r="Q7" i="15"/>
  <c r="Q5" i="15"/>
  <c r="V5" i="14"/>
  <c r="V8" i="14"/>
  <c r="V6" i="14"/>
  <c r="V7" i="14"/>
  <c r="Q8" i="14"/>
  <c r="Q7" i="14"/>
  <c r="Q6" i="14"/>
  <c r="Q5" i="14"/>
  <c r="G152" i="2"/>
  <c r="U152" i="2" s="1" a="1"/>
  <c r="U152" i="2" s="1"/>
  <c r="T152" i="2"/>
  <c r="V152" i="2" a="1"/>
  <c r="V152" i="2" s="1"/>
  <c r="U7" i="19" l="1"/>
  <c r="T7" i="19"/>
  <c r="R7" i="19"/>
  <c r="S7" i="19"/>
  <c r="U6" i="19"/>
  <c r="S6" i="19"/>
  <c r="R6" i="19"/>
  <c r="T6" i="19"/>
  <c r="S8" i="19"/>
  <c r="R8" i="19"/>
  <c r="T8" i="19"/>
  <c r="U8" i="19"/>
  <c r="U5" i="19"/>
  <c r="T5" i="19"/>
  <c r="S5" i="19"/>
  <c r="R5" i="19"/>
  <c r="U7" i="18"/>
  <c r="T7" i="18"/>
  <c r="R7" i="18"/>
  <c r="S7" i="18"/>
  <c r="S8" i="18"/>
  <c r="R8" i="18"/>
  <c r="T8" i="18"/>
  <c r="U8" i="18"/>
  <c r="U5" i="18"/>
  <c r="S5" i="18"/>
  <c r="R5" i="18"/>
  <c r="T5" i="18"/>
  <c r="U6" i="18"/>
  <c r="S6" i="18"/>
  <c r="R6" i="18"/>
  <c r="T6" i="18"/>
  <c r="S8" i="17"/>
  <c r="T8" i="17"/>
  <c r="U8" i="17"/>
  <c r="R8" i="17"/>
  <c r="U7" i="17"/>
  <c r="S7" i="17"/>
  <c r="R7" i="17"/>
  <c r="T7" i="17"/>
  <c r="S5" i="17"/>
  <c r="U5" i="17"/>
  <c r="T5" i="17"/>
  <c r="R5" i="17"/>
  <c r="S6" i="17"/>
  <c r="R6" i="17"/>
  <c r="U6" i="17"/>
  <c r="T6" i="17"/>
  <c r="U7" i="16"/>
  <c r="S7" i="16"/>
  <c r="R7" i="16"/>
  <c r="T7" i="16"/>
  <c r="S6" i="16"/>
  <c r="T6" i="16"/>
  <c r="R6" i="16"/>
  <c r="U6" i="16"/>
  <c r="S5" i="16"/>
  <c r="T5" i="16"/>
  <c r="U5" i="16"/>
  <c r="R5" i="16"/>
  <c r="S8" i="16"/>
  <c r="T8" i="16"/>
  <c r="U8" i="16"/>
  <c r="R8" i="16"/>
  <c r="U7" i="15"/>
  <c r="R7" i="15"/>
  <c r="T7" i="15"/>
  <c r="S7" i="15"/>
  <c r="U5" i="15"/>
  <c r="T5" i="15"/>
  <c r="R5" i="15"/>
  <c r="S5" i="15"/>
  <c r="S8" i="15"/>
  <c r="R8" i="15"/>
  <c r="T8" i="15"/>
  <c r="U8" i="15"/>
  <c r="U6" i="15"/>
  <c r="S6" i="15"/>
  <c r="T6" i="15"/>
  <c r="R6" i="15"/>
  <c r="S8" i="14"/>
  <c r="R8" i="14"/>
  <c r="T8" i="14"/>
  <c r="U8" i="14"/>
  <c r="S5" i="14"/>
  <c r="T5" i="14"/>
  <c r="U5" i="14"/>
  <c r="R5" i="14"/>
  <c r="S6" i="14"/>
  <c r="T6" i="14"/>
  <c r="U6" i="14"/>
  <c r="R6" i="14"/>
  <c r="U7" i="14"/>
  <c r="T7" i="14"/>
  <c r="S7" i="14"/>
  <c r="R7" i="14"/>
  <c r="G98" i="2"/>
  <c r="U98" i="2" s="1" a="1"/>
  <c r="U98" i="2" s="1"/>
  <c r="T98" i="2"/>
  <c r="V98" i="2" a="1"/>
  <c r="V98" i="2" s="1"/>
  <c r="G33" i="2"/>
  <c r="U33" i="2" s="1" a="1"/>
  <c r="U33" i="2" s="1"/>
  <c r="T33" i="2"/>
  <c r="V33" i="2" a="1"/>
  <c r="V33" i="2" s="1"/>
  <c r="G132" i="2"/>
  <c r="U132" i="2" s="1" a="1"/>
  <c r="U132" i="2" s="1"/>
  <c r="T132" i="2"/>
  <c r="V132" i="2" a="1"/>
  <c r="V132" i="2" s="1"/>
  <c r="G133" i="2"/>
  <c r="U133" i="2" s="1" a="1"/>
  <c r="U133" i="2" s="1"/>
  <c r="T133" i="2"/>
  <c r="V133" i="2" a="1"/>
  <c r="V133" i="2" s="1"/>
  <c r="G106" i="2"/>
  <c r="U106" i="2" s="1" a="1"/>
  <c r="U106" i="2" s="1"/>
  <c r="T106" i="2"/>
  <c r="V106" i="2" a="1"/>
  <c r="V106" i="2" s="1"/>
  <c r="G105" i="2"/>
  <c r="U105" i="2" s="1" a="1"/>
  <c r="U105" i="2" s="1"/>
  <c r="T105" i="2"/>
  <c r="V105" i="2" a="1"/>
  <c r="V105" i="2" s="1"/>
  <c r="G79" i="2"/>
  <c r="U79" i="2" s="1" a="1"/>
  <c r="U79" i="2" s="1"/>
  <c r="T79" i="2"/>
  <c r="V79" i="2" a="1"/>
  <c r="V79" i="2" s="1"/>
  <c r="G44" i="2"/>
  <c r="U44" i="2" s="1" a="1"/>
  <c r="U44" i="2" s="1"/>
  <c r="T44" i="2"/>
  <c r="V44" i="2" a="1"/>
  <c r="V44" i="2" s="1"/>
  <c r="G26" i="2"/>
  <c r="U26" i="2" s="1" a="1"/>
  <c r="U26" i="2" s="1"/>
  <c r="T26" i="2"/>
  <c r="V26" i="2" a="1"/>
  <c r="V26" i="2" s="1"/>
  <c r="G81" i="2"/>
  <c r="U81" i="2" s="1" a="1"/>
  <c r="U81" i="2" s="1"/>
  <c r="T81" i="2"/>
  <c r="V81" i="2" a="1"/>
  <c r="V81" i="2" s="1"/>
  <c r="G75" i="2"/>
  <c r="U75" i="2" s="1" a="1"/>
  <c r="U75" i="2" s="1"/>
  <c r="T75" i="2"/>
  <c r="V75" i="2" a="1"/>
  <c r="V75" i="2" s="1"/>
  <c r="G91" i="2"/>
  <c r="U91" i="2" s="1" a="1"/>
  <c r="U91" i="2" s="1"/>
  <c r="T91" i="2"/>
  <c r="V91" i="2" a="1"/>
  <c r="V91" i="2" s="1"/>
  <c r="G90" i="2"/>
  <c r="U90" i="2" s="1" a="1"/>
  <c r="U90" i="2" s="1"/>
  <c r="T90" i="2"/>
  <c r="V90" i="2" a="1"/>
  <c r="V90" i="2" s="1"/>
  <c r="G89" i="2"/>
  <c r="U89" i="2" s="1" a="1"/>
  <c r="U89" i="2" s="1"/>
  <c r="T89" i="2"/>
  <c r="V89" i="2" a="1"/>
  <c r="V89" i="2" s="1"/>
  <c r="G111" i="2"/>
  <c r="U111" i="2" s="1" a="1"/>
  <c r="U111" i="2" s="1"/>
  <c r="T111" i="2"/>
  <c r="V111" i="2" a="1"/>
  <c r="V111" i="2" s="1"/>
  <c r="G21" i="2"/>
  <c r="U21" i="2" s="1" a="1"/>
  <c r="U21" i="2" s="1"/>
  <c r="T21" i="2"/>
  <c r="V21" i="2" a="1"/>
  <c r="V21" i="2" s="1"/>
  <c r="G131" i="2"/>
  <c r="U131" i="2" s="1" a="1"/>
  <c r="U131" i="2" s="1"/>
  <c r="T131" i="2"/>
  <c r="V131" i="2" a="1"/>
  <c r="V131" i="2" s="1"/>
  <c r="G130" i="2"/>
  <c r="U130" i="2" s="1" a="1"/>
  <c r="U130" i="2" s="1"/>
  <c r="T130" i="2"/>
  <c r="V130" i="2" a="1"/>
  <c r="V130" i="2" s="1"/>
  <c r="G92" i="2"/>
  <c r="U92" i="2" s="1" a="1"/>
  <c r="U92" i="2" s="1"/>
  <c r="T92" i="2"/>
  <c r="V92" i="2" a="1"/>
  <c r="V92" i="2" s="1"/>
  <c r="G125" i="2"/>
  <c r="U125" i="2" s="1" a="1"/>
  <c r="U125" i="2" s="1"/>
  <c r="T125" i="2"/>
  <c r="V125" i="2" a="1"/>
  <c r="V125" i="2" s="1"/>
  <c r="G29" i="2"/>
  <c r="U29" i="2" s="1" a="1"/>
  <c r="U29" i="2" s="1"/>
  <c r="T29" i="2"/>
  <c r="V29" i="2" a="1"/>
  <c r="V29" i="2" s="1"/>
  <c r="G36" i="2"/>
  <c r="U36" i="2" s="1" a="1"/>
  <c r="U36" i="2" s="1"/>
  <c r="T36" i="2"/>
  <c r="V36" i="2" a="1"/>
  <c r="V36" i="2" s="1"/>
  <c r="AC5" i="19" l="1" a="1"/>
  <c r="AC5" i="19" s="1"/>
  <c r="AC8" i="19" a="1"/>
  <c r="AC8" i="19" s="1"/>
  <c r="AC6" i="19" a="1"/>
  <c r="AC6" i="19" s="1"/>
  <c r="AC7" i="19" a="1"/>
  <c r="AC7" i="19" s="1"/>
  <c r="AC7" i="16" a="1"/>
  <c r="AC7" i="16" s="1"/>
  <c r="AC5" i="16" a="1"/>
  <c r="AC5" i="16" s="1"/>
  <c r="Z4" i="16" s="1"/>
  <c r="AC8" i="16" a="1"/>
  <c r="AC8" i="16" s="1"/>
  <c r="AC6" i="16" a="1"/>
  <c r="AC6" i="16" s="1"/>
  <c r="G141" i="2"/>
  <c r="U141" i="2" s="1" a="1"/>
  <c r="U141" i="2" s="1"/>
  <c r="T141" i="2"/>
  <c r="V141" i="2" a="1"/>
  <c r="V141" i="2" s="1"/>
  <c r="G93" i="2"/>
  <c r="U93" i="2" s="1" a="1"/>
  <c r="U93" i="2" s="1"/>
  <c r="T93" i="2"/>
  <c r="V93" i="2" a="1"/>
  <c r="V93" i="2" s="1"/>
  <c r="Z4" i="19" l="1"/>
  <c r="G67" i="2"/>
  <c r="U67" i="2" s="1" a="1"/>
  <c r="U67" i="2" s="1"/>
  <c r="T67" i="2"/>
  <c r="V67" i="2" a="1"/>
  <c r="V67" i="2" s="1"/>
  <c r="G42" i="2"/>
  <c r="U42" i="2" s="1" a="1"/>
  <c r="U42" i="2" s="1"/>
  <c r="T42" i="2"/>
  <c r="V42" i="2" a="1"/>
  <c r="V42" i="2" s="1"/>
  <c r="G62" i="2"/>
  <c r="U62" i="2" s="1" a="1"/>
  <c r="U62" i="2" s="1"/>
  <c r="T62" i="2"/>
  <c r="V62" i="2" a="1"/>
  <c r="V62" i="2" s="1"/>
  <c r="G66" i="2"/>
  <c r="U66" i="2" s="1" a="1"/>
  <c r="U66" i="2" s="1"/>
  <c r="T66" i="2"/>
  <c r="V66" i="2" a="1"/>
  <c r="V66" i="2" s="1"/>
  <c r="G99" i="2"/>
  <c r="U99" i="2" s="1" a="1"/>
  <c r="U99" i="2" s="1"/>
  <c r="T99" i="2"/>
  <c r="V99" i="2" a="1"/>
  <c r="V99" i="2" s="1"/>
  <c r="G168" i="2"/>
  <c r="U168" i="2" s="1" a="1"/>
  <c r="U168" i="2" s="1"/>
  <c r="T168" i="2"/>
  <c r="V168" i="2" a="1"/>
  <c r="V168" i="2" s="1"/>
  <c r="G160" i="2"/>
  <c r="U160" i="2" s="1" a="1"/>
  <c r="U160" i="2" s="1"/>
  <c r="T160" i="2"/>
  <c r="V160" i="2" a="1"/>
  <c r="V160" i="2" s="1"/>
  <c r="G159" i="2"/>
  <c r="U159" i="2" s="1" a="1"/>
  <c r="U159" i="2" s="1"/>
  <c r="T159" i="2"/>
  <c r="V159" i="2" a="1"/>
  <c r="V159" i="2" s="1"/>
  <c r="G127" i="2"/>
  <c r="U127" i="2" s="1" a="1"/>
  <c r="U127" i="2" s="1"/>
  <c r="T127" i="2"/>
  <c r="V127" i="2" a="1"/>
  <c r="V127" i="2" s="1"/>
  <c r="G148" i="2"/>
  <c r="U148" i="2" s="1" a="1"/>
  <c r="U148" i="2" s="1"/>
  <c r="T148" i="2"/>
  <c r="V148" i="2" a="1"/>
  <c r="V148" i="2" s="1"/>
  <c r="G113" i="2"/>
  <c r="U113" i="2" s="1" a="1"/>
  <c r="U113" i="2" s="1"/>
  <c r="T113" i="2"/>
  <c r="V113" i="2" a="1"/>
  <c r="V113" i="2" s="1"/>
  <c r="G166" i="2"/>
  <c r="U166" i="2" s="1" a="1"/>
  <c r="U166" i="2" s="1"/>
  <c r="T166" i="2"/>
  <c r="V166" i="2" a="1"/>
  <c r="V166" i="2" s="1"/>
  <c r="G140" i="2"/>
  <c r="U140" i="2" s="1" a="1"/>
  <c r="U140" i="2" s="1"/>
  <c r="T140" i="2"/>
  <c r="V140" i="2" a="1"/>
  <c r="V140" i="2" s="1"/>
  <c r="W5" i="13" l="1"/>
  <c r="W6" i="13"/>
  <c r="W7" i="13"/>
  <c r="W8" i="13"/>
  <c r="O5" i="13"/>
  <c r="O8" i="13"/>
  <c r="M5" i="13"/>
  <c r="M6" i="13"/>
  <c r="M7" i="13"/>
  <c r="M8" i="13"/>
  <c r="L5" i="13"/>
  <c r="L8" i="13"/>
  <c r="K5" i="13"/>
  <c r="K6" i="13"/>
  <c r="K7" i="13"/>
  <c r="K8" i="13"/>
  <c r="I5" i="13"/>
  <c r="I6" i="13"/>
  <c r="I7" i="13"/>
  <c r="I8" i="13"/>
  <c r="H5" i="13"/>
  <c r="H6" i="13"/>
  <c r="H7" i="13"/>
  <c r="H8" i="13"/>
  <c r="G5" i="13"/>
  <c r="G6" i="13"/>
  <c r="G7" i="13"/>
  <c r="G8" i="13"/>
  <c r="F5" i="13"/>
  <c r="F6" i="13"/>
  <c r="F7" i="13"/>
  <c r="F8" i="13"/>
  <c r="B5" i="13"/>
  <c r="B6" i="13"/>
  <c r="B7" i="13"/>
  <c r="B8" i="13"/>
  <c r="P6" i="13" l="1"/>
  <c r="P8" i="13"/>
  <c r="P5" i="13"/>
  <c r="P7" i="13"/>
  <c r="E7" i="13"/>
  <c r="E5" i="13"/>
  <c r="E6" i="13"/>
  <c r="E8" i="13"/>
  <c r="G157" i="2" l="1"/>
  <c r="U157" i="2" s="1" a="1"/>
  <c r="U157" i="2" s="1"/>
  <c r="T157" i="2"/>
  <c r="V157" i="2" a="1"/>
  <c r="V157" i="2" s="1"/>
  <c r="G144" i="2" l="1"/>
  <c r="U144" i="2" s="1" a="1"/>
  <c r="U144" i="2" s="1"/>
  <c r="T144" i="2"/>
  <c r="V144" i="2" a="1"/>
  <c r="V144" i="2" s="1"/>
  <c r="V114" i="2" a="1"/>
  <c r="V114" i="2" s="1"/>
  <c r="T114" i="2"/>
  <c r="G114" i="2"/>
  <c r="U114" i="2" s="1" a="1"/>
  <c r="U114" i="2" s="1"/>
  <c r="G112" i="2"/>
  <c r="U112" i="2" s="1" a="1"/>
  <c r="U112" i="2" s="1"/>
  <c r="T112" i="2"/>
  <c r="V112" i="2" a="1"/>
  <c r="V112" i="2" s="1"/>
  <c r="G115" i="2"/>
  <c r="U115" i="2" s="1" a="1"/>
  <c r="U115" i="2" s="1"/>
  <c r="T115" i="2"/>
  <c r="V115" i="2" a="1"/>
  <c r="V115" i="2" s="1"/>
  <c r="V96" i="2" a="1"/>
  <c r="V96" i="2" s="1"/>
  <c r="T96" i="2"/>
  <c r="G96" i="2"/>
  <c r="U96" i="2" s="1" a="1"/>
  <c r="U96" i="2" s="1"/>
  <c r="V48" i="2" a="1"/>
  <c r="V48" i="2" s="1"/>
  <c r="T48" i="2"/>
  <c r="G48" i="2"/>
  <c r="U48" i="2" s="1" a="1"/>
  <c r="U48" i="2" s="1"/>
  <c r="G47" i="2"/>
  <c r="U47" i="2" s="1" a="1"/>
  <c r="U47" i="2" s="1"/>
  <c r="T47" i="2"/>
  <c r="V47" i="2" a="1"/>
  <c r="V47" i="2" s="1"/>
  <c r="G34" i="2"/>
  <c r="U34" i="2" s="1" a="1"/>
  <c r="U34" i="2" s="1"/>
  <c r="T34" i="2"/>
  <c r="V34" i="2" a="1"/>
  <c r="V34" i="2" s="1"/>
  <c r="V31" i="2" a="1"/>
  <c r="V31" i="2" s="1"/>
  <c r="T31" i="2"/>
  <c r="G31" i="2"/>
  <c r="U31" i="2" s="1" a="1"/>
  <c r="U31" i="2" s="1"/>
  <c r="V8" i="2" l="1" a="1"/>
  <c r="V8" i="2" s="1"/>
  <c r="T8" i="2"/>
  <c r="G8" i="2"/>
  <c r="U8" i="2" s="1" a="1"/>
  <c r="U8" i="2" s="1"/>
  <c r="V32" i="2" l="1" a="1"/>
  <c r="V32" i="2" s="1"/>
  <c r="T32" i="2"/>
  <c r="G32" i="2"/>
  <c r="U32" i="2" s="1" a="1"/>
  <c r="U32" i="2" s="1"/>
  <c r="G72" i="2"/>
  <c r="U72" i="2" s="1" a="1"/>
  <c r="U72" i="2" s="1"/>
  <c r="T72" i="2"/>
  <c r="V72" i="2" a="1"/>
  <c r="V72" i="2" s="1"/>
  <c r="G100" i="2"/>
  <c r="U100" i="2" s="1" a="1"/>
  <c r="U100" i="2" s="1"/>
  <c r="T100" i="2"/>
  <c r="V100" i="2" a="1"/>
  <c r="V100" i="2" s="1"/>
  <c r="G49" i="2"/>
  <c r="U49" i="2" s="1" a="1"/>
  <c r="U49" i="2" s="1"/>
  <c r="T49" i="2"/>
  <c r="V49" i="2" a="1"/>
  <c r="V49" i="2" s="1"/>
  <c r="G73" i="2"/>
  <c r="U73" i="2" s="1" a="1"/>
  <c r="U73" i="2" s="1"/>
  <c r="T73" i="2"/>
  <c r="V73" i="2" a="1"/>
  <c r="V73" i="2" s="1"/>
  <c r="G158" i="2"/>
  <c r="U158" i="2" s="1" a="1"/>
  <c r="U158" i="2" s="1"/>
  <c r="T158" i="2"/>
  <c r="V158" i="2" a="1"/>
  <c r="V158" i="2" s="1"/>
  <c r="G82" i="2"/>
  <c r="U82" i="2" s="1" a="1"/>
  <c r="U82" i="2" s="1"/>
  <c r="T82" i="2"/>
  <c r="V82" i="2" a="1"/>
  <c r="V82" i="2" s="1"/>
  <c r="G46" i="2"/>
  <c r="U46" i="2" s="1" a="1"/>
  <c r="U46" i="2" s="1"/>
  <c r="T46" i="2"/>
  <c r="V46" i="2" a="1"/>
  <c r="V46" i="2" s="1"/>
  <c r="G129" i="2"/>
  <c r="U129" i="2" s="1" a="1"/>
  <c r="U129" i="2" s="1"/>
  <c r="T129" i="2"/>
  <c r="V129" i="2" a="1"/>
  <c r="V129" i="2" s="1"/>
  <c r="G101" i="2"/>
  <c r="U101" i="2" s="1" a="1"/>
  <c r="U101" i="2" s="1"/>
  <c r="T101" i="2"/>
  <c r="V101" i="2" a="1"/>
  <c r="V101" i="2" s="1"/>
  <c r="G77" i="2"/>
  <c r="U77" i="2" s="1" a="1"/>
  <c r="U77" i="2" s="1"/>
  <c r="T77" i="2"/>
  <c r="V77" i="2" a="1"/>
  <c r="V77" i="2" s="1"/>
  <c r="G88" i="2"/>
  <c r="U88" i="2" s="1" a="1"/>
  <c r="U88" i="2" s="1"/>
  <c r="T88" i="2"/>
  <c r="V88" i="2" a="1"/>
  <c r="V88" i="2" s="1"/>
  <c r="G126" i="2"/>
  <c r="U126" i="2" s="1" a="1"/>
  <c r="U126" i="2" s="1"/>
  <c r="T126" i="2"/>
  <c r="V126" i="2" a="1"/>
  <c r="V126" i="2" s="1"/>
  <c r="G107" i="2"/>
  <c r="U107" i="2" s="1" a="1"/>
  <c r="U107" i="2" s="1"/>
  <c r="T107" i="2"/>
  <c r="V107" i="2" a="1"/>
  <c r="V107" i="2" s="1"/>
  <c r="G86" i="2"/>
  <c r="U86" i="2" s="1" a="1"/>
  <c r="U86" i="2" s="1"/>
  <c r="T86" i="2"/>
  <c r="V86" i="2" a="1"/>
  <c r="V86" i="2" s="1"/>
  <c r="G128" i="2"/>
  <c r="U128" i="2" s="1" a="1"/>
  <c r="U128" i="2" s="1"/>
  <c r="T128" i="2"/>
  <c r="V128" i="2" a="1"/>
  <c r="V128" i="2" s="1"/>
  <c r="G163" i="2"/>
  <c r="U163" i="2" s="1" a="1"/>
  <c r="U163" i="2" s="1"/>
  <c r="T163" i="2"/>
  <c r="V163" i="2" a="1"/>
  <c r="V163" i="2" s="1"/>
  <c r="G138" i="2"/>
  <c r="U138" i="2" s="1" a="1"/>
  <c r="U138" i="2" s="1"/>
  <c r="T138" i="2"/>
  <c r="V138" i="2" a="1"/>
  <c r="V138" i="2" s="1"/>
  <c r="G153" i="2"/>
  <c r="U153" i="2" s="1" a="1"/>
  <c r="U153" i="2" s="1"/>
  <c r="T153" i="2"/>
  <c r="V153" i="2" a="1"/>
  <c r="V153" i="2" s="1"/>
  <c r="G108" i="2"/>
  <c r="U108" i="2" s="1" a="1"/>
  <c r="U108" i="2" s="1"/>
  <c r="T108" i="2"/>
  <c r="V108" i="2" a="1"/>
  <c r="V108" i="2" s="1"/>
  <c r="G170" i="2"/>
  <c r="U170" i="2" s="1" a="1"/>
  <c r="U170" i="2" s="1"/>
  <c r="T170" i="2"/>
  <c r="V170" i="2" a="1"/>
  <c r="V170" i="2" s="1"/>
  <c r="G135" i="2"/>
  <c r="U135" i="2" s="1" a="1"/>
  <c r="U135" i="2" s="1"/>
  <c r="T135" i="2"/>
  <c r="V135" i="2" a="1"/>
  <c r="V135" i="2" s="1"/>
  <c r="G102" i="2"/>
  <c r="U102" i="2" s="1" a="1"/>
  <c r="U102" i="2" s="1"/>
  <c r="T102" i="2"/>
  <c r="V102" i="2" a="1"/>
  <c r="V102" i="2" s="1"/>
  <c r="G24" i="2"/>
  <c r="U24" i="2" s="1" a="1"/>
  <c r="U24" i="2" s="1"/>
  <c r="T24" i="2"/>
  <c r="V24" i="2" a="1"/>
  <c r="V24" i="2" s="1"/>
  <c r="G116" i="2"/>
  <c r="U116" i="2" s="1" a="1"/>
  <c r="U116" i="2" s="1"/>
  <c r="T116" i="2"/>
  <c r="V116" i="2" a="1"/>
  <c r="V116" i="2" s="1"/>
  <c r="G156" i="2"/>
  <c r="U156" i="2" s="1" a="1"/>
  <c r="U156" i="2" s="1"/>
  <c r="T156" i="2"/>
  <c r="V156" i="2" a="1"/>
  <c r="V156" i="2" s="1"/>
  <c r="G25" i="2"/>
  <c r="U25" i="2" s="1" a="1"/>
  <c r="U25" i="2" s="1"/>
  <c r="T25" i="2"/>
  <c r="V25" i="2" a="1"/>
  <c r="V25" i="2" s="1"/>
  <c r="G23" i="2"/>
  <c r="U23" i="2" s="1" a="1"/>
  <c r="U23" i="2" s="1"/>
  <c r="T23" i="2"/>
  <c r="V23" i="2" a="1"/>
  <c r="V23" i="2" s="1"/>
  <c r="G71" i="2"/>
  <c r="U71" i="2" s="1" a="1"/>
  <c r="U71" i="2" s="1"/>
  <c r="T71" i="2"/>
  <c r="V71" i="2" a="1"/>
  <c r="V71" i="2" s="1"/>
  <c r="G10" i="2" l="1"/>
  <c r="T10" i="2"/>
  <c r="U10" i="2" a="1"/>
  <c r="U10" i="2" s="1"/>
  <c r="V10" i="2" a="1"/>
  <c r="V10" i="2" s="1"/>
  <c r="G41" i="2" l="1"/>
  <c r="U41" i="2" s="1" a="1"/>
  <c r="U41" i="2" s="1"/>
  <c r="T41" i="2"/>
  <c r="V41" i="2" a="1"/>
  <c r="V41" i="2" s="1"/>
  <c r="G5" i="2" l="1"/>
  <c r="T5" i="2"/>
  <c r="U5" i="2" a="1"/>
  <c r="U5" i="2" s="1"/>
  <c r="V5" i="2" a="1"/>
  <c r="V5" i="2" s="1"/>
  <c r="G7" i="2"/>
  <c r="U7" i="2" s="1" a="1"/>
  <c r="U7" i="2" s="1"/>
  <c r="T7" i="2"/>
  <c r="V7" i="2" a="1"/>
  <c r="V7" i="2" s="1"/>
  <c r="G9" i="2"/>
  <c r="U9" i="2" s="1" a="1"/>
  <c r="U9" i="2" s="1"/>
  <c r="T9" i="2"/>
  <c r="V9" i="2" a="1"/>
  <c r="V9" i="2" s="1"/>
  <c r="G11" i="2"/>
  <c r="U11" i="2" s="1" a="1"/>
  <c r="U11" i="2" s="1"/>
  <c r="T11" i="2"/>
  <c r="V11" i="2" a="1"/>
  <c r="V11" i="2" s="1"/>
  <c r="G6" i="2"/>
  <c r="U6" i="2" s="1" a="1"/>
  <c r="U6" i="2" s="1"/>
  <c r="T6" i="2"/>
  <c r="V6" i="2" a="1"/>
  <c r="V6" i="2" s="1"/>
  <c r="Q6" i="13" l="1"/>
  <c r="U6" i="13" s="1"/>
  <c r="V6" i="13"/>
  <c r="V5" i="13"/>
  <c r="Q7" i="13"/>
  <c r="T7" i="13" s="1"/>
  <c r="V8" i="13"/>
  <c r="V7" i="13"/>
  <c r="Q5" i="13"/>
  <c r="U5" i="13" s="1"/>
  <c r="Q8" i="13"/>
  <c r="U8" i="13" s="1"/>
  <c r="V78" i="2" a="1"/>
  <c r="V78" i="2" s="1"/>
  <c r="T78" i="2"/>
  <c r="G78" i="2"/>
  <c r="U78" i="2" s="1" a="1"/>
  <c r="U78" i="2" s="1"/>
  <c r="G12" i="2"/>
  <c r="G14" i="2"/>
  <c r="G20" i="2"/>
  <c r="G16" i="2"/>
  <c r="G15" i="2"/>
  <c r="G18" i="2"/>
  <c r="G17" i="2"/>
  <c r="G19" i="2"/>
  <c r="G22" i="2"/>
  <c r="U22" i="2" s="1" a="1"/>
  <c r="U22" i="2" s="1"/>
  <c r="G27" i="2"/>
  <c r="U27" i="2" s="1" a="1"/>
  <c r="U27" i="2" s="1"/>
  <c r="G28" i="2"/>
  <c r="U28" i="2" s="1" a="1"/>
  <c r="U28" i="2" s="1"/>
  <c r="G30" i="2"/>
  <c r="U30" i="2" s="1" a="1"/>
  <c r="U30" i="2" s="1"/>
  <c r="G35" i="2"/>
  <c r="U35" i="2" s="1" a="1"/>
  <c r="U35" i="2" s="1"/>
  <c r="G39" i="2"/>
  <c r="U39" i="2" s="1" a="1"/>
  <c r="U39" i="2" s="1"/>
  <c r="G40" i="2"/>
  <c r="U40" i="2" s="1" a="1"/>
  <c r="U40" i="2" s="1"/>
  <c r="G43" i="2"/>
  <c r="U43" i="2" s="1" a="1"/>
  <c r="U43" i="2" s="1"/>
  <c r="G45" i="2"/>
  <c r="U45" i="2" s="1" a="1"/>
  <c r="U45" i="2" s="1"/>
  <c r="G50" i="2"/>
  <c r="U50" i="2" s="1" a="1"/>
  <c r="U50" i="2" s="1"/>
  <c r="G51" i="2"/>
  <c r="U51" i="2" s="1" a="1"/>
  <c r="U51" i="2" s="1"/>
  <c r="G52" i="2"/>
  <c r="U52" i="2" s="1" a="1"/>
  <c r="U52" i="2" s="1"/>
  <c r="G53" i="2"/>
  <c r="U53" i="2" s="1" a="1"/>
  <c r="U53" i="2" s="1"/>
  <c r="G54" i="2"/>
  <c r="U54" i="2" s="1" a="1"/>
  <c r="U54" i="2" s="1"/>
  <c r="G55" i="2"/>
  <c r="U55" i="2" s="1" a="1"/>
  <c r="U55" i="2" s="1"/>
  <c r="G56" i="2"/>
  <c r="U56" i="2" s="1" a="1"/>
  <c r="U56" i="2" s="1"/>
  <c r="G57" i="2"/>
  <c r="U57" i="2" s="1" a="1"/>
  <c r="U57" i="2" s="1"/>
  <c r="G58" i="2"/>
  <c r="U58" i="2" s="1" a="1"/>
  <c r="U58" i="2" s="1"/>
  <c r="G59" i="2"/>
  <c r="U59" i="2" s="1" a="1"/>
  <c r="U59" i="2" s="1"/>
  <c r="G60" i="2"/>
  <c r="U60" i="2" s="1" a="1"/>
  <c r="U60" i="2" s="1"/>
  <c r="G61" i="2"/>
  <c r="U61" i="2" s="1" a="1"/>
  <c r="U61" i="2" s="1"/>
  <c r="G63" i="2"/>
  <c r="U63" i="2" s="1" a="1"/>
  <c r="U63" i="2" s="1"/>
  <c r="G64" i="2"/>
  <c r="U64" i="2" s="1" a="1"/>
  <c r="U64" i="2" s="1"/>
  <c r="G65" i="2"/>
  <c r="U65" i="2" s="1" a="1"/>
  <c r="U65" i="2" s="1"/>
  <c r="G68" i="2"/>
  <c r="U68" i="2" s="1" a="1"/>
  <c r="U68" i="2" s="1"/>
  <c r="G69" i="2"/>
  <c r="U69" i="2" s="1" a="1"/>
  <c r="U69" i="2" s="1"/>
  <c r="G70" i="2"/>
  <c r="U70" i="2" s="1" a="1"/>
  <c r="U70" i="2" s="1"/>
  <c r="G74" i="2"/>
  <c r="U74" i="2" s="1" a="1"/>
  <c r="U74" i="2" s="1"/>
  <c r="G76" i="2"/>
  <c r="U76" i="2" s="1" a="1"/>
  <c r="U76" i="2" s="1"/>
  <c r="G80" i="2"/>
  <c r="U80" i="2" s="1" a="1"/>
  <c r="U80" i="2" s="1"/>
  <c r="G83" i="2"/>
  <c r="U83" i="2" s="1" a="1"/>
  <c r="U83" i="2" s="1"/>
  <c r="G84" i="2"/>
  <c r="U84" i="2" s="1" a="1"/>
  <c r="U84" i="2" s="1"/>
  <c r="G85" i="2"/>
  <c r="U85" i="2" s="1" a="1"/>
  <c r="U85" i="2" s="1"/>
  <c r="Q9" i="15" s="1"/>
  <c r="G87" i="2"/>
  <c r="U87" i="2" s="1" a="1"/>
  <c r="U87" i="2" s="1"/>
  <c r="G94" i="2"/>
  <c r="U94" i="2" s="1" a="1"/>
  <c r="U94" i="2" s="1"/>
  <c r="G95" i="2"/>
  <c r="U95" i="2" s="1" a="1"/>
  <c r="U95" i="2" s="1"/>
  <c r="G97" i="2"/>
  <c r="U97" i="2" s="1" a="1"/>
  <c r="U97" i="2" s="1"/>
  <c r="G103" i="2"/>
  <c r="U103" i="2" s="1" a="1"/>
  <c r="U103" i="2" s="1"/>
  <c r="G104" i="2"/>
  <c r="U104" i="2" s="1" a="1"/>
  <c r="U104" i="2" s="1"/>
  <c r="G109" i="2"/>
  <c r="U109" i="2" s="1" a="1"/>
  <c r="U109" i="2" s="1"/>
  <c r="G110" i="2"/>
  <c r="U110" i="2" s="1" a="1"/>
  <c r="U110" i="2" s="1"/>
  <c r="G117" i="2"/>
  <c r="U117" i="2" s="1" a="1"/>
  <c r="U117" i="2" s="1"/>
  <c r="G118" i="2"/>
  <c r="U118" i="2" s="1" a="1"/>
  <c r="U118" i="2" s="1"/>
  <c r="G119" i="2"/>
  <c r="U119" i="2" s="1" a="1"/>
  <c r="U119" i="2" s="1"/>
  <c r="G120" i="2"/>
  <c r="U120" i="2" s="1" a="1"/>
  <c r="U120" i="2" s="1"/>
  <c r="G121" i="2"/>
  <c r="U121" i="2" s="1" a="1"/>
  <c r="U121" i="2" s="1"/>
  <c r="G122" i="2"/>
  <c r="U122" i="2" s="1" a="1"/>
  <c r="U122" i="2" s="1"/>
  <c r="G123" i="2"/>
  <c r="U123" i="2" s="1" a="1"/>
  <c r="U123" i="2" s="1"/>
  <c r="G124" i="2"/>
  <c r="U124" i="2" s="1" a="1"/>
  <c r="U124" i="2" s="1"/>
  <c r="G134" i="2"/>
  <c r="U134" i="2" s="1" a="1"/>
  <c r="U134" i="2" s="1"/>
  <c r="G136" i="2"/>
  <c r="U136" i="2" s="1" a="1"/>
  <c r="U136" i="2" s="1"/>
  <c r="G137" i="2"/>
  <c r="U137" i="2" s="1" a="1"/>
  <c r="U137" i="2" s="1"/>
  <c r="G139" i="2"/>
  <c r="U139" i="2" s="1" a="1"/>
  <c r="U139" i="2" s="1"/>
  <c r="G142" i="2"/>
  <c r="U142" i="2" s="1" a="1"/>
  <c r="U142" i="2" s="1"/>
  <c r="G143" i="2"/>
  <c r="U143" i="2" s="1" a="1"/>
  <c r="U143" i="2" s="1"/>
  <c r="G145" i="2"/>
  <c r="U145" i="2" s="1" a="1"/>
  <c r="U145" i="2" s="1"/>
  <c r="G146" i="2"/>
  <c r="U146" i="2" s="1" a="1"/>
  <c r="U146" i="2" s="1"/>
  <c r="G147" i="2"/>
  <c r="U147" i="2" s="1" a="1"/>
  <c r="U147" i="2" s="1"/>
  <c r="G149" i="2"/>
  <c r="U149" i="2" s="1" a="1"/>
  <c r="U149" i="2" s="1"/>
  <c r="G150" i="2"/>
  <c r="U150" i="2" s="1" a="1"/>
  <c r="U150" i="2" s="1"/>
  <c r="G151" i="2"/>
  <c r="U151" i="2" s="1" a="1"/>
  <c r="U151" i="2" s="1"/>
  <c r="G154" i="2"/>
  <c r="U154" i="2" s="1" a="1"/>
  <c r="U154" i="2" s="1"/>
  <c r="G161" i="2"/>
  <c r="U161" i="2" s="1" a="1"/>
  <c r="U161" i="2" s="1"/>
  <c r="G162" i="2"/>
  <c r="U162" i="2" s="1" a="1"/>
  <c r="U162" i="2" s="1"/>
  <c r="G155" i="2"/>
  <c r="U155" i="2" s="1" a="1"/>
  <c r="U155" i="2" s="1"/>
  <c r="G164" i="2"/>
  <c r="U164" i="2" s="1" a="1"/>
  <c r="U164" i="2" s="1"/>
  <c r="G167" i="2"/>
  <c r="U167" i="2" s="1" a="1"/>
  <c r="U167" i="2" s="1"/>
  <c r="G169" i="2"/>
  <c r="U169" i="2" s="1" a="1"/>
  <c r="U169" i="2" s="1"/>
  <c r="G171" i="2"/>
  <c r="U171" i="2" s="1" a="1"/>
  <c r="U171" i="2" s="1"/>
  <c r="G13" i="2"/>
  <c r="U13" i="2" s="1" a="1"/>
  <c r="U13" i="2" s="1"/>
  <c r="T155" i="2"/>
  <c r="V155" i="2" a="1"/>
  <c r="V155" i="2" s="1"/>
  <c r="T12" i="2"/>
  <c r="T14" i="2"/>
  <c r="T20" i="2"/>
  <c r="T16" i="2"/>
  <c r="T13" i="2"/>
  <c r="T15" i="2"/>
  <c r="T18" i="2"/>
  <c r="T17" i="2"/>
  <c r="T19" i="2"/>
  <c r="T22" i="2"/>
  <c r="T27" i="2"/>
  <c r="T28" i="2"/>
  <c r="T30" i="2"/>
  <c r="T35" i="2"/>
  <c r="T39" i="2"/>
  <c r="T40" i="2"/>
  <c r="T43" i="2"/>
  <c r="T45" i="2"/>
  <c r="T50" i="2"/>
  <c r="T51" i="2"/>
  <c r="T52" i="2"/>
  <c r="T53" i="2"/>
  <c r="T54" i="2"/>
  <c r="T55" i="2"/>
  <c r="T56" i="2"/>
  <c r="T57" i="2"/>
  <c r="T58" i="2"/>
  <c r="T59" i="2"/>
  <c r="T60" i="2"/>
  <c r="T61" i="2"/>
  <c r="T63" i="2"/>
  <c r="T64" i="2"/>
  <c r="T65" i="2"/>
  <c r="T68" i="2"/>
  <c r="T69" i="2"/>
  <c r="T70" i="2"/>
  <c r="T74" i="2"/>
  <c r="T76" i="2"/>
  <c r="T80" i="2"/>
  <c r="T83" i="2"/>
  <c r="T84" i="2"/>
  <c r="T85" i="2"/>
  <c r="T87" i="2"/>
  <c r="T94" i="2"/>
  <c r="T95" i="2"/>
  <c r="T97" i="2"/>
  <c r="T103" i="2"/>
  <c r="T104" i="2"/>
  <c r="T109" i="2"/>
  <c r="T110" i="2"/>
  <c r="T117" i="2"/>
  <c r="T118" i="2"/>
  <c r="T119" i="2"/>
  <c r="T120" i="2"/>
  <c r="T121" i="2"/>
  <c r="T122" i="2"/>
  <c r="T123" i="2"/>
  <c r="T124" i="2"/>
  <c r="T134" i="2"/>
  <c r="T136" i="2"/>
  <c r="T137" i="2"/>
  <c r="T139" i="2"/>
  <c r="T142" i="2"/>
  <c r="T143" i="2"/>
  <c r="T145" i="2"/>
  <c r="T146" i="2"/>
  <c r="T147" i="2"/>
  <c r="T149" i="2"/>
  <c r="T150" i="2"/>
  <c r="T151" i="2"/>
  <c r="T154" i="2"/>
  <c r="T161" i="2"/>
  <c r="T162" i="2"/>
  <c r="T164" i="2"/>
  <c r="T167" i="2"/>
  <c r="T169" i="2"/>
  <c r="T171" i="2"/>
  <c r="AG9" i="5"/>
  <c r="AF9" i="5"/>
  <c r="AD9" i="5"/>
  <c r="AB9" i="5"/>
  <c r="AC9" i="5" s="1"/>
  <c r="AA9" i="5"/>
  <c r="Z9" i="5"/>
  <c r="Y9" i="5"/>
  <c r="X9" i="5"/>
  <c r="W9" i="5"/>
  <c r="V9" i="5"/>
  <c r="S9" i="5"/>
  <c r="V12" i="2" a="1"/>
  <c r="V12" i="2" s="1"/>
  <c r="V14" i="2" a="1"/>
  <c r="V14" i="2" s="1"/>
  <c r="V20" i="2" a="1"/>
  <c r="V20" i="2" s="1"/>
  <c r="V16" i="2" a="1"/>
  <c r="V16" i="2" s="1"/>
  <c r="V13" i="2" a="1"/>
  <c r="V13" i="2" s="1"/>
  <c r="V15" i="2" a="1"/>
  <c r="V15" i="2" s="1"/>
  <c r="V18" i="2" a="1"/>
  <c r="V18" i="2" s="1"/>
  <c r="V17" i="2" a="1"/>
  <c r="V17" i="2" s="1"/>
  <c r="V19" i="2" a="1"/>
  <c r="V19" i="2" s="1"/>
  <c r="V22" i="2" a="1"/>
  <c r="V22" i="2" s="1"/>
  <c r="V27" i="2" a="1"/>
  <c r="V27" i="2" s="1"/>
  <c r="V28" i="2" a="1"/>
  <c r="V28" i="2" s="1"/>
  <c r="V30" i="2" a="1"/>
  <c r="V30" i="2" s="1"/>
  <c r="V35" i="2" a="1"/>
  <c r="V35" i="2" s="1"/>
  <c r="V39" i="2" a="1"/>
  <c r="V39" i="2" s="1"/>
  <c r="V40" i="2" a="1"/>
  <c r="V40" i="2" s="1"/>
  <c r="V43" i="2" a="1"/>
  <c r="V43" i="2" s="1"/>
  <c r="V45" i="2" a="1"/>
  <c r="V45" i="2" s="1"/>
  <c r="V50" i="2" a="1"/>
  <c r="V50" i="2" s="1"/>
  <c r="V51" i="2" a="1"/>
  <c r="V51" i="2" s="1"/>
  <c r="V52" i="2" a="1"/>
  <c r="V52" i="2" s="1"/>
  <c r="V53" i="2" a="1"/>
  <c r="V53" i="2" s="1"/>
  <c r="V54" i="2" a="1"/>
  <c r="V54" i="2" s="1"/>
  <c r="V55" i="2" a="1"/>
  <c r="V55" i="2" s="1"/>
  <c r="V56" i="2" a="1"/>
  <c r="V56" i="2" s="1"/>
  <c r="V57" i="2" a="1"/>
  <c r="V57" i="2" s="1"/>
  <c r="V58" i="2" a="1"/>
  <c r="V58" i="2" s="1"/>
  <c r="V59" i="2" a="1"/>
  <c r="V59" i="2" s="1"/>
  <c r="V60" i="2" a="1"/>
  <c r="V60" i="2" s="1"/>
  <c r="V61" i="2" a="1"/>
  <c r="V61" i="2" s="1"/>
  <c r="V63" i="2" a="1"/>
  <c r="V63" i="2" s="1"/>
  <c r="V64" i="2" a="1"/>
  <c r="V64" i="2" s="1"/>
  <c r="V65" i="2" a="1"/>
  <c r="V65" i="2" s="1"/>
  <c r="V68" i="2" a="1"/>
  <c r="V68" i="2" s="1"/>
  <c r="V69" i="2" a="1"/>
  <c r="V69" i="2" s="1"/>
  <c r="V70" i="2" a="1"/>
  <c r="V70" i="2" s="1"/>
  <c r="V74" i="2" a="1"/>
  <c r="V74" i="2" s="1"/>
  <c r="V76" i="2" a="1"/>
  <c r="V76" i="2" s="1"/>
  <c r="V80" i="2" a="1"/>
  <c r="V80" i="2" s="1"/>
  <c r="V83" i="2" a="1"/>
  <c r="V83" i="2" s="1"/>
  <c r="V84" i="2" a="1"/>
  <c r="V84" i="2" s="1"/>
  <c r="V85" i="2" a="1"/>
  <c r="V85" i="2" s="1"/>
  <c r="V9" i="15" s="1"/>
  <c r="W9" i="15" s="1"/>
  <c r="V87" i="2" a="1"/>
  <c r="V87" i="2" s="1"/>
  <c r="V94" i="2" a="1"/>
  <c r="V94" i="2" s="1"/>
  <c r="V95" i="2" a="1"/>
  <c r="V95" i="2" s="1"/>
  <c r="V97" i="2" a="1"/>
  <c r="V97" i="2" s="1"/>
  <c r="V103" i="2" a="1"/>
  <c r="V103" i="2" s="1"/>
  <c r="V104" i="2" a="1"/>
  <c r="V104" i="2" s="1"/>
  <c r="V109" i="2" a="1"/>
  <c r="V109" i="2" s="1"/>
  <c r="V110" i="2" a="1"/>
  <c r="V110" i="2" s="1"/>
  <c r="V117" i="2" a="1"/>
  <c r="V117" i="2" s="1"/>
  <c r="V118" i="2" a="1"/>
  <c r="V118" i="2" s="1"/>
  <c r="V119" i="2" a="1"/>
  <c r="V119" i="2" s="1"/>
  <c r="V120" i="2" a="1"/>
  <c r="V120" i="2" s="1"/>
  <c r="V121" i="2" a="1"/>
  <c r="V121" i="2" s="1"/>
  <c r="V122" i="2" a="1"/>
  <c r="V122" i="2" s="1"/>
  <c r="V123" i="2" a="1"/>
  <c r="V123" i="2" s="1"/>
  <c r="V124" i="2" a="1"/>
  <c r="V124" i="2" s="1"/>
  <c r="V134" i="2" a="1"/>
  <c r="V134" i="2" s="1"/>
  <c r="V136" i="2" a="1"/>
  <c r="V136" i="2" s="1"/>
  <c r="V137" i="2" a="1"/>
  <c r="V137" i="2" s="1"/>
  <c r="V139" i="2" a="1"/>
  <c r="V139" i="2" s="1"/>
  <c r="V142" i="2" a="1"/>
  <c r="V142" i="2" s="1"/>
  <c r="V143" i="2" a="1"/>
  <c r="V143" i="2" s="1"/>
  <c r="V145" i="2" a="1"/>
  <c r="V145" i="2" s="1"/>
  <c r="V146" i="2" a="1"/>
  <c r="V146" i="2" s="1"/>
  <c r="V147" i="2" a="1"/>
  <c r="V147" i="2" s="1"/>
  <c r="V149" i="2" a="1"/>
  <c r="V149" i="2" s="1"/>
  <c r="V150" i="2" a="1"/>
  <c r="V150" i="2" s="1"/>
  <c r="V151" i="2" a="1"/>
  <c r="V151" i="2" s="1"/>
  <c r="V154" i="2" a="1"/>
  <c r="V154" i="2" s="1"/>
  <c r="V161" i="2" a="1"/>
  <c r="V161" i="2" s="1"/>
  <c r="V162" i="2" a="1"/>
  <c r="V162" i="2" s="1"/>
  <c r="V164" i="2" a="1"/>
  <c r="V164" i="2" s="1"/>
  <c r="V167" i="2" a="1"/>
  <c r="V167" i="2" s="1"/>
  <c r="V169" i="2" a="1"/>
  <c r="V169" i="2" s="1"/>
  <c r="V171" i="2" a="1"/>
  <c r="V171" i="2" s="1"/>
  <c r="U12" i="2" a="1"/>
  <c r="U12" i="2" s="1"/>
  <c r="U14" i="2" a="1"/>
  <c r="U14" i="2" s="1"/>
  <c r="U20" i="2" a="1"/>
  <c r="U20" i="2" s="1"/>
  <c r="U16" i="2" a="1"/>
  <c r="U16" i="2" s="1"/>
  <c r="U15" i="2" a="1"/>
  <c r="U15" i="2" s="1"/>
  <c r="U18" i="2" a="1"/>
  <c r="U18" i="2" s="1"/>
  <c r="U17" i="2" a="1"/>
  <c r="U17" i="2" s="1"/>
  <c r="U19" i="2" a="1"/>
  <c r="U19" i="2" s="1"/>
  <c r="BV92" i="4"/>
  <c r="BW92" i="4" s="1"/>
  <c r="BH92" i="4"/>
  <c r="BL92" i="4" s="1"/>
  <c r="AT92" i="4"/>
  <c r="AV92" i="4" s="1"/>
  <c r="AI92" i="4"/>
  <c r="AH92" i="4"/>
  <c r="AG92" i="4"/>
  <c r="AF92" i="4"/>
  <c r="AJ92" i="4" s="1"/>
  <c r="R92" i="4"/>
  <c r="Q92" i="4"/>
  <c r="P92" i="4"/>
  <c r="O92" i="4"/>
  <c r="BZ91" i="4"/>
  <c r="BY91" i="4"/>
  <c r="BX91" i="4"/>
  <c r="BV91" i="4"/>
  <c r="BW91" i="4" s="1"/>
  <c r="BH91" i="4"/>
  <c r="BL91" i="4" s="1"/>
  <c r="AU91" i="4"/>
  <c r="AT91" i="4"/>
  <c r="AF91" i="4"/>
  <c r="AG91" i="4" s="1"/>
  <c r="R91" i="4"/>
  <c r="Q91" i="4"/>
  <c r="P91" i="4"/>
  <c r="O91" i="4"/>
  <c r="BV90" i="4"/>
  <c r="BH90" i="4"/>
  <c r="AT90" i="4"/>
  <c r="AW90" i="4" s="1"/>
  <c r="AF90" i="4"/>
  <c r="AJ90" i="4" s="1"/>
  <c r="V90" i="4"/>
  <c r="T90" i="4"/>
  <c r="R90" i="4"/>
  <c r="Q90" i="4"/>
  <c r="P90" i="4"/>
  <c r="O90" i="4"/>
  <c r="BV89" i="4"/>
  <c r="BK89" i="4"/>
  <c r="BH89" i="4"/>
  <c r="BI89" i="4" s="1"/>
  <c r="AT89" i="4"/>
  <c r="AX89" i="4" s="1"/>
  <c r="AF89" i="4"/>
  <c r="AH89" i="4" s="1"/>
  <c r="V89" i="4"/>
  <c r="T89" i="4"/>
  <c r="R89" i="4"/>
  <c r="Q89" i="4"/>
  <c r="P89" i="4"/>
  <c r="O89" i="4"/>
  <c r="BV88" i="4"/>
  <c r="BZ88" i="4" s="1"/>
  <c r="BH88" i="4"/>
  <c r="BL88" i="4" s="1"/>
  <c r="AT88" i="4"/>
  <c r="AI88" i="4"/>
  <c r="AH88" i="4"/>
  <c r="AG88" i="4"/>
  <c r="AF88" i="4"/>
  <c r="AJ88" i="4" s="1"/>
  <c r="V88" i="4"/>
  <c r="T88" i="4"/>
  <c r="R88" i="4"/>
  <c r="Q88" i="4"/>
  <c r="P88" i="4"/>
  <c r="O88" i="4"/>
  <c r="BV87" i="4"/>
  <c r="BH87" i="4"/>
  <c r="AT87" i="4"/>
  <c r="AU87" i="4" s="1"/>
  <c r="AF87" i="4"/>
  <c r="AG87" i="4" s="1"/>
  <c r="V87" i="4"/>
  <c r="T87" i="4"/>
  <c r="R87" i="4"/>
  <c r="Q87" i="4"/>
  <c r="P87" i="4"/>
  <c r="O87" i="4"/>
  <c r="BV86" i="4"/>
  <c r="BH86" i="4"/>
  <c r="AV86" i="4"/>
  <c r="AT86" i="4"/>
  <c r="AF86" i="4"/>
  <c r="AG86" i="4" s="1"/>
  <c r="V86" i="4"/>
  <c r="T86" i="4"/>
  <c r="R86" i="4"/>
  <c r="Q86" i="4"/>
  <c r="Y90" i="4" s="1"/>
  <c r="P86" i="4"/>
  <c r="O86" i="4"/>
  <c r="BV85" i="4"/>
  <c r="BH85" i="4"/>
  <c r="AT85" i="4"/>
  <c r="AF85" i="4"/>
  <c r="AJ85" i="4" s="1"/>
  <c r="V85" i="4"/>
  <c r="T85" i="4"/>
  <c r="S85" i="4"/>
  <c r="S86" i="4" s="1"/>
  <c r="S87" i="4" s="1"/>
  <c r="S88" i="4" s="1"/>
  <c r="S89" i="4" s="1"/>
  <c r="S90" i="4" s="1"/>
  <c r="S91" i="4" s="1"/>
  <c r="S92" i="4" s="1"/>
  <c r="R85" i="4"/>
  <c r="Q85" i="4"/>
  <c r="P85" i="4"/>
  <c r="O85" i="4"/>
  <c r="BV83" i="4"/>
  <c r="BY83" i="4" s="1"/>
  <c r="BH83" i="4"/>
  <c r="AT83" i="4"/>
  <c r="AV83" i="4" s="1"/>
  <c r="AF83" i="4"/>
  <c r="R83" i="4"/>
  <c r="Q83" i="4"/>
  <c r="P83" i="4"/>
  <c r="O83" i="4"/>
  <c r="BV82" i="4"/>
  <c r="BH82" i="4"/>
  <c r="BJ82" i="4" s="1"/>
  <c r="AT82" i="4"/>
  <c r="AF82" i="4"/>
  <c r="AI82" i="4" s="1"/>
  <c r="R82" i="4"/>
  <c r="Q82" i="4"/>
  <c r="P82" i="4"/>
  <c r="O82" i="4"/>
  <c r="BV81" i="4"/>
  <c r="BW81" i="4" s="1"/>
  <c r="BH81" i="4"/>
  <c r="BJ81" i="4" s="1"/>
  <c r="AT81" i="4"/>
  <c r="AF81" i="4"/>
  <c r="AJ81" i="4" s="1"/>
  <c r="V81" i="4"/>
  <c r="T81" i="4"/>
  <c r="R81" i="4"/>
  <c r="Q81" i="4"/>
  <c r="P81" i="4"/>
  <c r="O81" i="4"/>
  <c r="BZ80" i="4"/>
  <c r="BV80" i="4"/>
  <c r="BX80" i="4" s="1"/>
  <c r="BL80" i="4"/>
  <c r="BH80" i="4"/>
  <c r="BI80" i="4" s="1"/>
  <c r="AT80" i="4"/>
  <c r="AF80" i="4"/>
  <c r="AJ80" i="4" s="1"/>
  <c r="V80" i="4"/>
  <c r="T80" i="4"/>
  <c r="R80" i="4"/>
  <c r="Q80" i="4"/>
  <c r="P80" i="4"/>
  <c r="O80" i="4"/>
  <c r="BV79" i="4"/>
  <c r="BY79" i="4" s="1"/>
  <c r="BK79" i="4"/>
  <c r="BH79" i="4"/>
  <c r="BJ79" i="4" s="1"/>
  <c r="AT79" i="4"/>
  <c r="AF79" i="4"/>
  <c r="V79" i="4"/>
  <c r="T79" i="4"/>
  <c r="R79" i="4"/>
  <c r="Q79" i="4"/>
  <c r="P79" i="4"/>
  <c r="O79" i="4"/>
  <c r="BZ78" i="4"/>
  <c r="BV78" i="4"/>
  <c r="BW78" i="4" s="1"/>
  <c r="BH78" i="4"/>
  <c r="AT78" i="4"/>
  <c r="AW78" i="4" s="1"/>
  <c r="AF78" i="4"/>
  <c r="V78" i="4"/>
  <c r="T78" i="4"/>
  <c r="R78" i="4"/>
  <c r="Q78" i="4"/>
  <c r="P78" i="4"/>
  <c r="O78" i="4"/>
  <c r="BV77" i="4"/>
  <c r="BW77" i="4" s="1"/>
  <c r="BI77" i="4"/>
  <c r="BH77" i="4"/>
  <c r="BJ77" i="4" s="1"/>
  <c r="AX77" i="4"/>
  <c r="AV77" i="4"/>
  <c r="AT77" i="4"/>
  <c r="AW77" i="4" s="1"/>
  <c r="AF77" i="4"/>
  <c r="V77" i="4"/>
  <c r="T77" i="4"/>
  <c r="R77" i="4"/>
  <c r="Q77" i="4"/>
  <c r="P77" i="4"/>
  <c r="O77" i="4"/>
  <c r="W76" i="4" s="1"/>
  <c r="BV76" i="4"/>
  <c r="BZ76" i="4" s="1"/>
  <c r="BH76" i="4"/>
  <c r="BK76" i="4" s="1"/>
  <c r="AT76" i="4"/>
  <c r="AU76" i="4" s="1"/>
  <c r="AF76" i="4"/>
  <c r="AI76" i="4" s="1"/>
  <c r="V76" i="4"/>
  <c r="T76" i="4"/>
  <c r="S76" i="4"/>
  <c r="S77" i="4" s="1"/>
  <c r="S78" i="4" s="1"/>
  <c r="S79" i="4" s="1"/>
  <c r="S80" i="4" s="1"/>
  <c r="S81" i="4" s="1"/>
  <c r="S82" i="4" s="1"/>
  <c r="S83" i="4" s="1"/>
  <c r="R76" i="4"/>
  <c r="Q76" i="4"/>
  <c r="P76" i="4"/>
  <c r="O76" i="4"/>
  <c r="BX74" i="4"/>
  <c r="BV74" i="4"/>
  <c r="BJ74" i="4"/>
  <c r="BI74" i="4"/>
  <c r="BH74" i="4"/>
  <c r="BL74" i="4" s="1"/>
  <c r="AT74" i="4"/>
  <c r="AI74" i="4"/>
  <c r="AF74" i="4"/>
  <c r="AH74" i="4" s="1"/>
  <c r="R74" i="4"/>
  <c r="Q74" i="4"/>
  <c r="P74" i="4"/>
  <c r="O74" i="4"/>
  <c r="BZ73" i="4"/>
  <c r="BV73" i="4"/>
  <c r="BW73" i="4" s="1"/>
  <c r="BH73" i="4"/>
  <c r="AT73" i="4"/>
  <c r="AF73" i="4"/>
  <c r="AI73" i="4" s="1"/>
  <c r="R73" i="4"/>
  <c r="Q73" i="4"/>
  <c r="P73" i="4"/>
  <c r="O73" i="4"/>
  <c r="BV72" i="4"/>
  <c r="BY72" i="4" s="1"/>
  <c r="BL72" i="4"/>
  <c r="BH72" i="4"/>
  <c r="AT72" i="4"/>
  <c r="AU72" i="4" s="1"/>
  <c r="AG72" i="4"/>
  <c r="AF72" i="4"/>
  <c r="V72" i="4"/>
  <c r="T72" i="4"/>
  <c r="R72" i="4"/>
  <c r="Q72" i="4"/>
  <c r="P72" i="4"/>
  <c r="O72" i="4"/>
  <c r="BY71" i="4"/>
  <c r="BV71" i="4"/>
  <c r="BW71" i="4" s="1"/>
  <c r="BH71" i="4"/>
  <c r="BJ71" i="4" s="1"/>
  <c r="AW71" i="4"/>
  <c r="AT71" i="4"/>
  <c r="AV71" i="4" s="1"/>
  <c r="AG71" i="4"/>
  <c r="AF71" i="4"/>
  <c r="V71" i="4"/>
  <c r="T71" i="4"/>
  <c r="R71" i="4"/>
  <c r="Q71" i="4"/>
  <c r="P71" i="4"/>
  <c r="O71" i="4"/>
  <c r="BZ70" i="4"/>
  <c r="BY70" i="4"/>
  <c r="BV70" i="4"/>
  <c r="BW70" i="4" s="1"/>
  <c r="BH70" i="4"/>
  <c r="BL70" i="4" s="1"/>
  <c r="AT70" i="4"/>
  <c r="AI70" i="4"/>
  <c r="AH70" i="4"/>
  <c r="AF70" i="4"/>
  <c r="AG70" i="4" s="1"/>
  <c r="V70" i="4"/>
  <c r="T70" i="4"/>
  <c r="R70" i="4"/>
  <c r="Q70" i="4"/>
  <c r="P70" i="4"/>
  <c r="O70" i="4"/>
  <c r="BX69" i="4"/>
  <c r="BV69" i="4"/>
  <c r="BH69" i="4"/>
  <c r="BJ69" i="4" s="1"/>
  <c r="AT69" i="4"/>
  <c r="AF69" i="4"/>
  <c r="AG69" i="4" s="1"/>
  <c r="V69" i="4"/>
  <c r="T69" i="4"/>
  <c r="R69" i="4"/>
  <c r="Q69" i="4"/>
  <c r="P69" i="4"/>
  <c r="O69" i="4"/>
  <c r="BZ68" i="4"/>
  <c r="BY68" i="4"/>
  <c r="BV68" i="4"/>
  <c r="BW68" i="4" s="1"/>
  <c r="BH68" i="4"/>
  <c r="AT68" i="4"/>
  <c r="AU68" i="4" s="1"/>
  <c r="AI68" i="4"/>
  <c r="AF68" i="4"/>
  <c r="AG68" i="4" s="1"/>
  <c r="V68" i="4"/>
  <c r="T68" i="4"/>
  <c r="R68" i="4"/>
  <c r="Q68" i="4"/>
  <c r="P68" i="4"/>
  <c r="O68" i="4"/>
  <c r="W68" i="4" s="1"/>
  <c r="BV67" i="4"/>
  <c r="BH67" i="4"/>
  <c r="BI67" i="4" s="1"/>
  <c r="AT67" i="4"/>
  <c r="AV67" i="4" s="1"/>
  <c r="AF67" i="4"/>
  <c r="V67" i="4"/>
  <c r="T67" i="4"/>
  <c r="S67" i="4"/>
  <c r="S68" i="4" s="1"/>
  <c r="S69" i="4" s="1"/>
  <c r="S70" i="4" s="1"/>
  <c r="S71" i="4" s="1"/>
  <c r="S72" i="4" s="1"/>
  <c r="S73" i="4" s="1"/>
  <c r="S74" i="4" s="1"/>
  <c r="R67" i="4"/>
  <c r="Q67" i="4"/>
  <c r="P67" i="4"/>
  <c r="O67" i="4"/>
  <c r="BV65" i="4"/>
  <c r="BY65" i="4" s="1"/>
  <c r="BH65" i="4"/>
  <c r="AT65" i="4"/>
  <c r="AF65" i="4"/>
  <c r="AH65" i="4" s="1"/>
  <c r="R65" i="4"/>
  <c r="Q65" i="4"/>
  <c r="P65" i="4"/>
  <c r="O65" i="4"/>
  <c r="BZ64" i="4"/>
  <c r="BV64" i="4"/>
  <c r="BY64" i="4" s="1"/>
  <c r="BH64" i="4"/>
  <c r="BI64" i="4" s="1"/>
  <c r="AT64" i="4"/>
  <c r="AW64" i="4" s="1"/>
  <c r="AF64" i="4"/>
  <c r="R64" i="4"/>
  <c r="Q64" i="4"/>
  <c r="P64" i="4"/>
  <c r="X62" i="4" s="1"/>
  <c r="O64" i="4"/>
  <c r="BV63" i="4"/>
  <c r="BH63" i="4"/>
  <c r="BJ63" i="4" s="1"/>
  <c r="AT63" i="4"/>
  <c r="AF63" i="4"/>
  <c r="AH63" i="4" s="1"/>
  <c r="V63" i="4"/>
  <c r="T63" i="4"/>
  <c r="R63" i="4"/>
  <c r="Q63" i="4"/>
  <c r="P63" i="4"/>
  <c r="O63" i="4"/>
  <c r="BV62" i="4"/>
  <c r="BY62" i="4" s="1"/>
  <c r="BH62" i="4"/>
  <c r="BK62" i="4" s="1"/>
  <c r="AT62" i="4"/>
  <c r="AU62" i="4" s="1"/>
  <c r="AI62" i="4"/>
  <c r="AH62" i="4"/>
  <c r="AF62" i="4"/>
  <c r="V62" i="4"/>
  <c r="T62" i="4"/>
  <c r="R62" i="4"/>
  <c r="Q62" i="4"/>
  <c r="P62" i="4"/>
  <c r="O62" i="4"/>
  <c r="BV61" i="4"/>
  <c r="BH61" i="4"/>
  <c r="BL61" i="4" s="1"/>
  <c r="AT61" i="4"/>
  <c r="AG61" i="4"/>
  <c r="AF61" i="4"/>
  <c r="AH61" i="4" s="1"/>
  <c r="V61" i="4"/>
  <c r="T61" i="4"/>
  <c r="R61" i="4"/>
  <c r="Q61" i="4"/>
  <c r="P61" i="4"/>
  <c r="O61" i="4"/>
  <c r="BV60" i="4"/>
  <c r="BH60" i="4"/>
  <c r="BL60" i="4" s="1"/>
  <c r="AT60" i="4"/>
  <c r="AF60" i="4"/>
  <c r="V60" i="4"/>
  <c r="T60" i="4"/>
  <c r="S60" i="4"/>
  <c r="S61" i="4" s="1"/>
  <c r="S62" i="4" s="1"/>
  <c r="S63" i="4" s="1"/>
  <c r="S64" i="4" s="1"/>
  <c r="S65" i="4" s="1"/>
  <c r="R60" i="4"/>
  <c r="Q60" i="4"/>
  <c r="P60" i="4"/>
  <c r="O60" i="4"/>
  <c r="W62" i="4" s="1"/>
  <c r="BV59" i="4"/>
  <c r="BZ59" i="4" s="1"/>
  <c r="BK59" i="4"/>
  <c r="BJ59" i="4"/>
  <c r="BI59" i="4"/>
  <c r="BH59" i="4"/>
  <c r="BL59" i="4" s="1"/>
  <c r="AT59" i="4"/>
  <c r="AF59" i="4"/>
  <c r="V59" i="4"/>
  <c r="T59" i="4"/>
  <c r="S59" i="4"/>
  <c r="R59" i="4"/>
  <c r="Q59" i="4"/>
  <c r="P59" i="4"/>
  <c r="O59" i="4"/>
  <c r="BV58" i="4"/>
  <c r="BH58" i="4"/>
  <c r="AT58" i="4"/>
  <c r="AF58" i="4"/>
  <c r="V58" i="4"/>
  <c r="T58" i="4"/>
  <c r="S58" i="4"/>
  <c r="R58" i="4"/>
  <c r="Q58" i="4"/>
  <c r="Y58" i="4" s="1"/>
  <c r="P58" i="4"/>
  <c r="O58" i="4"/>
  <c r="BV56" i="4"/>
  <c r="BX56" i="4" s="1"/>
  <c r="BK56" i="4"/>
  <c r="BH56" i="4"/>
  <c r="BL56" i="4" s="1"/>
  <c r="AT56" i="4"/>
  <c r="AW56" i="4" s="1"/>
  <c r="AJ56" i="4"/>
  <c r="AI56" i="4"/>
  <c r="AF56" i="4"/>
  <c r="AH56" i="4" s="1"/>
  <c r="R56" i="4"/>
  <c r="Q56" i="4"/>
  <c r="P56" i="4"/>
  <c r="O56" i="4"/>
  <c r="BV55" i="4"/>
  <c r="BH55" i="4"/>
  <c r="BI55" i="4" s="1"/>
  <c r="AW55" i="4"/>
  <c r="AT55" i="4"/>
  <c r="AU55" i="4" s="1"/>
  <c r="AF55" i="4"/>
  <c r="AH55" i="4" s="1"/>
  <c r="R55" i="4"/>
  <c r="Q55" i="4"/>
  <c r="P55" i="4"/>
  <c r="O55" i="4"/>
  <c r="BV54" i="4"/>
  <c r="BX54" i="4" s="1"/>
  <c r="BH54" i="4"/>
  <c r="BL54" i="4" s="1"/>
  <c r="AT54" i="4"/>
  <c r="AU54" i="4" s="1"/>
  <c r="AF54" i="4"/>
  <c r="V54" i="4"/>
  <c r="T54" i="4"/>
  <c r="R54" i="4"/>
  <c r="Q54" i="4"/>
  <c r="P54" i="4"/>
  <c r="O54" i="4"/>
  <c r="BV53" i="4"/>
  <c r="BH53" i="4"/>
  <c r="BL53" i="4" s="1"/>
  <c r="AT53" i="4"/>
  <c r="AV53" i="4" s="1"/>
  <c r="AI53" i="4"/>
  <c r="AF53" i="4"/>
  <c r="AJ53" i="4" s="1"/>
  <c r="V53" i="4"/>
  <c r="T53" i="4"/>
  <c r="R53" i="4"/>
  <c r="Q53" i="4"/>
  <c r="P53" i="4"/>
  <c r="O53" i="4"/>
  <c r="BV52" i="4"/>
  <c r="BZ52" i="4" s="1"/>
  <c r="BH52" i="4"/>
  <c r="AT52" i="4"/>
  <c r="AF52" i="4"/>
  <c r="AI52" i="4" s="1"/>
  <c r="V52" i="4"/>
  <c r="T52" i="4"/>
  <c r="R52" i="4"/>
  <c r="Q52" i="4"/>
  <c r="P52" i="4"/>
  <c r="O52" i="4"/>
  <c r="BV51" i="4"/>
  <c r="BY51" i="4" s="1"/>
  <c r="BH51" i="4"/>
  <c r="BI51" i="4" s="1"/>
  <c r="AT51" i="4"/>
  <c r="AF51" i="4"/>
  <c r="V51" i="4"/>
  <c r="T51" i="4"/>
  <c r="R51" i="4"/>
  <c r="Q51" i="4"/>
  <c r="P51" i="4"/>
  <c r="O51" i="4"/>
  <c r="BV50" i="4"/>
  <c r="BH50" i="4"/>
  <c r="BJ50" i="4" s="1"/>
  <c r="AT50" i="4"/>
  <c r="AV50" i="4" s="1"/>
  <c r="AF50" i="4"/>
  <c r="AI50" i="4" s="1"/>
  <c r="V50" i="4"/>
  <c r="T50" i="4"/>
  <c r="R50" i="4"/>
  <c r="Q50" i="4"/>
  <c r="P50" i="4"/>
  <c r="O50" i="4"/>
  <c r="BV49" i="4"/>
  <c r="BH49" i="4"/>
  <c r="AT49" i="4"/>
  <c r="AF49" i="4"/>
  <c r="V49" i="4"/>
  <c r="T49" i="4"/>
  <c r="S49" i="4"/>
  <c r="S50" i="4" s="1"/>
  <c r="S51" i="4" s="1"/>
  <c r="S52" i="4" s="1"/>
  <c r="S53" i="4" s="1"/>
  <c r="S54" i="4" s="1"/>
  <c r="S55" i="4" s="1"/>
  <c r="S56" i="4" s="1"/>
  <c r="R49" i="4"/>
  <c r="Q49" i="4"/>
  <c r="P49" i="4"/>
  <c r="O49" i="4"/>
  <c r="BV47" i="4"/>
  <c r="BW47" i="4" s="1"/>
  <c r="BH47" i="4"/>
  <c r="BK47" i="4" s="1"/>
  <c r="AT47" i="4"/>
  <c r="AX47" i="4" s="1"/>
  <c r="AF47" i="4"/>
  <c r="AH47" i="4" s="1"/>
  <c r="R47" i="4"/>
  <c r="Q47" i="4"/>
  <c r="P47" i="4"/>
  <c r="O47" i="4"/>
  <c r="BV46" i="4"/>
  <c r="BH46" i="4"/>
  <c r="BI46" i="4" s="1"/>
  <c r="AT46" i="4"/>
  <c r="AJ46" i="4"/>
  <c r="AF46" i="4"/>
  <c r="AH46" i="4" s="1"/>
  <c r="R46" i="4"/>
  <c r="Q46" i="4"/>
  <c r="P46" i="4"/>
  <c r="O46" i="4"/>
  <c r="BV45" i="4"/>
  <c r="BH45" i="4"/>
  <c r="AT45" i="4"/>
  <c r="AU45" i="4" s="1"/>
  <c r="AF45" i="4"/>
  <c r="AI45" i="4" s="1"/>
  <c r="V45" i="4"/>
  <c r="T45" i="4"/>
  <c r="R45" i="4"/>
  <c r="Q45" i="4"/>
  <c r="P45" i="4"/>
  <c r="O45" i="4"/>
  <c r="BV44" i="4"/>
  <c r="BW44" i="4" s="1"/>
  <c r="BH44" i="4"/>
  <c r="AV44" i="4"/>
  <c r="AT44" i="4"/>
  <c r="AW44" i="4" s="1"/>
  <c r="AF44" i="4"/>
  <c r="V44" i="4"/>
  <c r="T44" i="4"/>
  <c r="R44" i="4"/>
  <c r="Q44" i="4"/>
  <c r="P44" i="4"/>
  <c r="O44" i="4"/>
  <c r="W45" i="4" s="1"/>
  <c r="BV43" i="4"/>
  <c r="BW43" i="4" s="1"/>
  <c r="BH43" i="4"/>
  <c r="AT43" i="4"/>
  <c r="AF43" i="4"/>
  <c r="V43" i="4"/>
  <c r="T43" i="4"/>
  <c r="R43" i="4"/>
  <c r="Q43" i="4"/>
  <c r="P43" i="4"/>
  <c r="O43" i="4"/>
  <c r="BY42" i="4"/>
  <c r="BX42" i="4"/>
  <c r="BV42" i="4"/>
  <c r="BW42" i="4" s="1"/>
  <c r="BH42" i="4"/>
  <c r="BJ42" i="4" s="1"/>
  <c r="AT42" i="4"/>
  <c r="AV42" i="4" s="1"/>
  <c r="AF42" i="4"/>
  <c r="AJ42" i="4" s="1"/>
  <c r="V42" i="4"/>
  <c r="T42" i="4"/>
  <c r="R42" i="4"/>
  <c r="Q42" i="4"/>
  <c r="P42" i="4"/>
  <c r="O42" i="4"/>
  <c r="BV41" i="4"/>
  <c r="BK41" i="4"/>
  <c r="BJ41" i="4"/>
  <c r="BH41" i="4"/>
  <c r="BI41" i="4" s="1"/>
  <c r="AT41" i="4"/>
  <c r="AU41" i="4" s="1"/>
  <c r="AF41" i="4"/>
  <c r="AH41" i="4" s="1"/>
  <c r="V41" i="4"/>
  <c r="T41" i="4"/>
  <c r="R41" i="4"/>
  <c r="Q41" i="4"/>
  <c r="P41" i="4"/>
  <c r="O41" i="4"/>
  <c r="BX40" i="4"/>
  <c r="BV40" i="4"/>
  <c r="BW40" i="4" s="1"/>
  <c r="BH40" i="4"/>
  <c r="BK40" i="4" s="1"/>
  <c r="AU40" i="4"/>
  <c r="AT40" i="4"/>
  <c r="AF40" i="4"/>
  <c r="AH40" i="4" s="1"/>
  <c r="V40" i="4"/>
  <c r="T40" i="4"/>
  <c r="S40" i="4"/>
  <c r="S41" i="4" s="1"/>
  <c r="S42" i="4" s="1"/>
  <c r="S43" i="4" s="1"/>
  <c r="S44" i="4" s="1"/>
  <c r="S45" i="4" s="1"/>
  <c r="S46" i="4" s="1"/>
  <c r="S47" i="4" s="1"/>
  <c r="R40" i="4"/>
  <c r="Q40" i="4"/>
  <c r="P40" i="4"/>
  <c r="O40" i="4"/>
  <c r="BV38" i="4"/>
  <c r="BX38" i="4" s="1"/>
  <c r="BH38" i="4"/>
  <c r="AT38" i="4"/>
  <c r="AW38" i="4" s="1"/>
  <c r="AG38" i="4"/>
  <c r="AF38" i="4"/>
  <c r="AJ38" i="4" s="1"/>
  <c r="R38" i="4"/>
  <c r="Q38" i="4"/>
  <c r="P38" i="4"/>
  <c r="O38" i="4"/>
  <c r="BV37" i="4"/>
  <c r="BH37" i="4"/>
  <c r="AT37" i="4"/>
  <c r="AF37" i="4"/>
  <c r="AG37" i="4" s="1"/>
  <c r="R37" i="4"/>
  <c r="Q37" i="4"/>
  <c r="P37" i="4"/>
  <c r="O37" i="4"/>
  <c r="BV36" i="4"/>
  <c r="BY36" i="4" s="1"/>
  <c r="BJ36" i="4"/>
  <c r="BH36" i="4"/>
  <c r="BI36" i="4" s="1"/>
  <c r="AX36" i="4"/>
  <c r="AW36" i="4"/>
  <c r="AT36" i="4"/>
  <c r="AV36" i="4" s="1"/>
  <c r="AF36" i="4"/>
  <c r="AG36" i="4" s="1"/>
  <c r="V36" i="4"/>
  <c r="T36" i="4"/>
  <c r="R36" i="4"/>
  <c r="Q36" i="4"/>
  <c r="P36" i="4"/>
  <c r="O36" i="4"/>
  <c r="BV35" i="4"/>
  <c r="BX35" i="4" s="1"/>
  <c r="BJ35" i="4"/>
  <c r="BI35" i="4"/>
  <c r="BH35" i="4"/>
  <c r="BK35" i="4" s="1"/>
  <c r="AT35" i="4"/>
  <c r="AU35" i="4" s="1"/>
  <c r="AF35" i="4"/>
  <c r="V35" i="4"/>
  <c r="T35" i="4"/>
  <c r="R35" i="4"/>
  <c r="Q35" i="4"/>
  <c r="P35" i="4"/>
  <c r="O35" i="4"/>
  <c r="BV34" i="4"/>
  <c r="BH34" i="4"/>
  <c r="BK34" i="4" s="1"/>
  <c r="AT34" i="4"/>
  <c r="AI34" i="4"/>
  <c r="AH34" i="4"/>
  <c r="AF34" i="4"/>
  <c r="AG34" i="4" s="1"/>
  <c r="V34" i="4"/>
  <c r="T34" i="4"/>
  <c r="R34" i="4"/>
  <c r="Q34" i="4"/>
  <c r="P34" i="4"/>
  <c r="O34" i="4"/>
  <c r="BV33" i="4"/>
  <c r="BX33" i="4" s="1"/>
  <c r="BH33" i="4"/>
  <c r="AT33" i="4"/>
  <c r="AJ33" i="4"/>
  <c r="AF33" i="4"/>
  <c r="AI33" i="4" s="1"/>
  <c r="V33" i="4"/>
  <c r="T33" i="4"/>
  <c r="R33" i="4"/>
  <c r="Q33" i="4"/>
  <c r="P33" i="4"/>
  <c r="O33" i="4"/>
  <c r="W34" i="4" s="1"/>
  <c r="BV32" i="4"/>
  <c r="BH32" i="4"/>
  <c r="BL32" i="4" s="1"/>
  <c r="AT32" i="4"/>
  <c r="AF32" i="4"/>
  <c r="AH32" i="4" s="1"/>
  <c r="V32" i="4"/>
  <c r="T32" i="4"/>
  <c r="R32" i="4"/>
  <c r="Q32" i="4"/>
  <c r="P32" i="4"/>
  <c r="O32" i="4"/>
  <c r="BV31" i="4"/>
  <c r="BY31" i="4" s="1"/>
  <c r="BL31" i="4"/>
  <c r="BK31" i="4"/>
  <c r="BH31" i="4"/>
  <c r="BJ31" i="4" s="1"/>
  <c r="AV31" i="4"/>
  <c r="AT31" i="4"/>
  <c r="AX31" i="4" s="1"/>
  <c r="AF31" i="4"/>
  <c r="AG31" i="4" s="1"/>
  <c r="V31" i="4"/>
  <c r="T31" i="4"/>
  <c r="S31" i="4"/>
  <c r="S32" i="4" s="1"/>
  <c r="S33" i="4" s="1"/>
  <c r="S34" i="4" s="1"/>
  <c r="S35" i="4" s="1"/>
  <c r="S36" i="4" s="1"/>
  <c r="S37" i="4" s="1"/>
  <c r="S38" i="4" s="1"/>
  <c r="R31" i="4"/>
  <c r="Q31" i="4"/>
  <c r="P31" i="4"/>
  <c r="O31" i="4"/>
  <c r="BV29" i="4"/>
  <c r="BH29" i="4"/>
  <c r="AU29" i="4"/>
  <c r="AT29" i="4"/>
  <c r="AF29" i="4"/>
  <c r="R29" i="4"/>
  <c r="Q29" i="4"/>
  <c r="P29" i="4"/>
  <c r="O29" i="4"/>
  <c r="BV28" i="4"/>
  <c r="BL28" i="4"/>
  <c r="BJ28" i="4"/>
  <c r="BI28" i="4"/>
  <c r="BH28" i="4"/>
  <c r="BK28" i="4" s="1"/>
  <c r="AT28" i="4"/>
  <c r="AF28" i="4"/>
  <c r="AJ28" i="4" s="1"/>
  <c r="R28" i="4"/>
  <c r="Q28" i="4"/>
  <c r="P28" i="4"/>
  <c r="O28" i="4"/>
  <c r="BV27" i="4"/>
  <c r="BW27" i="4" s="1"/>
  <c r="BJ27" i="4"/>
  <c r="BI27" i="4"/>
  <c r="BH27" i="4"/>
  <c r="BL27" i="4" s="1"/>
  <c r="AT27" i="4"/>
  <c r="AF27" i="4"/>
  <c r="AH27" i="4" s="1"/>
  <c r="V27" i="4"/>
  <c r="T27" i="4"/>
  <c r="R27" i="4"/>
  <c r="Q27" i="4"/>
  <c r="P27" i="4"/>
  <c r="O27" i="4"/>
  <c r="BV26" i="4"/>
  <c r="BW26" i="4" s="1"/>
  <c r="BL26" i="4"/>
  <c r="BH26" i="4"/>
  <c r="BJ26" i="4" s="1"/>
  <c r="AT26" i="4"/>
  <c r="AF26" i="4"/>
  <c r="AG26" i="4" s="1"/>
  <c r="V26" i="4"/>
  <c r="T26" i="4"/>
  <c r="R26" i="4"/>
  <c r="Q26" i="4"/>
  <c r="P26" i="4"/>
  <c r="X27" i="4" s="1"/>
  <c r="O26" i="4"/>
  <c r="BV25" i="4"/>
  <c r="BZ25" i="4" s="1"/>
  <c r="BH25" i="4"/>
  <c r="BJ25" i="4" s="1"/>
  <c r="AT25" i="4"/>
  <c r="AF25" i="4"/>
  <c r="V25" i="4"/>
  <c r="T25" i="4"/>
  <c r="R25" i="4"/>
  <c r="Q25" i="4"/>
  <c r="P25" i="4"/>
  <c r="O25" i="4"/>
  <c r="BV24" i="4"/>
  <c r="BY24" i="4" s="1"/>
  <c r="BH24" i="4"/>
  <c r="AT24" i="4"/>
  <c r="AU24" i="4" s="1"/>
  <c r="AF24" i="4"/>
  <c r="AG24" i="4" s="1"/>
  <c r="V24" i="4"/>
  <c r="T24" i="4"/>
  <c r="R24" i="4"/>
  <c r="Q24" i="4"/>
  <c r="P24" i="4"/>
  <c r="O24" i="4"/>
  <c r="BX23" i="4"/>
  <c r="BV23" i="4"/>
  <c r="BY23" i="4" s="1"/>
  <c r="BH23" i="4"/>
  <c r="AT23" i="4"/>
  <c r="AV23" i="4" s="1"/>
  <c r="AF23" i="4"/>
  <c r="V23" i="4"/>
  <c r="T23" i="4"/>
  <c r="R23" i="4"/>
  <c r="Q23" i="4"/>
  <c r="P23" i="4"/>
  <c r="O23" i="4"/>
  <c r="BV22" i="4"/>
  <c r="BI22" i="4"/>
  <c r="BH22" i="4"/>
  <c r="BJ22" i="4" s="1"/>
  <c r="AT22" i="4"/>
  <c r="AF22" i="4"/>
  <c r="V22" i="4"/>
  <c r="T22" i="4"/>
  <c r="S22" i="4"/>
  <c r="S23" i="4" s="1"/>
  <c r="S24" i="4" s="1"/>
  <c r="S25" i="4" s="1"/>
  <c r="S26" i="4" s="1"/>
  <c r="S27" i="4" s="1"/>
  <c r="S28" i="4" s="1"/>
  <c r="S29" i="4" s="1"/>
  <c r="R22" i="4"/>
  <c r="Z27" i="4" s="1"/>
  <c r="Q22" i="4"/>
  <c r="P22" i="4"/>
  <c r="O22" i="4"/>
  <c r="BX20" i="4"/>
  <c r="BV20" i="4"/>
  <c r="BL20" i="4"/>
  <c r="BH20" i="4"/>
  <c r="BJ20" i="4" s="1"/>
  <c r="AT20" i="4"/>
  <c r="AV20" i="4" s="1"/>
  <c r="AF20" i="4"/>
  <c r="R20" i="4"/>
  <c r="Q20" i="4"/>
  <c r="P20" i="4"/>
  <c r="O20" i="4"/>
  <c r="BV19" i="4"/>
  <c r="BX19" i="4" s="1"/>
  <c r="BH19" i="4"/>
  <c r="BL19" i="4" s="1"/>
  <c r="AX19" i="4"/>
  <c r="AW19" i="4"/>
  <c r="AV19" i="4"/>
  <c r="AT19" i="4"/>
  <c r="AU19" i="4" s="1"/>
  <c r="AF19" i="4"/>
  <c r="AH19" i="4" s="1"/>
  <c r="R19" i="4"/>
  <c r="Q19" i="4"/>
  <c r="P19" i="4"/>
  <c r="O19" i="4"/>
  <c r="BW18" i="4"/>
  <c r="BV18" i="4"/>
  <c r="BH18" i="4"/>
  <c r="AX18" i="4"/>
  <c r="AW18" i="4"/>
  <c r="AT18" i="4"/>
  <c r="AV18" i="4" s="1"/>
  <c r="AF18" i="4"/>
  <c r="V18" i="4"/>
  <c r="T18" i="4"/>
  <c r="R18" i="4"/>
  <c r="Q18" i="4"/>
  <c r="P18" i="4"/>
  <c r="O18" i="4"/>
  <c r="BV17" i="4"/>
  <c r="BJ17" i="4"/>
  <c r="BH17" i="4"/>
  <c r="BI17" i="4" s="1"/>
  <c r="AT17" i="4"/>
  <c r="AF17" i="4"/>
  <c r="AG17" i="4" s="1"/>
  <c r="V17" i="4"/>
  <c r="T17" i="4"/>
  <c r="R17" i="4"/>
  <c r="Q17" i="4"/>
  <c r="P17" i="4"/>
  <c r="O17" i="4"/>
  <c r="BV16" i="4"/>
  <c r="BH16" i="4"/>
  <c r="AT16" i="4"/>
  <c r="AF16" i="4"/>
  <c r="V16" i="4"/>
  <c r="T16" i="4"/>
  <c r="R16" i="4"/>
  <c r="Q16" i="4"/>
  <c r="P16" i="4"/>
  <c r="O16" i="4"/>
  <c r="BW15" i="4"/>
  <c r="BV15" i="4"/>
  <c r="BH15" i="4"/>
  <c r="AW15" i="4"/>
  <c r="AT15" i="4"/>
  <c r="AV15" i="4" s="1"/>
  <c r="AF15" i="4"/>
  <c r="AG15" i="4" s="1"/>
  <c r="V15" i="4"/>
  <c r="T15" i="4"/>
  <c r="R15" i="4"/>
  <c r="Q15" i="4"/>
  <c r="P15" i="4"/>
  <c r="O15" i="4"/>
  <c r="BV14" i="4"/>
  <c r="BZ14" i="4" s="1"/>
  <c r="BJ14" i="4"/>
  <c r="BH14" i="4"/>
  <c r="BI14" i="4" s="1"/>
  <c r="AT14" i="4"/>
  <c r="AF14" i="4"/>
  <c r="V14" i="4"/>
  <c r="T14" i="4"/>
  <c r="R14" i="4"/>
  <c r="Q14" i="4"/>
  <c r="P14" i="4"/>
  <c r="O14" i="4"/>
  <c r="BV13" i="4"/>
  <c r="BY13" i="4" s="1"/>
  <c r="BL13" i="4"/>
  <c r="BH13" i="4"/>
  <c r="AT13" i="4"/>
  <c r="AF13" i="4"/>
  <c r="V13" i="4"/>
  <c r="T13" i="4"/>
  <c r="S13" i="4"/>
  <c r="S14" i="4" s="1"/>
  <c r="S15" i="4" s="1"/>
  <c r="S16" i="4" s="1"/>
  <c r="S17" i="4" s="1"/>
  <c r="S18" i="4" s="1"/>
  <c r="S19" i="4" s="1"/>
  <c r="S20" i="4" s="1"/>
  <c r="R13" i="4"/>
  <c r="Q13" i="4"/>
  <c r="P13" i="4"/>
  <c r="O13" i="4"/>
  <c r="BZ11" i="4"/>
  <c r="BY11" i="4"/>
  <c r="BX11" i="4"/>
  <c r="BV11" i="4"/>
  <c r="BW11" i="4" s="1"/>
  <c r="BH11" i="4"/>
  <c r="AX11" i="4"/>
  <c r="AT11" i="4"/>
  <c r="AH11" i="4"/>
  <c r="AF11" i="4"/>
  <c r="AG11" i="4" s="1"/>
  <c r="R11" i="4"/>
  <c r="Q11" i="4"/>
  <c r="P11" i="4"/>
  <c r="O11" i="4"/>
  <c r="BV10" i="4"/>
  <c r="BW10" i="4" s="1"/>
  <c r="BH10" i="4"/>
  <c r="AT10" i="4"/>
  <c r="AF10" i="4"/>
  <c r="R10" i="4"/>
  <c r="Q10" i="4"/>
  <c r="P10" i="4"/>
  <c r="O10" i="4"/>
  <c r="BV9" i="4"/>
  <c r="BZ9" i="4" s="1"/>
  <c r="BH9" i="4"/>
  <c r="AT9" i="4"/>
  <c r="AV9" i="4" s="1"/>
  <c r="AF9" i="4"/>
  <c r="V9" i="4"/>
  <c r="T9" i="4"/>
  <c r="R9" i="4"/>
  <c r="Q9" i="4"/>
  <c r="P9" i="4"/>
  <c r="O9" i="4"/>
  <c r="BV8" i="4"/>
  <c r="BH8" i="4"/>
  <c r="BL8" i="4" s="1"/>
  <c r="AT8" i="4"/>
  <c r="AF8" i="4"/>
  <c r="AH8" i="4" s="1"/>
  <c r="V8" i="4"/>
  <c r="T8" i="4"/>
  <c r="R8" i="4"/>
  <c r="Q8" i="4"/>
  <c r="P8" i="4"/>
  <c r="O8" i="4"/>
  <c r="BX7" i="4"/>
  <c r="BW7" i="4"/>
  <c r="BV7" i="4"/>
  <c r="BZ7" i="4" s="1"/>
  <c r="BH7" i="4"/>
  <c r="AT7" i="4"/>
  <c r="AF7" i="4"/>
  <c r="AI7" i="4" s="1"/>
  <c r="V7" i="4"/>
  <c r="T7" i="4"/>
  <c r="R7" i="4"/>
  <c r="Q7" i="4"/>
  <c r="P7" i="4"/>
  <c r="O7" i="4"/>
  <c r="BV6" i="4"/>
  <c r="BI6" i="4"/>
  <c r="BH6" i="4"/>
  <c r="BL6" i="4" s="1"/>
  <c r="AT6" i="4"/>
  <c r="AF6" i="4"/>
  <c r="V6" i="4"/>
  <c r="T6" i="4"/>
  <c r="R6" i="4"/>
  <c r="Q6" i="4"/>
  <c r="P6" i="4"/>
  <c r="O6" i="4"/>
  <c r="BX5" i="4"/>
  <c r="BV5" i="4"/>
  <c r="BY5" i="4" s="1"/>
  <c r="BH5" i="4"/>
  <c r="BI5" i="4" s="1"/>
  <c r="AT5" i="4"/>
  <c r="AH5" i="4"/>
  <c r="AF5" i="4"/>
  <c r="V5" i="4"/>
  <c r="T5" i="4"/>
  <c r="R5" i="4"/>
  <c r="Z6" i="4" s="1"/>
  <c r="AD6" i="4" s="1"/>
  <c r="Q5" i="4"/>
  <c r="P5" i="4"/>
  <c r="O5" i="4"/>
  <c r="BV4" i="4"/>
  <c r="BZ4" i="4" s="1"/>
  <c r="BH4" i="4"/>
  <c r="BI4" i="4" s="1"/>
  <c r="AT4" i="4"/>
  <c r="AH4" i="4"/>
  <c r="AF4" i="4"/>
  <c r="AJ4" i="4" s="1"/>
  <c r="V4" i="4"/>
  <c r="T4" i="4"/>
  <c r="S4" i="4"/>
  <c r="S5" i="4" s="1"/>
  <c r="S6" i="4" s="1"/>
  <c r="S7" i="4" s="1"/>
  <c r="S8" i="4" s="1"/>
  <c r="S9" i="4" s="1"/>
  <c r="S10" i="4" s="1"/>
  <c r="S11" i="4" s="1"/>
  <c r="R4" i="4"/>
  <c r="Q4" i="4"/>
  <c r="P4" i="4"/>
  <c r="O4" i="4"/>
  <c r="X72" i="4"/>
  <c r="Y14" i="4"/>
  <c r="X32" i="4"/>
  <c r="W69" i="4"/>
  <c r="Y70" i="4"/>
  <c r="Q9" i="18" l="1"/>
  <c r="Q10" i="18"/>
  <c r="V10" i="18"/>
  <c r="W10" i="18" s="1"/>
  <c r="V9" i="18"/>
  <c r="W9" i="18" s="1"/>
  <c r="Z9" i="18" s="1"/>
  <c r="V10" i="17"/>
  <c r="W10" i="17" s="1"/>
  <c r="V13" i="17"/>
  <c r="W13" i="17" s="1"/>
  <c r="V11" i="17"/>
  <c r="W11" i="17" s="1"/>
  <c r="V12" i="17"/>
  <c r="W12" i="17" s="1"/>
  <c r="V9" i="17"/>
  <c r="W9" i="17" s="1"/>
  <c r="Z9" i="17" s="1"/>
  <c r="Q11" i="17"/>
  <c r="Q12" i="17"/>
  <c r="Q9" i="17"/>
  <c r="Q13" i="17"/>
  <c r="Q10" i="17"/>
  <c r="V14" i="15"/>
  <c r="W14" i="15" s="1"/>
  <c r="V11" i="14"/>
  <c r="W11" i="14" s="1"/>
  <c r="V13" i="15"/>
  <c r="W13" i="15" s="1"/>
  <c r="V12" i="15"/>
  <c r="W12" i="15" s="1"/>
  <c r="V11" i="15"/>
  <c r="W11" i="15" s="1"/>
  <c r="V10" i="15"/>
  <c r="W10" i="15" s="1"/>
  <c r="V15" i="15"/>
  <c r="W15" i="15" s="1"/>
  <c r="V10" i="14"/>
  <c r="W10" i="14" s="1"/>
  <c r="V9" i="14"/>
  <c r="W9" i="14" s="1"/>
  <c r="R9" i="15"/>
  <c r="S9" i="15"/>
  <c r="U9" i="15"/>
  <c r="T9" i="15"/>
  <c r="Q13" i="15"/>
  <c r="Q12" i="15"/>
  <c r="Q11" i="15"/>
  <c r="Q10" i="15"/>
  <c r="Q11" i="14"/>
  <c r="Q15" i="15"/>
  <c r="Q14" i="15"/>
  <c r="Q10" i="14"/>
  <c r="Q9" i="14"/>
  <c r="S6" i="13"/>
  <c r="R6" i="13"/>
  <c r="T6" i="13"/>
  <c r="S7" i="13"/>
  <c r="R7" i="13"/>
  <c r="T5" i="13"/>
  <c r="U7" i="13"/>
  <c r="R5" i="13"/>
  <c r="R8" i="13"/>
  <c r="T8" i="13"/>
  <c r="S8" i="13"/>
  <c r="S5" i="13"/>
  <c r="BZ24" i="4"/>
  <c r="AJ52" i="4"/>
  <c r="W81" i="4"/>
  <c r="W71" i="4"/>
  <c r="AI4" i="4"/>
  <c r="BY7" i="4"/>
  <c r="BK8" i="4"/>
  <c r="BY10" i="4"/>
  <c r="AI11" i="4"/>
  <c r="BK14" i="4"/>
  <c r="AX15" i="4"/>
  <c r="W16" i="4"/>
  <c r="BL17" i="4"/>
  <c r="X15" i="4"/>
  <c r="AX23" i="4"/>
  <c r="BZ23" i="4"/>
  <c r="BW24" i="4"/>
  <c r="BK27" i="4"/>
  <c r="AW31" i="4"/>
  <c r="AJ34" i="4"/>
  <c r="BL35" i="4"/>
  <c r="BW36" i="4"/>
  <c r="AH37" i="4"/>
  <c r="AV38" i="4"/>
  <c r="AJ40" i="4"/>
  <c r="BJ40" i="4"/>
  <c r="BL41" i="4"/>
  <c r="BZ42" i="4"/>
  <c r="AG52" i="4"/>
  <c r="AU53" i="4"/>
  <c r="W61" i="4"/>
  <c r="BI63" i="4"/>
  <c r="AU64" i="4"/>
  <c r="X59" i="4"/>
  <c r="AG65" i="4"/>
  <c r="BK70" i="4"/>
  <c r="AX71" i="4"/>
  <c r="AJ74" i="4"/>
  <c r="AJ76" i="4"/>
  <c r="BW76" i="4"/>
  <c r="BZ77" i="4"/>
  <c r="BL79" i="4"/>
  <c r="AW83" i="4"/>
  <c r="BX83" i="4"/>
  <c r="Z89" i="4"/>
  <c r="BI88" i="4"/>
  <c r="BK91" i="4"/>
  <c r="BJ92" i="4"/>
  <c r="X33" i="4"/>
  <c r="AX64" i="4"/>
  <c r="W44" i="4"/>
  <c r="BZ10" i="4"/>
  <c r="AJ11" i="4"/>
  <c r="BL14" i="4"/>
  <c r="W23" i="4"/>
  <c r="BX24" i="4"/>
  <c r="Z22" i="4"/>
  <c r="BX36" i="4"/>
  <c r="AJ37" i="4"/>
  <c r="AX38" i="4"/>
  <c r="BL40" i="4"/>
  <c r="AI42" i="4"/>
  <c r="AW47" i="4"/>
  <c r="BK50" i="4"/>
  <c r="AH52" i="4"/>
  <c r="AW53" i="4"/>
  <c r="AW54" i="4"/>
  <c r="AU56" i="4"/>
  <c r="W63" i="4"/>
  <c r="BJ60" i="4"/>
  <c r="X58" i="4"/>
  <c r="AV64" i="4"/>
  <c r="AJ70" i="4"/>
  <c r="AU71" i="4"/>
  <c r="AJ73" i="4"/>
  <c r="BX73" i="4"/>
  <c r="AG74" i="4"/>
  <c r="BK74" i="4"/>
  <c r="BX76" i="4"/>
  <c r="AU78" i="4"/>
  <c r="BX78" i="4"/>
  <c r="BI79" i="4"/>
  <c r="BW80" i="4"/>
  <c r="BI81" i="4"/>
  <c r="AJ82" i="4"/>
  <c r="AX83" i="4"/>
  <c r="BZ83" i="4"/>
  <c r="AH87" i="4"/>
  <c r="AX90" i="4"/>
  <c r="BK92" i="4"/>
  <c r="Y24" i="4"/>
  <c r="BZ36" i="4"/>
  <c r="Y45" i="4"/>
  <c r="W42" i="4"/>
  <c r="AX53" i="4"/>
  <c r="Y52" i="4"/>
  <c r="BK60" i="4"/>
  <c r="Y67" i="4"/>
  <c r="BY73" i="4"/>
  <c r="BY76" i="4"/>
  <c r="AX78" i="4"/>
  <c r="BY78" i="4"/>
  <c r="BY80" i="4"/>
  <c r="BL81" i="4"/>
  <c r="X79" i="4"/>
  <c r="AJ87" i="4"/>
  <c r="BZ8" i="4"/>
  <c r="BX8" i="4"/>
  <c r="BY8" i="4"/>
  <c r="BL83" i="4"/>
  <c r="BK83" i="4"/>
  <c r="BJ83" i="4"/>
  <c r="X18" i="4"/>
  <c r="X51" i="4"/>
  <c r="BI83" i="4"/>
  <c r="BL87" i="4"/>
  <c r="BK87" i="4"/>
  <c r="BJ87" i="4"/>
  <c r="BI87" i="4"/>
  <c r="Z85" i="4"/>
  <c r="BJ10" i="4"/>
  <c r="BL10" i="4"/>
  <c r="BK10" i="4"/>
  <c r="W36" i="4"/>
  <c r="Y63" i="4"/>
  <c r="Y62" i="4"/>
  <c r="Y60" i="4"/>
  <c r="AH64" i="4"/>
  <c r="AG64" i="4"/>
  <c r="BL65" i="4"/>
  <c r="BK65" i="4"/>
  <c r="X69" i="4"/>
  <c r="X68" i="4"/>
  <c r="X70" i="4"/>
  <c r="BJ86" i="4"/>
  <c r="BL86" i="4"/>
  <c r="BK86" i="4"/>
  <c r="Z87" i="4"/>
  <c r="AD87" i="4" s="1"/>
  <c r="W24" i="4"/>
  <c r="Z88" i="4"/>
  <c r="BI10" i="4"/>
  <c r="BX17" i="4"/>
  <c r="BZ17" i="4"/>
  <c r="BY17" i="4"/>
  <c r="BX22" i="4"/>
  <c r="BZ22" i="4"/>
  <c r="BY22" i="4"/>
  <c r="BK46" i="4"/>
  <c r="BL46" i="4"/>
  <c r="BJ46" i="4"/>
  <c r="Z60" i="4"/>
  <c r="AD60" i="4" s="1"/>
  <c r="Z61" i="4"/>
  <c r="Z62" i="4"/>
  <c r="Z58" i="4"/>
  <c r="Z63" i="4"/>
  <c r="BZ60" i="4"/>
  <c r="BY60" i="4"/>
  <c r="BX60" i="4"/>
  <c r="BW60" i="4"/>
  <c r="X78" i="4"/>
  <c r="Z90" i="4"/>
  <c r="BI86" i="4"/>
  <c r="X5" i="4"/>
  <c r="AB5" i="4" s="1"/>
  <c r="X4" i="4"/>
  <c r="AB49" i="4" s="1"/>
  <c r="AX25" i="4"/>
  <c r="AW25" i="4"/>
  <c r="AV25" i="4"/>
  <c r="BY6" i="4"/>
  <c r="BZ6" i="4"/>
  <c r="AI51" i="4"/>
  <c r="AG51" i="4"/>
  <c r="AH51" i="4"/>
  <c r="AJ51" i="4"/>
  <c r="W59" i="4"/>
  <c r="W60" i="4"/>
  <c r="W58" i="4"/>
  <c r="AW58" i="4"/>
  <c r="AV58" i="4"/>
  <c r="AU58" i="4"/>
  <c r="BZ89" i="4"/>
  <c r="BY89" i="4"/>
  <c r="BX89" i="4"/>
  <c r="BJ16" i="4"/>
  <c r="BL16" i="4"/>
  <c r="AJ22" i="4"/>
  <c r="AI22" i="4"/>
  <c r="BL23" i="4"/>
  <c r="BK23" i="4"/>
  <c r="BI23" i="4"/>
  <c r="BJ23" i="4"/>
  <c r="BX50" i="4"/>
  <c r="BW50" i="4"/>
  <c r="AX58" i="4"/>
  <c r="BX72" i="4"/>
  <c r="Y59" i="4"/>
  <c r="W25" i="4"/>
  <c r="X77" i="4"/>
  <c r="AB77" i="4" s="1"/>
  <c r="BX6" i="4"/>
  <c r="BK16" i="4"/>
  <c r="W27" i="4"/>
  <c r="W22" i="4"/>
  <c r="W26" i="4"/>
  <c r="AG22" i="4"/>
  <c r="BJ29" i="4"/>
  <c r="BL29" i="4"/>
  <c r="W41" i="4"/>
  <c r="BI85" i="4"/>
  <c r="BL85" i="4"/>
  <c r="BK85" i="4"/>
  <c r="BJ85" i="4"/>
  <c r="Y8" i="4"/>
  <c r="AC8" i="4" s="1"/>
  <c r="Y7" i="4"/>
  <c r="AC52" i="4" s="1"/>
  <c r="AW4" i="4"/>
  <c r="AX4" i="4"/>
  <c r="AU4" i="4"/>
  <c r="AU6" i="4"/>
  <c r="AX6" i="4"/>
  <c r="BW8" i="4"/>
  <c r="AV24" i="4"/>
  <c r="AX24" i="4"/>
  <c r="AW24" i="4"/>
  <c r="AU25" i="4"/>
  <c r="AX28" i="4"/>
  <c r="AW28" i="4"/>
  <c r="AV28" i="4"/>
  <c r="AU28" i="4"/>
  <c r="AV33" i="4"/>
  <c r="AU33" i="4"/>
  <c r="AX5" i="4"/>
  <c r="AW5" i="4"/>
  <c r="AV5" i="4"/>
  <c r="BY41" i="4"/>
  <c r="BZ41" i="4"/>
  <c r="BX41" i="4"/>
  <c r="BW41" i="4"/>
  <c r="AB59" i="4"/>
  <c r="AV73" i="4"/>
  <c r="AX73" i="4"/>
  <c r="AW73" i="4"/>
  <c r="AJ91" i="4"/>
  <c r="AI91" i="4"/>
  <c r="AH91" i="4"/>
  <c r="X9" i="4"/>
  <c r="AB9" i="4" s="1"/>
  <c r="AU5" i="4"/>
  <c r="AY6" i="4" s="1"/>
  <c r="BC6" i="4" s="1"/>
  <c r="BW6" i="4"/>
  <c r="AJ41" i="4"/>
  <c r="BK67" i="4"/>
  <c r="BL67" i="4"/>
  <c r="BJ67" i="4"/>
  <c r="Y61" i="4"/>
  <c r="AH22" i="4"/>
  <c r="Z34" i="4"/>
  <c r="AW34" i="4"/>
  <c r="AX34" i="4"/>
  <c r="AV34" i="4"/>
  <c r="AU34" i="4"/>
  <c r="X41" i="4"/>
  <c r="AB41" i="4" s="1"/>
  <c r="X40" i="4"/>
  <c r="X45" i="4"/>
  <c r="AB45" i="4" s="1"/>
  <c r="X42" i="4"/>
  <c r="AX40" i="4"/>
  <c r="AW40" i="4"/>
  <c r="AV40" i="4"/>
  <c r="Z72" i="4"/>
  <c r="Z70" i="4"/>
  <c r="AJ71" i="4"/>
  <c r="AI71" i="4"/>
  <c r="AH71" i="4"/>
  <c r="AH72" i="4"/>
  <c r="AJ72" i="4"/>
  <c r="AI72" i="4"/>
  <c r="AJ77" i="4"/>
  <c r="AH77" i="4"/>
  <c r="AG77" i="4"/>
  <c r="AI77" i="4"/>
  <c r="Y89" i="4"/>
  <c r="AC89" i="4" s="1"/>
  <c r="Y88" i="4"/>
  <c r="Y87" i="4"/>
  <c r="Y85" i="4"/>
  <c r="BZ85" i="4"/>
  <c r="BY85" i="4"/>
  <c r="BX85" i="4"/>
  <c r="BW85" i="4"/>
  <c r="BW90" i="4"/>
  <c r="BZ90" i="4"/>
  <c r="BY90" i="4"/>
  <c r="BX90" i="4"/>
  <c r="AU74" i="4"/>
  <c r="AX74" i="4"/>
  <c r="AW74" i="4"/>
  <c r="X52" i="4"/>
  <c r="AG9" i="4"/>
  <c r="AI9" i="4"/>
  <c r="AH9" i="4"/>
  <c r="AG14" i="4"/>
  <c r="AJ14" i="4"/>
  <c r="AI14" i="4"/>
  <c r="BK38" i="4"/>
  <c r="BL38" i="4"/>
  <c r="AU42" i="4"/>
  <c r="AY42" i="4" s="1"/>
  <c r="BC42" i="4" s="1"/>
  <c r="BI54" i="4"/>
  <c r="BW58" i="4"/>
  <c r="BZ58" i="4"/>
  <c r="BZ63" i="4"/>
  <c r="BY63" i="4"/>
  <c r="BX63" i="4"/>
  <c r="AG89" i="4"/>
  <c r="AG90" i="4"/>
  <c r="X61" i="4"/>
  <c r="X50" i="4"/>
  <c r="AB50" i="4" s="1"/>
  <c r="Y22" i="4"/>
  <c r="AG8" i="4"/>
  <c r="AJ9" i="4"/>
  <c r="AH14" i="4"/>
  <c r="BL25" i="4"/>
  <c r="AI27" i="4"/>
  <c r="BX27" i="4"/>
  <c r="BI32" i="4"/>
  <c r="BI33" i="4"/>
  <c r="BL33" i="4"/>
  <c r="BP31" i="4" s="1"/>
  <c r="BK33" i="4"/>
  <c r="BJ33" i="4"/>
  <c r="AX35" i="4"/>
  <c r="AW35" i="4"/>
  <c r="BI38" i="4"/>
  <c r="AW42" i="4"/>
  <c r="AX45" i="4"/>
  <c r="BX46" i="4"/>
  <c r="BW46" i="4"/>
  <c r="AH50" i="4"/>
  <c r="BJ54" i="4"/>
  <c r="BX58" i="4"/>
  <c r="BW63" i="4"/>
  <c r="AG67" i="4"/>
  <c r="AJ67" i="4"/>
  <c r="AI67" i="4"/>
  <c r="AH67" i="4"/>
  <c r="X71" i="4"/>
  <c r="AV68" i="4"/>
  <c r="BI69" i="4"/>
  <c r="BL69" i="4"/>
  <c r="BK69" i="4"/>
  <c r="AW76" i="4"/>
  <c r="AG81" i="4"/>
  <c r="AJ86" i="4"/>
  <c r="AI86" i="4"/>
  <c r="AH86" i="4"/>
  <c r="AH90" i="4"/>
  <c r="AJ17" i="4"/>
  <c r="AI17" i="4"/>
  <c r="AU20" i="4"/>
  <c r="AX20" i="4"/>
  <c r="BL34" i="4"/>
  <c r="BY35" i="4"/>
  <c r="BZ35" i="4"/>
  <c r="AG50" i="4"/>
  <c r="AV76" i="4"/>
  <c r="BI82" i="4"/>
  <c r="BL82" i="4"/>
  <c r="Y23" i="4"/>
  <c r="BI7" i="4"/>
  <c r="BL7" i="4"/>
  <c r="AX8" i="4"/>
  <c r="AV8" i="4"/>
  <c r="AJ27" i="4"/>
  <c r="BJ38" i="4"/>
  <c r="AX42" i="4"/>
  <c r="AJ50" i="4"/>
  <c r="AX76" i="4"/>
  <c r="AX79" i="4"/>
  <c r="AW79" i="4"/>
  <c r="AV79" i="4"/>
  <c r="BK82" i="4"/>
  <c r="AI90" i="4"/>
  <c r="X16" i="4"/>
  <c r="AI10" i="4"/>
  <c r="AH10" i="4"/>
  <c r="AG10" i="4"/>
  <c r="AX13" i="4"/>
  <c r="AW13" i="4"/>
  <c r="BA18" i="4" s="1"/>
  <c r="AV13" i="4"/>
  <c r="BX25" i="4"/>
  <c r="AW27" i="4"/>
  <c r="AV27" i="4"/>
  <c r="BK32" i="4"/>
  <c r="AV35" i="4"/>
  <c r="AH38" i="4"/>
  <c r="AX46" i="4"/>
  <c r="AW46" i="4"/>
  <c r="AV46" i="4"/>
  <c r="BI47" i="4"/>
  <c r="BY52" i="4"/>
  <c r="BI53" i="4"/>
  <c r="AG56" i="4"/>
  <c r="BK61" i="4"/>
  <c r="AU67" i="4"/>
  <c r="AX68" i="4"/>
  <c r="AV78" i="4"/>
  <c r="AU79" i="4"/>
  <c r="BJ80" i="4"/>
  <c r="AI81" i="4"/>
  <c r="BI91" i="4"/>
  <c r="Z45" i="4"/>
  <c r="BX44" i="4"/>
  <c r="BZ44" i="4"/>
  <c r="BY44" i="4"/>
  <c r="X53" i="4"/>
  <c r="X76" i="4"/>
  <c r="AB76" i="4" s="1"/>
  <c r="X49" i="4"/>
  <c r="X81" i="4"/>
  <c r="AB81" i="4" s="1"/>
  <c r="Z31" i="4"/>
  <c r="AW52" i="4"/>
  <c r="AX52" i="4"/>
  <c r="AV52" i="4"/>
  <c r="AU52" i="4"/>
  <c r="W72" i="4"/>
  <c r="AH17" i="4"/>
  <c r="BJ32" i="4"/>
  <c r="BK54" i="4"/>
  <c r="BY58" i="4"/>
  <c r="Y71" i="4"/>
  <c r="AC71" i="4" s="1"/>
  <c r="AW68" i="4"/>
  <c r="AH81" i="4"/>
  <c r="W70" i="4"/>
  <c r="AJ5" i="4"/>
  <c r="AI5" i="4"/>
  <c r="BJ6" i="4"/>
  <c r="BJ7" i="4"/>
  <c r="AW8" i="4"/>
  <c r="AU9" i="4"/>
  <c r="AG19" i="4"/>
  <c r="BK22" i="4"/>
  <c r="W67" i="4"/>
  <c r="X54" i="4"/>
  <c r="AB54" i="4" s="1"/>
  <c r="AG4" i="4"/>
  <c r="AG5" i="4"/>
  <c r="BK6" i="4"/>
  <c r="AJ10" i="4"/>
  <c r="AU13" i="4"/>
  <c r="BZ15" i="4"/>
  <c r="BY15" i="4"/>
  <c r="BX15" i="4"/>
  <c r="BX18" i="4"/>
  <c r="BZ18" i="4"/>
  <c r="BY18" i="4"/>
  <c r="BL22" i="4"/>
  <c r="BY25" i="4"/>
  <c r="AJ26" i="4"/>
  <c r="BL36" i="4"/>
  <c r="BK36" i="4"/>
  <c r="AI38" i="4"/>
  <c r="W43" i="4"/>
  <c r="AU46" i="4"/>
  <c r="BX47" i="4"/>
  <c r="BZ47" i="4"/>
  <c r="BY47" i="4"/>
  <c r="AH53" i="4"/>
  <c r="AJ54" i="4"/>
  <c r="AG54" i="4"/>
  <c r="BZ56" i="4"/>
  <c r="AG62" i="4"/>
  <c r="AJ62" i="4"/>
  <c r="AU63" i="4"/>
  <c r="AX63" i="4"/>
  <c r="AW63" i="4"/>
  <c r="AV63" i="4"/>
  <c r="BX70" i="4"/>
  <c r="BW74" i="4"/>
  <c r="BZ74" i="4"/>
  <c r="BY74" i="4"/>
  <c r="BK80" i="4"/>
  <c r="Y81" i="4"/>
  <c r="BJ91" i="4"/>
  <c r="W40" i="4"/>
  <c r="BY9" i="4"/>
  <c r="AU18" i="4"/>
  <c r="AJ31" i="4"/>
  <c r="BW31" i="4"/>
  <c r="AI32" i="4"/>
  <c r="AG33" i="4"/>
  <c r="BL42" i="4"/>
  <c r="AG45" i="4"/>
  <c r="AU47" i="4"/>
  <c r="AX72" i="4"/>
  <c r="BX77" i="4"/>
  <c r="BW79" i="4"/>
  <c r="AU83" i="4"/>
  <c r="BX10" i="4"/>
  <c r="BK20" i="4"/>
  <c r="AW23" i="4"/>
  <c r="BW23" i="4"/>
  <c r="BK26" i="4"/>
  <c r="AJ32" i="4"/>
  <c r="AH33" i="4"/>
  <c r="W35" i="4"/>
  <c r="AU36" i="4"/>
  <c r="AU38" i="4"/>
  <c r="BI40" i="4"/>
  <c r="AJ45" i="4"/>
  <c r="AV47" i="4"/>
  <c r="BL51" i="4"/>
  <c r="BW54" i="4"/>
  <c r="AV56" i="4"/>
  <c r="Z59" i="4"/>
  <c r="BX68" i="4"/>
  <c r="BJ70" i="4"/>
  <c r="AH76" i="4"/>
  <c r="W77" i="4"/>
  <c r="AU77" i="4"/>
  <c r="BY77" i="4"/>
  <c r="BX79" i="4"/>
  <c r="BK81" i="4"/>
  <c r="AH82" i="4"/>
  <c r="AI87" i="4"/>
  <c r="BJ88" i="4"/>
  <c r="BL89" i="4"/>
  <c r="AV90" i="4"/>
  <c r="BI92" i="4"/>
  <c r="AE9" i="5"/>
  <c r="Y49" i="4"/>
  <c r="Y50" i="4"/>
  <c r="Y54" i="4"/>
  <c r="Y53" i="4"/>
  <c r="Y51" i="4"/>
  <c r="Z79" i="4"/>
  <c r="Z78" i="4"/>
  <c r="AD78" i="4" s="1"/>
  <c r="Z81" i="4"/>
  <c r="Z80" i="4"/>
  <c r="X88" i="4"/>
  <c r="X89" i="4"/>
  <c r="X90" i="4"/>
  <c r="AB90" i="4" s="1"/>
  <c r="X85" i="4"/>
  <c r="X87" i="4"/>
  <c r="X86" i="4"/>
  <c r="W90" i="4"/>
  <c r="AA90" i="4" s="1"/>
  <c r="W88" i="4"/>
  <c r="W86" i="4"/>
  <c r="W85" i="4"/>
  <c r="AA85" i="4" s="1"/>
  <c r="W89" i="4"/>
  <c r="W87" i="4"/>
  <c r="BL4" i="4"/>
  <c r="BK4" i="4"/>
  <c r="BJ4" i="4"/>
  <c r="W9" i="4"/>
  <c r="W4" i="4"/>
  <c r="W8" i="4"/>
  <c r="W5" i="4"/>
  <c r="W6" i="4"/>
  <c r="W7" i="4"/>
  <c r="AV7" i="4"/>
  <c r="AX7" i="4"/>
  <c r="AW7" i="4"/>
  <c r="AU7" i="4"/>
  <c r="BK9" i="4"/>
  <c r="BJ9" i="4"/>
  <c r="BL9" i="4"/>
  <c r="BI9" i="4"/>
  <c r="AB40" i="4"/>
  <c r="X80" i="4"/>
  <c r="W80" i="4"/>
  <c r="AX22" i="4"/>
  <c r="AW22" i="4"/>
  <c r="AV22" i="4"/>
  <c r="AU22" i="4"/>
  <c r="Z40" i="4"/>
  <c r="Z43" i="4"/>
  <c r="Z44" i="4"/>
  <c r="Z41" i="4"/>
  <c r="Z42" i="4"/>
  <c r="AD42" i="4" s="1"/>
  <c r="Z51" i="4"/>
  <c r="AD51" i="4" s="1"/>
  <c r="Z49" i="4"/>
  <c r="Z54" i="4"/>
  <c r="Z53" i="4"/>
  <c r="Z52" i="4"/>
  <c r="Z50" i="4"/>
  <c r="AW51" i="4"/>
  <c r="AX51" i="4"/>
  <c r="AV51" i="4"/>
  <c r="AU51" i="4"/>
  <c r="W49" i="4"/>
  <c r="W50" i="4"/>
  <c r="W51" i="4"/>
  <c r="W53" i="4"/>
  <c r="W52" i="4"/>
  <c r="AA52" i="4" s="1"/>
  <c r="W54" i="4"/>
  <c r="AA54" i="4" s="1"/>
  <c r="Y78" i="4"/>
  <c r="Y77" i="4"/>
  <c r="Y76" i="4"/>
  <c r="Y79" i="4"/>
  <c r="Y80" i="4"/>
  <c r="AC80" i="4" s="1"/>
  <c r="AH83" i="4"/>
  <c r="AJ83" i="4"/>
  <c r="AI83" i="4"/>
  <c r="AG83" i="4"/>
  <c r="BK78" i="4"/>
  <c r="BL78" i="4"/>
  <c r="BJ78" i="4"/>
  <c r="BI78" i="4"/>
  <c r="AU50" i="4"/>
  <c r="AX50" i="4"/>
  <c r="AW50" i="4"/>
  <c r="AX81" i="4"/>
  <c r="AW81" i="4"/>
  <c r="AV81" i="4"/>
  <c r="AU81" i="4"/>
  <c r="AJ13" i="4"/>
  <c r="AI13" i="4"/>
  <c r="AH13" i="4"/>
  <c r="AG13" i="4"/>
  <c r="Z8" i="4"/>
  <c r="AD62" i="4" s="1"/>
  <c r="Z4" i="4"/>
  <c r="Z9" i="4"/>
  <c r="AD72" i="4" s="1"/>
  <c r="BZ16" i="4"/>
  <c r="BY16" i="4"/>
  <c r="BX16" i="4"/>
  <c r="BW16" i="4"/>
  <c r="BZ28" i="4"/>
  <c r="BY28" i="4"/>
  <c r="BX28" i="4"/>
  <c r="BW28" i="4"/>
  <c r="BW34" i="4"/>
  <c r="BZ34" i="4"/>
  <c r="BY34" i="4"/>
  <c r="AH35" i="4"/>
  <c r="AJ35" i="4"/>
  <c r="AI35" i="4"/>
  <c r="AG35" i="4"/>
  <c r="X44" i="4"/>
  <c r="X43" i="4"/>
  <c r="BL49" i="4"/>
  <c r="BK49" i="4"/>
  <c r="BJ49" i="4"/>
  <c r="W33" i="4"/>
  <c r="Z33" i="4"/>
  <c r="AD33" i="4" s="1"/>
  <c r="Y35" i="4"/>
  <c r="Y34" i="4"/>
  <c r="BX34" i="4"/>
  <c r="BL44" i="4"/>
  <c r="BK44" i="4"/>
  <c r="BJ44" i="4"/>
  <c r="BI49" i="4"/>
  <c r="Z14" i="4"/>
  <c r="Z17" i="4"/>
  <c r="Z16" i="4"/>
  <c r="Z15" i="4"/>
  <c r="AD15" i="4" s="1"/>
  <c r="Z13" i="4"/>
  <c r="Z18" i="4"/>
  <c r="AX14" i="4"/>
  <c r="AW14" i="4"/>
  <c r="AV14" i="4"/>
  <c r="AJ16" i="4"/>
  <c r="AI16" i="4"/>
  <c r="AH16" i="4"/>
  <c r="Y27" i="4"/>
  <c r="Y26" i="4"/>
  <c r="AC26" i="4" s="1"/>
  <c r="Y25" i="4"/>
  <c r="AH23" i="4"/>
  <c r="AJ23" i="4"/>
  <c r="AI23" i="4"/>
  <c r="AG23" i="4"/>
  <c r="BZ29" i="4"/>
  <c r="BY29" i="4"/>
  <c r="BX29" i="4"/>
  <c r="AX43" i="4"/>
  <c r="AW43" i="4"/>
  <c r="AV43" i="4"/>
  <c r="AU43" i="4"/>
  <c r="BI44" i="4"/>
  <c r="BK13" i="4"/>
  <c r="BJ13" i="4"/>
  <c r="BI13" i="4"/>
  <c r="AU14" i="4"/>
  <c r="AG16" i="4"/>
  <c r="Z26" i="4"/>
  <c r="Z25" i="4"/>
  <c r="Z24" i="4"/>
  <c r="AD24" i="4" s="1"/>
  <c r="Z23" i="4"/>
  <c r="BL24" i="4"/>
  <c r="BK24" i="4"/>
  <c r="BJ24" i="4"/>
  <c r="BI24" i="4"/>
  <c r="BW29" i="4"/>
  <c r="AH7" i="4"/>
  <c r="AG7" i="4"/>
  <c r="AJ7" i="4"/>
  <c r="Y16" i="4"/>
  <c r="AC16" i="4" s="1"/>
  <c r="Y18" i="4"/>
  <c r="Y13" i="4"/>
  <c r="Y17" i="4"/>
  <c r="Y15" i="4"/>
  <c r="BY14" i="4"/>
  <c r="BX14" i="4"/>
  <c r="BW14" i="4"/>
  <c r="AJ15" i="4"/>
  <c r="AI15" i="4"/>
  <c r="AH15" i="4"/>
  <c r="AJ18" i="4"/>
  <c r="AI18" i="4"/>
  <c r="AH18" i="4"/>
  <c r="AG18" i="4"/>
  <c r="X25" i="4"/>
  <c r="X22" i="4"/>
  <c r="AB22" i="4" s="1"/>
  <c r="X23" i="4"/>
  <c r="AB23" i="4" s="1"/>
  <c r="AJ58" i="4"/>
  <c r="AI58" i="4"/>
  <c r="AH58" i="4"/>
  <c r="AG58" i="4"/>
  <c r="Z76" i="4"/>
  <c r="Z77" i="4"/>
  <c r="AV85" i="4"/>
  <c r="AX85" i="4"/>
  <c r="AU85" i="4"/>
  <c r="AW85" i="4"/>
  <c r="W13" i="4"/>
  <c r="W14" i="4"/>
  <c r="W18" i="4"/>
  <c r="AA18" i="4" s="1"/>
  <c r="W17" i="4"/>
  <c r="W15" i="4"/>
  <c r="BZ32" i="4"/>
  <c r="BY32" i="4"/>
  <c r="BX32" i="4"/>
  <c r="BW32" i="4"/>
  <c r="BL45" i="4"/>
  <c r="BI45" i="4"/>
  <c r="BK45" i="4"/>
  <c r="BJ45" i="4"/>
  <c r="AX61" i="4"/>
  <c r="AW61" i="4"/>
  <c r="AU61" i="4"/>
  <c r="AV61" i="4"/>
  <c r="Y72" i="4"/>
  <c r="Y68" i="4"/>
  <c r="Y69" i="4"/>
  <c r="Z71" i="4"/>
  <c r="AD71" i="4" s="1"/>
  <c r="Z68" i="4"/>
  <c r="Z67" i="4"/>
  <c r="Z69" i="4"/>
  <c r="AD69" i="4" s="1"/>
  <c r="AJ78" i="4"/>
  <c r="AI78" i="4"/>
  <c r="AH78" i="4"/>
  <c r="AG78" i="4"/>
  <c r="X26" i="4"/>
  <c r="X24" i="4"/>
  <c r="X7" i="4"/>
  <c r="X8" i="4"/>
  <c r="AB53" i="4" s="1"/>
  <c r="X6" i="4"/>
  <c r="AB33" i="4" s="1"/>
  <c r="BW5" i="4"/>
  <c r="BZ5" i="4"/>
  <c r="Y4" i="4"/>
  <c r="AC85" i="4" s="1"/>
  <c r="AU8" i="4"/>
  <c r="BX26" i="4"/>
  <c r="BZ26" i="4"/>
  <c r="BY26" i="4"/>
  <c r="AJ29" i="4"/>
  <c r="AI29" i="4"/>
  <c r="AH29" i="4"/>
  <c r="AG29" i="4"/>
  <c r="AV41" i="4"/>
  <c r="AX41" i="4"/>
  <c r="AW41" i="4"/>
  <c r="BA43" i="4" s="1"/>
  <c r="BX43" i="4"/>
  <c r="BZ43" i="4"/>
  <c r="BY43" i="4"/>
  <c r="X60" i="4"/>
  <c r="AB60" i="4" s="1"/>
  <c r="X63" i="4"/>
  <c r="AB63" i="4" s="1"/>
  <c r="BJ62" i="4"/>
  <c r="BI62" i="4"/>
  <c r="BL62" i="4"/>
  <c r="AX65" i="4"/>
  <c r="AV65" i="4"/>
  <c r="AW65" i="4"/>
  <c r="AU65" i="4"/>
  <c r="AD61" i="4"/>
  <c r="AH6" i="4"/>
  <c r="AJ6" i="4"/>
  <c r="AI6" i="4"/>
  <c r="AG6" i="4"/>
  <c r="BL11" i="4"/>
  <c r="BK11" i="4"/>
  <c r="BJ11" i="4"/>
  <c r="BI11" i="4"/>
  <c r="BL18" i="4"/>
  <c r="BK18" i="4"/>
  <c r="BJ18" i="4"/>
  <c r="BI18" i="4"/>
  <c r="Z36" i="4"/>
  <c r="Z35" i="4"/>
  <c r="Z32" i="4"/>
  <c r="W31" i="4"/>
  <c r="W32" i="4"/>
  <c r="X34" i="4"/>
  <c r="X31" i="4"/>
  <c r="X35" i="4"/>
  <c r="AB35" i="4" s="1"/>
  <c r="X36" i="4"/>
  <c r="AB36" i="4" s="1"/>
  <c r="BW38" i="4"/>
  <c r="BZ38" i="4"/>
  <c r="BY38" i="4"/>
  <c r="Y44" i="4"/>
  <c r="AC44" i="4" s="1"/>
  <c r="Y41" i="4"/>
  <c r="Y42" i="4"/>
  <c r="Y43" i="4"/>
  <c r="Y40" i="4"/>
  <c r="BK55" i="4"/>
  <c r="BL55" i="4"/>
  <c r="BJ55" i="4"/>
  <c r="AI85" i="4"/>
  <c r="AH85" i="4"/>
  <c r="AG85" i="4"/>
  <c r="Z86" i="4"/>
  <c r="AD86" i="4" s="1"/>
  <c r="Y86" i="4"/>
  <c r="AC86" i="4" s="1"/>
  <c r="BL90" i="4"/>
  <c r="BK90" i="4"/>
  <c r="BI90" i="4"/>
  <c r="BJ90" i="4"/>
  <c r="BK5" i="4"/>
  <c r="BL5" i="4"/>
  <c r="BJ5" i="4"/>
  <c r="AW6" i="4"/>
  <c r="AX10" i="4"/>
  <c r="AW10" i="4"/>
  <c r="AV10" i="4"/>
  <c r="AU10" i="4"/>
  <c r="AG49" i="4"/>
  <c r="AJ49" i="4"/>
  <c r="AI49" i="4"/>
  <c r="AH49" i="4"/>
  <c r="BK52" i="4"/>
  <c r="BL52" i="4"/>
  <c r="BJ52" i="4"/>
  <c r="BI52" i="4"/>
  <c r="BX64" i="4"/>
  <c r="BW64" i="4"/>
  <c r="BY88" i="4"/>
  <c r="BX88" i="4"/>
  <c r="BW88" i="4"/>
  <c r="AI89" i="4"/>
  <c r="AJ89" i="4"/>
  <c r="AN90" i="4" s="1"/>
  <c r="X17" i="4"/>
  <c r="X13" i="4"/>
  <c r="X14" i="4"/>
  <c r="AB14" i="4" s="1"/>
  <c r="BZ13" i="4"/>
  <c r="BX13" i="4"/>
  <c r="BW13" i="4"/>
  <c r="AW16" i="4"/>
  <c r="AV16" i="4"/>
  <c r="AU16" i="4"/>
  <c r="AX16" i="4"/>
  <c r="AJ24" i="4"/>
  <c r="AI24" i="4"/>
  <c r="AX26" i="4"/>
  <c r="AW26" i="4"/>
  <c r="AV26" i="4"/>
  <c r="AU26" i="4"/>
  <c r="AX29" i="4"/>
  <c r="AW29" i="4"/>
  <c r="AV29" i="4"/>
  <c r="AN32" i="4"/>
  <c r="BW53" i="4"/>
  <c r="BZ53" i="4"/>
  <c r="BY53" i="4"/>
  <c r="BX53" i="4"/>
  <c r="X67" i="4"/>
  <c r="Y6" i="4"/>
  <c r="AC24" i="4" s="1"/>
  <c r="Y5" i="4"/>
  <c r="Y9" i="4"/>
  <c r="AC63" i="4" s="1"/>
  <c r="BW4" i="4"/>
  <c r="BX4" i="4"/>
  <c r="BL15" i="4"/>
  <c r="BK15" i="4"/>
  <c r="BJ15" i="4"/>
  <c r="AX17" i="4"/>
  <c r="AW17" i="4"/>
  <c r="AV17" i="4"/>
  <c r="BZ19" i="4"/>
  <c r="BY19" i="4"/>
  <c r="AJ20" i="4"/>
  <c r="AI20" i="4"/>
  <c r="AH20" i="4"/>
  <c r="AU32" i="4"/>
  <c r="AX32" i="4"/>
  <c r="AW32" i="4"/>
  <c r="BL37" i="4"/>
  <c r="BK37" i="4"/>
  <c r="BO33" i="4" s="1"/>
  <c r="BJ37" i="4"/>
  <c r="AG44" i="4"/>
  <c r="AJ44" i="4"/>
  <c r="AI44" i="4"/>
  <c r="AH44" i="4"/>
  <c r="BZ51" i="4"/>
  <c r="BW51" i="4"/>
  <c r="BZ65" i="4"/>
  <c r="BX65" i="4"/>
  <c r="AV69" i="4"/>
  <c r="AU69" i="4"/>
  <c r="AX69" i="4"/>
  <c r="W78" i="4"/>
  <c r="AA78" i="4" s="1"/>
  <c r="W79" i="4"/>
  <c r="AA79" i="4" s="1"/>
  <c r="Z5" i="4"/>
  <c r="BY4" i="4"/>
  <c r="AV6" i="4"/>
  <c r="BI15" i="4"/>
  <c r="AU17" i="4"/>
  <c r="BW19" i="4"/>
  <c r="AG20" i="4"/>
  <c r="AH24" i="4"/>
  <c r="Y33" i="4"/>
  <c r="Y31" i="4"/>
  <c r="AV32" i="4"/>
  <c r="AH36" i="4"/>
  <c r="AJ36" i="4"/>
  <c r="AI36" i="4"/>
  <c r="BI37" i="4"/>
  <c r="BX51" i="4"/>
  <c r="AH59" i="4"/>
  <c r="AG59" i="4"/>
  <c r="AJ59" i="4"/>
  <c r="AI59" i="4"/>
  <c r="BW65" i="4"/>
  <c r="AW69" i="4"/>
  <c r="AV4" i="4"/>
  <c r="BK7" i="4"/>
  <c r="AX9" i="4"/>
  <c r="AW9" i="4"/>
  <c r="BX9" i="4"/>
  <c r="BW9" i="4"/>
  <c r="AW11" i="4"/>
  <c r="AV11" i="4"/>
  <c r="AU11" i="4"/>
  <c r="BK17" i="4"/>
  <c r="AJ19" i="4"/>
  <c r="AI19" i="4"/>
  <c r="BK19" i="4"/>
  <c r="BJ19" i="4"/>
  <c r="BI19" i="4"/>
  <c r="AW20" i="4"/>
  <c r="BW25" i="4"/>
  <c r="AU27" i="4"/>
  <c r="AX27" i="4"/>
  <c r="Y32" i="4"/>
  <c r="Y36" i="4"/>
  <c r="AU31" i="4"/>
  <c r="AX33" i="4"/>
  <c r="AW33" i="4"/>
  <c r="BW35" i="4"/>
  <c r="AI37" i="4"/>
  <c r="BJ43" i="4"/>
  <c r="BL43" i="4"/>
  <c r="BK43" i="4"/>
  <c r="BI43" i="4"/>
  <c r="AH45" i="4"/>
  <c r="BY46" i="4"/>
  <c r="BZ46" i="4"/>
  <c r="AJ47" i="4"/>
  <c r="AG47" i="4"/>
  <c r="AI47" i="4"/>
  <c r="AG53" i="4"/>
  <c r="BK53" i="4"/>
  <c r="BJ53" i="4"/>
  <c r="AX54" i="4"/>
  <c r="BK58" i="4"/>
  <c r="BJ58" i="4"/>
  <c r="BL58" i="4"/>
  <c r="BI58" i="4"/>
  <c r="BI60" i="4"/>
  <c r="AI69" i="4"/>
  <c r="AH69" i="4"/>
  <c r="AJ69" i="4"/>
  <c r="BI70" i="4"/>
  <c r="BZ71" i="4"/>
  <c r="BX71" i="4"/>
  <c r="BL73" i="4"/>
  <c r="BK73" i="4"/>
  <c r="BJ73" i="4"/>
  <c r="BI73" i="4"/>
  <c r="AX82" i="4"/>
  <c r="AV82" i="4"/>
  <c r="AW82" i="4"/>
  <c r="AU82" i="4"/>
  <c r="Z7" i="4"/>
  <c r="BZ20" i="4"/>
  <c r="BY20" i="4"/>
  <c r="BX49" i="4"/>
  <c r="BZ49" i="4"/>
  <c r="BY49" i="4"/>
  <c r="BW49" i="4"/>
  <c r="AJ60" i="4"/>
  <c r="AI60" i="4"/>
  <c r="AH60" i="4"/>
  <c r="AG60" i="4"/>
  <c r="BZ61" i="4"/>
  <c r="BY61" i="4"/>
  <c r="BW61" i="4"/>
  <c r="BZ82" i="4"/>
  <c r="BY82" i="4"/>
  <c r="BX82" i="4"/>
  <c r="AJ8" i="4"/>
  <c r="AI8" i="4"/>
  <c r="BJ8" i="4"/>
  <c r="BI8" i="4"/>
  <c r="BW20" i="4"/>
  <c r="BX31" i="4"/>
  <c r="BZ31" i="4"/>
  <c r="BJ47" i="4"/>
  <c r="BL47" i="4"/>
  <c r="BZ50" i="4"/>
  <c r="BY50" i="4"/>
  <c r="AV54" i="4"/>
  <c r="BY54" i="4"/>
  <c r="BZ54" i="4"/>
  <c r="AG55" i="4"/>
  <c r="AJ55" i="4"/>
  <c r="AI55" i="4"/>
  <c r="AX59" i="4"/>
  <c r="AV59" i="4"/>
  <c r="AU59" i="4"/>
  <c r="AW59" i="4"/>
  <c r="AV60" i="4"/>
  <c r="AU60" i="4"/>
  <c r="AX60" i="4"/>
  <c r="AW60" i="4"/>
  <c r="AJ61" i="4"/>
  <c r="AI61" i="4"/>
  <c r="BX61" i="4"/>
  <c r="BX62" i="4"/>
  <c r="BW62" i="4"/>
  <c r="BZ62" i="4"/>
  <c r="AJ63" i="4"/>
  <c r="AI63" i="4"/>
  <c r="AG63" i="4"/>
  <c r="AW70" i="4"/>
  <c r="AV70" i="4"/>
  <c r="AX70" i="4"/>
  <c r="AU70" i="4"/>
  <c r="BI71" i="4"/>
  <c r="BL71" i="4"/>
  <c r="BK71" i="4"/>
  <c r="BW82" i="4"/>
  <c r="AU92" i="4"/>
  <c r="AX92" i="4"/>
  <c r="AW92" i="4"/>
  <c r="AJ25" i="4"/>
  <c r="AI25" i="4"/>
  <c r="AH25" i="4"/>
  <c r="AG25" i="4"/>
  <c r="BZ27" i="4"/>
  <c r="CD22" i="4" s="1"/>
  <c r="BY27" i="4"/>
  <c r="AI28" i="4"/>
  <c r="AH28" i="4"/>
  <c r="AG28" i="4"/>
  <c r="BZ33" i="4"/>
  <c r="BW33" i="4"/>
  <c r="BY33" i="4"/>
  <c r="BX37" i="4"/>
  <c r="BZ37" i="4"/>
  <c r="BY37" i="4"/>
  <c r="BW37" i="4"/>
  <c r="BY40" i="4"/>
  <c r="BZ40" i="4"/>
  <c r="BZ45" i="4"/>
  <c r="BY45" i="4"/>
  <c r="BX45" i="4"/>
  <c r="BW45" i="4"/>
  <c r="BW56" i="4"/>
  <c r="BY56" i="4"/>
  <c r="AW72" i="4"/>
  <c r="AV72" i="4"/>
  <c r="BZ81" i="4"/>
  <c r="BY81" i="4"/>
  <c r="BX81" i="4"/>
  <c r="AX37" i="4"/>
  <c r="AU37" i="4"/>
  <c r="AJ43" i="4"/>
  <c r="AG43" i="4"/>
  <c r="AX49" i="4"/>
  <c r="AU49" i="4"/>
  <c r="BX55" i="4"/>
  <c r="BW55" i="4"/>
  <c r="BX67" i="4"/>
  <c r="BW67" i="4"/>
  <c r="BL68" i="4"/>
  <c r="BK68" i="4"/>
  <c r="BI68" i="4"/>
  <c r="AV80" i="4"/>
  <c r="AX80" i="4"/>
  <c r="BZ86" i="4"/>
  <c r="BY86" i="4"/>
  <c r="BX86" i="4"/>
  <c r="AU15" i="4"/>
  <c r="BI16" i="4"/>
  <c r="BW17" i="4"/>
  <c r="BI20" i="4"/>
  <c r="BW22" i="4"/>
  <c r="AU23" i="4"/>
  <c r="BI25" i="4"/>
  <c r="AH26" i="4"/>
  <c r="BI26" i="4"/>
  <c r="AG27" i="4"/>
  <c r="BI29" i="4"/>
  <c r="AH31" i="4"/>
  <c r="BI31" i="4"/>
  <c r="AG32" i="4"/>
  <c r="BI34" i="4"/>
  <c r="AV37" i="4"/>
  <c r="AG40" i="4"/>
  <c r="AG41" i="4"/>
  <c r="AG42" i="4"/>
  <c r="BI42" i="4"/>
  <c r="AH43" i="4"/>
  <c r="AV45" i="4"/>
  <c r="AG46" i="4"/>
  <c r="AV49" i="4"/>
  <c r="BJ51" i="4"/>
  <c r="AH54" i="4"/>
  <c r="AI54" i="4"/>
  <c r="AX55" i="4"/>
  <c r="AV55" i="4"/>
  <c r="BY55" i="4"/>
  <c r="BI56" i="4"/>
  <c r="BJ61" i="4"/>
  <c r="BI61" i="4"/>
  <c r="AX62" i="4"/>
  <c r="AW62" i="4"/>
  <c r="AV62" i="4"/>
  <c r="AJ64" i="4"/>
  <c r="AI64" i="4"/>
  <c r="BK64" i="4"/>
  <c r="BJ64" i="4"/>
  <c r="BL64" i="4"/>
  <c r="AX67" i="4"/>
  <c r="AW67" i="4"/>
  <c r="BY67" i="4"/>
  <c r="AJ68" i="4"/>
  <c r="AH68" i="4"/>
  <c r="BJ68" i="4"/>
  <c r="BW72" i="4"/>
  <c r="BZ72" i="4"/>
  <c r="AG73" i="4"/>
  <c r="AH79" i="4"/>
  <c r="AJ79" i="4"/>
  <c r="AI79" i="4"/>
  <c r="AU80" i="4"/>
  <c r="BW86" i="4"/>
  <c r="AU88" i="4"/>
  <c r="AX88" i="4"/>
  <c r="AW88" i="4"/>
  <c r="AV88" i="4"/>
  <c r="BK25" i="4"/>
  <c r="AI26" i="4"/>
  <c r="BK29" i="4"/>
  <c r="AI31" i="4"/>
  <c r="BJ34" i="4"/>
  <c r="AW37" i="4"/>
  <c r="AI40" i="4"/>
  <c r="AI41" i="4"/>
  <c r="AH42" i="4"/>
  <c r="BK42" i="4"/>
  <c r="AI43" i="4"/>
  <c r="AX44" i="4"/>
  <c r="AU44" i="4"/>
  <c r="AW45" i="4"/>
  <c r="AI46" i="4"/>
  <c r="AW49" i="4"/>
  <c r="BL50" i="4"/>
  <c r="BI50" i="4"/>
  <c r="BK51" i="4"/>
  <c r="BW52" i="4"/>
  <c r="BX52" i="4"/>
  <c r="BZ55" i="4"/>
  <c r="BJ56" i="4"/>
  <c r="BZ67" i="4"/>
  <c r="AH73" i="4"/>
  <c r="AG79" i="4"/>
  <c r="AW80" i="4"/>
  <c r="AX86" i="4"/>
  <c r="AW86" i="4"/>
  <c r="AU86" i="4"/>
  <c r="BL63" i="4"/>
  <c r="BK63" i="4"/>
  <c r="BL77" i="4"/>
  <c r="BK77" i="4"/>
  <c r="AW89" i="4"/>
  <c r="AV89" i="4"/>
  <c r="AU89" i="4"/>
  <c r="AV91" i="4"/>
  <c r="AX91" i="4"/>
  <c r="AW91" i="4"/>
  <c r="BY59" i="4"/>
  <c r="BX59" i="4"/>
  <c r="BZ69" i="4"/>
  <c r="BY69" i="4"/>
  <c r="BK72" i="4"/>
  <c r="BJ72" i="4"/>
  <c r="BI76" i="4"/>
  <c r="BL76" i="4"/>
  <c r="BX87" i="4"/>
  <c r="BZ87" i="4"/>
  <c r="BY87" i="4"/>
  <c r="BW87" i="4"/>
  <c r="AX56" i="4"/>
  <c r="BW59" i="4"/>
  <c r="AJ65" i="4"/>
  <c r="AI65" i="4"/>
  <c r="BJ65" i="4"/>
  <c r="BI65" i="4"/>
  <c r="BW69" i="4"/>
  <c r="BI72" i="4"/>
  <c r="AG76" i="4"/>
  <c r="BJ76" i="4"/>
  <c r="BZ79" i="4"/>
  <c r="AI80" i="4"/>
  <c r="AH80" i="4"/>
  <c r="AG80" i="4"/>
  <c r="BW83" i="4"/>
  <c r="AX87" i="4"/>
  <c r="AW87" i="4"/>
  <c r="AV87" i="4"/>
  <c r="BK88" i="4"/>
  <c r="BJ89" i="4"/>
  <c r="BZ92" i="4"/>
  <c r="BY92" i="4"/>
  <c r="BX92" i="4"/>
  <c r="AU73" i="4"/>
  <c r="AV74" i="4"/>
  <c r="AG82" i="4"/>
  <c r="BW89" i="4"/>
  <c r="AU90" i="4"/>
  <c r="Z10" i="18" l="1"/>
  <c r="AC4" i="18"/>
  <c r="T10" i="18"/>
  <c r="U10" i="18"/>
  <c r="R10" i="18"/>
  <c r="S10" i="18"/>
  <c r="R9" i="18"/>
  <c r="AC5" i="18" s="1" a="1"/>
  <c r="AC5" i="18" s="1"/>
  <c r="Z4" i="18" s="1"/>
  <c r="U9" i="18"/>
  <c r="AC8" i="18" s="1" a="1"/>
  <c r="AC8" i="18" s="1"/>
  <c r="S9" i="18"/>
  <c r="AC6" i="18" s="1" a="1"/>
  <c r="AC6" i="18" s="1"/>
  <c r="T9" i="18"/>
  <c r="AC7" i="18" s="1" a="1"/>
  <c r="AC7" i="18" s="1"/>
  <c r="Z9" i="15"/>
  <c r="S9" i="17"/>
  <c r="T9" i="17"/>
  <c r="U9" i="17"/>
  <c r="R9" i="17"/>
  <c r="AC5" i="17" s="1" a="1"/>
  <c r="AC5" i="17" s="1"/>
  <c r="Z9" i="14"/>
  <c r="Z10" i="14" s="1"/>
  <c r="R12" i="17"/>
  <c r="S12" i="17"/>
  <c r="T12" i="17"/>
  <c r="U12" i="17"/>
  <c r="R10" i="17"/>
  <c r="U10" i="17"/>
  <c r="S10" i="17"/>
  <c r="T10" i="17"/>
  <c r="R11" i="17"/>
  <c r="U11" i="17"/>
  <c r="S11" i="17"/>
  <c r="T11" i="17"/>
  <c r="R13" i="17"/>
  <c r="S13" i="17"/>
  <c r="T13" i="17"/>
  <c r="U13" i="17"/>
  <c r="Z10" i="17"/>
  <c r="AC4" i="17"/>
  <c r="R14" i="15"/>
  <c r="U14" i="15"/>
  <c r="T14" i="15"/>
  <c r="S14" i="15"/>
  <c r="R11" i="15"/>
  <c r="U11" i="15"/>
  <c r="T11" i="15"/>
  <c r="S11" i="15"/>
  <c r="AC4" i="15"/>
  <c r="Z10" i="15"/>
  <c r="T15" i="15"/>
  <c r="R15" i="15"/>
  <c r="S15" i="15"/>
  <c r="U15" i="15"/>
  <c r="R12" i="15"/>
  <c r="T12" i="15"/>
  <c r="U12" i="15"/>
  <c r="S12" i="15"/>
  <c r="T9" i="14"/>
  <c r="R9" i="14"/>
  <c r="S9" i="14"/>
  <c r="U9" i="14"/>
  <c r="R11" i="14"/>
  <c r="U11" i="14"/>
  <c r="T11" i="14"/>
  <c r="S11" i="14"/>
  <c r="R13" i="15"/>
  <c r="S13" i="15"/>
  <c r="U13" i="15"/>
  <c r="T13" i="15"/>
  <c r="AC7" i="15" s="1" a="1"/>
  <c r="AC7" i="15" s="1"/>
  <c r="T10" i="14"/>
  <c r="U10" i="14"/>
  <c r="S10" i="14"/>
  <c r="R10" i="14"/>
  <c r="T10" i="15"/>
  <c r="R10" i="15"/>
  <c r="U10" i="15"/>
  <c r="AC8" i="15" s="1" a="1"/>
  <c r="AC8" i="15" s="1"/>
  <c r="S10" i="15"/>
  <c r="AC6" i="15" s="1" a="1"/>
  <c r="AC6" i="15" s="1"/>
  <c r="CA78" i="4"/>
  <c r="CC79" i="4"/>
  <c r="AD32" i="4"/>
  <c r="CD5" i="4"/>
  <c r="CH5" i="4" s="1"/>
  <c r="AD77" i="4"/>
  <c r="AB25" i="4"/>
  <c r="AD41" i="4"/>
  <c r="AB4" i="4"/>
  <c r="AB89" i="4"/>
  <c r="AL77" i="4"/>
  <c r="AK4" i="4"/>
  <c r="AO4" i="4" s="1"/>
  <c r="AY40" i="4"/>
  <c r="AZ34" i="4"/>
  <c r="CB90" i="4"/>
  <c r="BM8" i="4"/>
  <c r="BQ8" i="4" s="1"/>
  <c r="BA36" i="4"/>
  <c r="AB13" i="4"/>
  <c r="CB26" i="4"/>
  <c r="AB24" i="4"/>
  <c r="CC36" i="4"/>
  <c r="AC25" i="4"/>
  <c r="BB15" i="4"/>
  <c r="BO35" i="4"/>
  <c r="BO32" i="4"/>
  <c r="BA41" i="4"/>
  <c r="AC62" i="4"/>
  <c r="BM71" i="4"/>
  <c r="CC26" i="4"/>
  <c r="AB17" i="4"/>
  <c r="BA6" i="4"/>
  <c r="BE6" i="4" s="1"/>
  <c r="AA32" i="4"/>
  <c r="BP15" i="4"/>
  <c r="AB26" i="4"/>
  <c r="BO34" i="4"/>
  <c r="AC78" i="4"/>
  <c r="AB85" i="4"/>
  <c r="AN87" i="4"/>
  <c r="AY78" i="4"/>
  <c r="AN34" i="4"/>
  <c r="AC88" i="4"/>
  <c r="AB68" i="4"/>
  <c r="BC78" i="4"/>
  <c r="AZ72" i="4"/>
  <c r="AY8" i="4"/>
  <c r="BC8" i="4" s="1"/>
  <c r="AY76" i="4"/>
  <c r="AN33" i="4"/>
  <c r="AB67" i="4"/>
  <c r="AY41" i="4"/>
  <c r="BC41" i="4" s="1"/>
  <c r="AK5" i="4"/>
  <c r="AO5" i="4" s="1"/>
  <c r="AY81" i="4"/>
  <c r="AY7" i="4"/>
  <c r="BC7" i="4" s="1"/>
  <c r="AC61" i="4"/>
  <c r="AB58" i="4"/>
  <c r="AA86" i="4"/>
  <c r="BO22" i="4"/>
  <c r="AC32" i="4"/>
  <c r="AE32" i="4" s="1"/>
  <c r="AD35" i="4"/>
  <c r="AN31" i="4"/>
  <c r="CD8" i="4"/>
  <c r="CH8" i="4" s="1"/>
  <c r="AD50" i="4"/>
  <c r="AD44" i="4"/>
  <c r="AC7" i="4"/>
  <c r="AA88" i="4"/>
  <c r="CB89" i="4"/>
  <c r="AC70" i="4"/>
  <c r="AM24" i="4"/>
  <c r="AC18" i="4"/>
  <c r="AN23" i="4"/>
  <c r="BA42" i="4"/>
  <c r="AM8" i="4"/>
  <c r="AQ8" i="4" s="1"/>
  <c r="AY43" i="4"/>
  <c r="BC43" i="4" s="1"/>
  <c r="AN27" i="4"/>
  <c r="AR27" i="4" s="1"/>
  <c r="AM22" i="4"/>
  <c r="AC31" i="4"/>
  <c r="CA79" i="4"/>
  <c r="AC15" i="4"/>
  <c r="AC81" i="4"/>
  <c r="AC51" i="4"/>
  <c r="AB27" i="4"/>
  <c r="BB8" i="4"/>
  <c r="BF8" i="4" s="1"/>
  <c r="AC33" i="4"/>
  <c r="BP32" i="4"/>
  <c r="CC16" i="4"/>
  <c r="AC43" i="4"/>
  <c r="AK9" i="4"/>
  <c r="AO9" i="4" s="1"/>
  <c r="CB42" i="4"/>
  <c r="CC23" i="4"/>
  <c r="AL80" i="4"/>
  <c r="AP80" i="4" s="1"/>
  <c r="AC72" i="4"/>
  <c r="AC17" i="4"/>
  <c r="AD26" i="4"/>
  <c r="AD14" i="4"/>
  <c r="AC34" i="4"/>
  <c r="AC79" i="4"/>
  <c r="AA50" i="4"/>
  <c r="AD53" i="4"/>
  <c r="AB86" i="4"/>
  <c r="AN85" i="4"/>
  <c r="AC53" i="4"/>
  <c r="AB18" i="4"/>
  <c r="AY5" i="4"/>
  <c r="BC5" i="4" s="1"/>
  <c r="CB45" i="4"/>
  <c r="CA76" i="4"/>
  <c r="AA14" i="4"/>
  <c r="AE14" i="4" s="1"/>
  <c r="AN9" i="4"/>
  <c r="AR9" i="4" s="1"/>
  <c r="CC31" i="4"/>
  <c r="BM72" i="4"/>
  <c r="CC81" i="4"/>
  <c r="BP18" i="4"/>
  <c r="AC68" i="4"/>
  <c r="AA51" i="4"/>
  <c r="AL25" i="4"/>
  <c r="AB31" i="4"/>
  <c r="BA40" i="4"/>
  <c r="AA15" i="4"/>
  <c r="BN22" i="4"/>
  <c r="AC35" i="4"/>
  <c r="AN88" i="4"/>
  <c r="AB32" i="4"/>
  <c r="AB72" i="4"/>
  <c r="BO41" i="4"/>
  <c r="BO42" i="4"/>
  <c r="BO43" i="4"/>
  <c r="BO44" i="4"/>
  <c r="BO45" i="4"/>
  <c r="AN71" i="4"/>
  <c r="AN72" i="4"/>
  <c r="AN69" i="4"/>
  <c r="AN67" i="4"/>
  <c r="AN68" i="4"/>
  <c r="AN70" i="4"/>
  <c r="BM36" i="4"/>
  <c r="BQ36" i="4" s="1"/>
  <c r="BM33" i="4"/>
  <c r="BM34" i="4"/>
  <c r="BM32" i="4"/>
  <c r="BM31" i="4"/>
  <c r="BM35" i="4"/>
  <c r="BQ35" i="4" s="1"/>
  <c r="BA63" i="4"/>
  <c r="BA60" i="4"/>
  <c r="BE60" i="4" s="1"/>
  <c r="BA59" i="4"/>
  <c r="BA62" i="4"/>
  <c r="BA61" i="4"/>
  <c r="BA58" i="4"/>
  <c r="CC54" i="4"/>
  <c r="CC49" i="4"/>
  <c r="CC52" i="4"/>
  <c r="CC50" i="4"/>
  <c r="CC51" i="4"/>
  <c r="CC53" i="4"/>
  <c r="BN60" i="4"/>
  <c r="BN63" i="4"/>
  <c r="BN59" i="4"/>
  <c r="BN58" i="4"/>
  <c r="BN62" i="4"/>
  <c r="BN61" i="4"/>
  <c r="CB9" i="4"/>
  <c r="CF9" i="4" s="1"/>
  <c r="CB8" i="4"/>
  <c r="CF8" i="4" s="1"/>
  <c r="CB7" i="4"/>
  <c r="CF7" i="4" s="1"/>
  <c r="CB6" i="4"/>
  <c r="CF6" i="4" s="1"/>
  <c r="CB4" i="4"/>
  <c r="CF4" i="4" s="1"/>
  <c r="CB5" i="4"/>
  <c r="CF5" i="4" s="1"/>
  <c r="BO87" i="4"/>
  <c r="BO85" i="4"/>
  <c r="BO88" i="4"/>
  <c r="BS88" i="4" s="1"/>
  <c r="BO89" i="4"/>
  <c r="BO86" i="4"/>
  <c r="BO90" i="4"/>
  <c r="CD79" i="4"/>
  <c r="CD76" i="4"/>
  <c r="CD78" i="4"/>
  <c r="CD81" i="4"/>
  <c r="CD80" i="4"/>
  <c r="CH80" i="4" s="1"/>
  <c r="CD77" i="4"/>
  <c r="BM80" i="4"/>
  <c r="BQ80" i="4" s="1"/>
  <c r="BM78" i="4"/>
  <c r="BM76" i="4"/>
  <c r="BM81" i="4"/>
  <c r="BM77" i="4"/>
  <c r="BM79" i="4"/>
  <c r="AM32" i="4"/>
  <c r="AM34" i="4"/>
  <c r="AM33" i="4"/>
  <c r="AM31" i="4"/>
  <c r="AM35" i="4"/>
  <c r="AQ35" i="4" s="1"/>
  <c r="AM36" i="4"/>
  <c r="CA90" i="4"/>
  <c r="CA89" i="4"/>
  <c r="CA85" i="4"/>
  <c r="CA87" i="4"/>
  <c r="CA88" i="4"/>
  <c r="CA86" i="4"/>
  <c r="BN69" i="4"/>
  <c r="BN72" i="4"/>
  <c r="BN71" i="4"/>
  <c r="BN68" i="4"/>
  <c r="BN67" i="4"/>
  <c r="BN70" i="4"/>
  <c r="BP67" i="4"/>
  <c r="BP71" i="4"/>
  <c r="BP70" i="4"/>
  <c r="BP69" i="4"/>
  <c r="BP68" i="4"/>
  <c r="AN45" i="4"/>
  <c r="AN41" i="4"/>
  <c r="CD31" i="4"/>
  <c r="CD33" i="4"/>
  <c r="CD36" i="4"/>
  <c r="CD34" i="4"/>
  <c r="CD35" i="4"/>
  <c r="CH35" i="4" s="1"/>
  <c r="CD32" i="4"/>
  <c r="AD7" i="4"/>
  <c r="AD88" i="4"/>
  <c r="BM62" i="4"/>
  <c r="BQ62" i="4" s="1"/>
  <c r="BM59" i="4"/>
  <c r="BM60" i="4"/>
  <c r="BM58" i="4"/>
  <c r="BM63" i="4"/>
  <c r="BM61" i="4"/>
  <c r="BP45" i="4"/>
  <c r="BP42" i="4"/>
  <c r="BP40" i="4"/>
  <c r="CD18" i="4"/>
  <c r="CD13" i="4"/>
  <c r="CD14" i="4"/>
  <c r="CH14" i="4" s="1"/>
  <c r="CD16" i="4"/>
  <c r="CD15" i="4"/>
  <c r="CD17" i="4"/>
  <c r="CH17" i="4" s="1"/>
  <c r="BM88" i="4"/>
  <c r="BM86" i="4"/>
  <c r="BM85" i="4"/>
  <c r="BM90" i="4"/>
  <c r="BM89" i="4"/>
  <c r="BQ89" i="4" s="1"/>
  <c r="BM87" i="4"/>
  <c r="AL8" i="4"/>
  <c r="AP8" i="4" s="1"/>
  <c r="AL9" i="4"/>
  <c r="AP9" i="4" s="1"/>
  <c r="AL6" i="4"/>
  <c r="AP6" i="4" s="1"/>
  <c r="AL5" i="4"/>
  <c r="AP5" i="4" s="1"/>
  <c r="AL4" i="4"/>
  <c r="AP4" i="4" s="1"/>
  <c r="AL7" i="4"/>
  <c r="AP7" i="4" s="1"/>
  <c r="BB40" i="4"/>
  <c r="BB42" i="4"/>
  <c r="BB45" i="4"/>
  <c r="BB43" i="4"/>
  <c r="BB41" i="4"/>
  <c r="BB44" i="4"/>
  <c r="CB23" i="4"/>
  <c r="CF23" i="4" s="1"/>
  <c r="AB7" i="4"/>
  <c r="AB16" i="4"/>
  <c r="AB52" i="4"/>
  <c r="AB70" i="4"/>
  <c r="AB79" i="4"/>
  <c r="AY87" i="4"/>
  <c r="BC87" i="4" s="1"/>
  <c r="AY89" i="4"/>
  <c r="AY85" i="4"/>
  <c r="AY86" i="4"/>
  <c r="BC86" i="4" s="1"/>
  <c r="AY90" i="4"/>
  <c r="AY88" i="4"/>
  <c r="BC88" i="4" s="1"/>
  <c r="AN60" i="4"/>
  <c r="AN62" i="4"/>
  <c r="AN58" i="4"/>
  <c r="AN63" i="4"/>
  <c r="AN61" i="4"/>
  <c r="AN59" i="4"/>
  <c r="CB22" i="4"/>
  <c r="CF22" i="4" s="1"/>
  <c r="BB9" i="4"/>
  <c r="BF9" i="4" s="1"/>
  <c r="AN25" i="4"/>
  <c r="AL27" i="4"/>
  <c r="AM26" i="4"/>
  <c r="AZ14" i="4"/>
  <c r="AZ16" i="4"/>
  <c r="AZ13" i="4"/>
  <c r="AZ15" i="4"/>
  <c r="AZ18" i="4"/>
  <c r="AB43" i="4"/>
  <c r="CD6" i="4"/>
  <c r="CH6" i="4" s="1"/>
  <c r="BP16" i="4"/>
  <c r="AC76" i="4"/>
  <c r="AZ27" i="4"/>
  <c r="AZ26" i="4"/>
  <c r="AZ23" i="4"/>
  <c r="AZ25" i="4"/>
  <c r="AZ24" i="4"/>
  <c r="AZ22" i="4"/>
  <c r="AA80" i="4"/>
  <c r="BM9" i="4"/>
  <c r="BQ9" i="4" s="1"/>
  <c r="AA6" i="4"/>
  <c r="AA42" i="4"/>
  <c r="AA60" i="4"/>
  <c r="AA24" i="4"/>
  <c r="AE24" i="4" s="1"/>
  <c r="AA87" i="4"/>
  <c r="BN76" i="4"/>
  <c r="BN77" i="4"/>
  <c r="BN78" i="4"/>
  <c r="BN81" i="4"/>
  <c r="BN79" i="4"/>
  <c r="BN80" i="4"/>
  <c r="CA59" i="4"/>
  <c r="CA58" i="4"/>
  <c r="CA60" i="4"/>
  <c r="CA63" i="4"/>
  <c r="CA62" i="4"/>
  <c r="CA61" i="4"/>
  <c r="BA76" i="4"/>
  <c r="BA78" i="4"/>
  <c r="BE78" i="4" s="1"/>
  <c r="BA77" i="4"/>
  <c r="BA80" i="4"/>
  <c r="BA81" i="4"/>
  <c r="BA79" i="4"/>
  <c r="AL70" i="4"/>
  <c r="AP70" i="4" s="1"/>
  <c r="AL72" i="4"/>
  <c r="AL67" i="4"/>
  <c r="AL69" i="4"/>
  <c r="AL71" i="4"/>
  <c r="AP71" i="4" s="1"/>
  <c r="AL68" i="4"/>
  <c r="AP68" i="4" s="1"/>
  <c r="AK33" i="4"/>
  <c r="AK31" i="4"/>
  <c r="AO31" i="4" s="1"/>
  <c r="AK32" i="4"/>
  <c r="AK34" i="4"/>
  <c r="AK35" i="4"/>
  <c r="AK36" i="4"/>
  <c r="AO36" i="4" s="1"/>
  <c r="CB88" i="4"/>
  <c r="CF88" i="4" s="1"/>
  <c r="CA72" i="4"/>
  <c r="CA71" i="4"/>
  <c r="CA70" i="4"/>
  <c r="CA68" i="4"/>
  <c r="CA67" i="4"/>
  <c r="CA69" i="4"/>
  <c r="CB35" i="4"/>
  <c r="CB31" i="4"/>
  <c r="CB32" i="4"/>
  <c r="CF32" i="4" s="1"/>
  <c r="CB33" i="4"/>
  <c r="CF33" i="4" s="1"/>
  <c r="CB34" i="4"/>
  <c r="CF34" i="4" s="1"/>
  <c r="CB36" i="4"/>
  <c r="CA54" i="4"/>
  <c r="CA51" i="4"/>
  <c r="CA50" i="4"/>
  <c r="CA52" i="4"/>
  <c r="CA53" i="4"/>
  <c r="CA49" i="4"/>
  <c r="BP62" i="4"/>
  <c r="BP59" i="4"/>
  <c r="BP58" i="4"/>
  <c r="BP63" i="4"/>
  <c r="BP61" i="4"/>
  <c r="BP60" i="4"/>
  <c r="BN40" i="4"/>
  <c r="BN41" i="4"/>
  <c r="BN43" i="4"/>
  <c r="BN42" i="4"/>
  <c r="BN44" i="4"/>
  <c r="BN45" i="4"/>
  <c r="AZ31" i="4"/>
  <c r="AZ35" i="4"/>
  <c r="AZ36" i="4"/>
  <c r="AZ33" i="4"/>
  <c r="AZ32" i="4"/>
  <c r="AY80" i="4"/>
  <c r="BA34" i="4"/>
  <c r="BA31" i="4"/>
  <c r="BA35" i="4"/>
  <c r="BA33" i="4"/>
  <c r="BE33" i="4" s="1"/>
  <c r="BA32" i="4"/>
  <c r="AL54" i="4"/>
  <c r="AL50" i="4"/>
  <c r="AP50" i="4" s="1"/>
  <c r="AL49" i="4"/>
  <c r="AP49" i="4" s="1"/>
  <c r="AL52" i="4"/>
  <c r="AP52" i="4" s="1"/>
  <c r="AL51" i="4"/>
  <c r="AP51" i="4" s="1"/>
  <c r="AL53" i="4"/>
  <c r="AA31" i="4"/>
  <c r="AZ41" i="4"/>
  <c r="AZ40" i="4"/>
  <c r="AZ44" i="4"/>
  <c r="AZ45" i="4"/>
  <c r="AZ42" i="4"/>
  <c r="AZ43" i="4"/>
  <c r="AC69" i="4"/>
  <c r="BB87" i="4"/>
  <c r="BB90" i="4"/>
  <c r="BF90" i="4" s="1"/>
  <c r="BB85" i="4"/>
  <c r="BB88" i="4"/>
  <c r="BB86" i="4"/>
  <c r="BB89" i="4"/>
  <c r="BP33" i="4"/>
  <c r="CB25" i="4"/>
  <c r="CF25" i="4" s="1"/>
  <c r="AN26" i="4"/>
  <c r="AY13" i="4"/>
  <c r="AY18" i="4"/>
  <c r="AY15" i="4"/>
  <c r="BC15" i="4" s="1"/>
  <c r="AY17" i="4"/>
  <c r="AY14" i="4"/>
  <c r="BC14" i="4" s="1"/>
  <c r="AY16" i="4"/>
  <c r="BC16" i="4" s="1"/>
  <c r="CC24" i="4"/>
  <c r="BA17" i="4"/>
  <c r="BA13" i="4"/>
  <c r="BA14" i="4"/>
  <c r="BA15" i="4"/>
  <c r="BE15" i="4" s="1"/>
  <c r="BA16" i="4"/>
  <c r="BB14" i="4"/>
  <c r="BO31" i="4"/>
  <c r="AB44" i="4"/>
  <c r="CD4" i="4"/>
  <c r="CH4" i="4" s="1"/>
  <c r="AD34" i="4"/>
  <c r="AC77" i="4"/>
  <c r="AA53" i="4"/>
  <c r="BA27" i="4"/>
  <c r="BA22" i="4"/>
  <c r="BA25" i="4"/>
  <c r="BA23" i="4"/>
  <c r="BA24" i="4"/>
  <c r="BE24" i="4" s="1"/>
  <c r="BA26" i="4"/>
  <c r="AB80" i="4"/>
  <c r="AB61" i="4"/>
  <c r="BB4" i="4"/>
  <c r="BF4" i="4" s="1"/>
  <c r="BB6" i="4"/>
  <c r="BF6" i="4" s="1"/>
  <c r="AK6" i="4"/>
  <c r="AO6" i="4" s="1"/>
  <c r="AA77" i="4"/>
  <c r="AA41" i="4"/>
  <c r="AA68" i="4"/>
  <c r="AA23" i="4"/>
  <c r="AA5" i="4"/>
  <c r="AA59" i="4"/>
  <c r="AA89" i="4"/>
  <c r="AN86" i="4"/>
  <c r="AD79" i="4"/>
  <c r="CA24" i="4"/>
  <c r="CA23" i="4"/>
  <c r="CA27" i="4"/>
  <c r="CA26" i="4"/>
  <c r="CA22" i="4"/>
  <c r="CA25" i="4"/>
  <c r="CA41" i="4"/>
  <c r="CA43" i="4"/>
  <c r="CA42" i="4"/>
  <c r="CA44" i="4"/>
  <c r="BP89" i="4"/>
  <c r="BP85" i="4"/>
  <c r="BP87" i="4"/>
  <c r="BP86" i="4"/>
  <c r="BP88" i="4"/>
  <c r="BM18" i="4"/>
  <c r="BQ18" i="4" s="1"/>
  <c r="BM14" i="4"/>
  <c r="BM16" i="4"/>
  <c r="BM17" i="4"/>
  <c r="BQ17" i="4" s="1"/>
  <c r="BM15" i="4"/>
  <c r="BM13" i="4"/>
  <c r="AL35" i="4"/>
  <c r="AL32" i="4"/>
  <c r="AP32" i="4" s="1"/>
  <c r="AL33" i="4"/>
  <c r="AL36" i="4"/>
  <c r="AP36" i="4" s="1"/>
  <c r="AL34" i="4"/>
  <c r="AP34" i="4" s="1"/>
  <c r="AL31" i="4"/>
  <c r="CB81" i="4"/>
  <c r="CB80" i="4"/>
  <c r="CB79" i="4"/>
  <c r="CF79" i="4" s="1"/>
  <c r="CB77" i="4"/>
  <c r="CF77" i="4" s="1"/>
  <c r="CB76" i="4"/>
  <c r="CB78" i="4"/>
  <c r="CF78" i="4" s="1"/>
  <c r="AN52" i="4"/>
  <c r="AN50" i="4"/>
  <c r="AN53" i="4"/>
  <c r="AN51" i="4"/>
  <c r="AN54" i="4"/>
  <c r="AN49" i="4"/>
  <c r="BA4" i="4"/>
  <c r="BE4" i="4" s="1"/>
  <c r="BA8" i="4"/>
  <c r="BE8" i="4" s="1"/>
  <c r="BA9" i="4"/>
  <c r="BE9" i="4" s="1"/>
  <c r="BA5" i="4"/>
  <c r="BE5" i="4" s="1"/>
  <c r="BA7" i="4"/>
  <c r="BE7" i="4" s="1"/>
  <c r="AP77" i="4"/>
  <c r="BN26" i="4"/>
  <c r="BN23" i="4"/>
  <c r="BN24" i="4"/>
  <c r="BN27" i="4"/>
  <c r="BN25" i="4"/>
  <c r="AN22" i="4"/>
  <c r="BN16" i="4"/>
  <c r="BN17" i="4"/>
  <c r="BN15" i="4"/>
  <c r="BN18" i="4"/>
  <c r="BN13" i="4"/>
  <c r="BN14" i="4"/>
  <c r="BP44" i="4"/>
  <c r="AD18" i="4"/>
  <c r="BB17" i="4"/>
  <c r="AD85" i="4"/>
  <c r="AD4" i="4"/>
  <c r="AD22" i="4"/>
  <c r="AD58" i="4"/>
  <c r="BP17" i="4"/>
  <c r="AY77" i="4"/>
  <c r="BC77" i="4" s="1"/>
  <c r="BM7" i="4"/>
  <c r="BQ7" i="4" s="1"/>
  <c r="AA76" i="4"/>
  <c r="AA22" i="4"/>
  <c r="AA40" i="4"/>
  <c r="AA4" i="4"/>
  <c r="AE86" i="4"/>
  <c r="AB88" i="4"/>
  <c r="CD72" i="4"/>
  <c r="CD70" i="4"/>
  <c r="CD71" i="4"/>
  <c r="CH71" i="4" s="1"/>
  <c r="CD68" i="4"/>
  <c r="CD69" i="4"/>
  <c r="CD67" i="4"/>
  <c r="CH67" i="4" s="1"/>
  <c r="BA54" i="4"/>
  <c r="BE54" i="4" s="1"/>
  <c r="BA49" i="4"/>
  <c r="BA51" i="4"/>
  <c r="BE51" i="4" s="1"/>
  <c r="BA53" i="4"/>
  <c r="BA50" i="4"/>
  <c r="BA52" i="4"/>
  <c r="BA72" i="4"/>
  <c r="BE72" i="4" s="1"/>
  <c r="BA69" i="4"/>
  <c r="BE69" i="4" s="1"/>
  <c r="BA67" i="4"/>
  <c r="BA71" i="4"/>
  <c r="BA70" i="4"/>
  <c r="BA68" i="4"/>
  <c r="BE68" i="4" s="1"/>
  <c r="BB81" i="4"/>
  <c r="BB80" i="4"/>
  <c r="BB79" i="4"/>
  <c r="BB78" i="4"/>
  <c r="BF78" i="4" s="1"/>
  <c r="BB77" i="4"/>
  <c r="BB76" i="4"/>
  <c r="CC78" i="4"/>
  <c r="CC76" i="4"/>
  <c r="CC77" i="4"/>
  <c r="CA80" i="4"/>
  <c r="CA81" i="4"/>
  <c r="BP72" i="4"/>
  <c r="AZ62" i="4"/>
  <c r="AZ61" i="4"/>
  <c r="AZ59" i="4"/>
  <c r="AZ58" i="4"/>
  <c r="AZ60" i="4"/>
  <c r="AZ63" i="4"/>
  <c r="CD59" i="4"/>
  <c r="CD58" i="4"/>
  <c r="CH58" i="4" s="1"/>
  <c r="CD61" i="4"/>
  <c r="CD62" i="4"/>
  <c r="CH62" i="4" s="1"/>
  <c r="CD63" i="4"/>
  <c r="CD60" i="4"/>
  <c r="CB53" i="4"/>
  <c r="CB50" i="4"/>
  <c r="CF50" i="4" s="1"/>
  <c r="CB51" i="4"/>
  <c r="CF51" i="4" s="1"/>
  <c r="CB49" i="4"/>
  <c r="CF49" i="4" s="1"/>
  <c r="CB52" i="4"/>
  <c r="CF52" i="4" s="1"/>
  <c r="CB54" i="4"/>
  <c r="AZ9" i="4"/>
  <c r="BD9" i="4" s="1"/>
  <c r="AZ4" i="4"/>
  <c r="BD4" i="4" s="1"/>
  <c r="AZ5" i="4"/>
  <c r="BD5" i="4" s="1"/>
  <c r="AZ6" i="4"/>
  <c r="BD6" i="4" s="1"/>
  <c r="BG6" i="4" s="1"/>
  <c r="AZ8" i="4"/>
  <c r="BD8" i="4" s="1"/>
  <c r="AZ7" i="4"/>
  <c r="BD7" i="4" s="1"/>
  <c r="AZ71" i="4"/>
  <c r="AZ70" i="4"/>
  <c r="AZ67" i="4"/>
  <c r="AZ69" i="4"/>
  <c r="AZ68" i="4"/>
  <c r="BD68" i="4" s="1"/>
  <c r="AC9" i="4"/>
  <c r="AC45" i="4"/>
  <c r="AC90" i="4"/>
  <c r="AE90" i="4" s="1"/>
  <c r="AK53" i="4"/>
  <c r="AK54" i="4"/>
  <c r="AO54" i="4" s="1"/>
  <c r="AK49" i="4"/>
  <c r="AO49" i="4" s="1"/>
  <c r="AK51" i="4"/>
  <c r="AO51" i="4" s="1"/>
  <c r="AK50" i="4"/>
  <c r="AK52" i="4"/>
  <c r="AC40" i="4"/>
  <c r="AD36" i="4"/>
  <c r="AL81" i="4"/>
  <c r="AL76" i="4"/>
  <c r="AP76" i="4" s="1"/>
  <c r="AL79" i="4"/>
  <c r="AP79" i="4" s="1"/>
  <c r="AL78" i="4"/>
  <c r="AP78" i="4" s="1"/>
  <c r="AN42" i="4"/>
  <c r="CA31" i="4"/>
  <c r="CA33" i="4"/>
  <c r="CA35" i="4"/>
  <c r="CA32" i="4"/>
  <c r="CA36" i="4"/>
  <c r="CA34" i="4"/>
  <c r="AD76" i="4"/>
  <c r="BP35" i="4"/>
  <c r="AL26" i="4"/>
  <c r="AP26" i="4" s="1"/>
  <c r="CC14" i="4"/>
  <c r="CC18" i="4"/>
  <c r="CC17" i="4"/>
  <c r="CC13" i="4"/>
  <c r="CC15" i="4"/>
  <c r="BO27" i="4"/>
  <c r="BS27" i="4" s="1"/>
  <c r="BO26" i="4"/>
  <c r="BO25" i="4"/>
  <c r="BO23" i="4"/>
  <c r="BO24" i="4"/>
  <c r="AD23" i="4"/>
  <c r="BO13" i="4"/>
  <c r="BO15" i="4"/>
  <c r="BO18" i="4"/>
  <c r="BS18" i="4" s="1"/>
  <c r="BO17" i="4"/>
  <c r="BO16" i="4"/>
  <c r="BO14" i="4"/>
  <c r="BP43" i="4"/>
  <c r="AC27" i="4"/>
  <c r="AD13" i="4"/>
  <c r="BO36" i="4"/>
  <c r="AN36" i="4"/>
  <c r="AD8" i="4"/>
  <c r="AD89" i="4"/>
  <c r="AK16" i="4"/>
  <c r="AK13" i="4"/>
  <c r="AO13" i="4" s="1"/>
  <c r="AK14" i="4"/>
  <c r="AK15" i="4"/>
  <c r="AK17" i="4"/>
  <c r="AK18" i="4"/>
  <c r="AO18" i="4" s="1"/>
  <c r="BP13" i="4"/>
  <c r="AA58" i="4"/>
  <c r="AY79" i="4"/>
  <c r="BC79" i="4" s="1"/>
  <c r="AA49" i="4"/>
  <c r="AD52" i="4"/>
  <c r="AD43" i="4"/>
  <c r="BM6" i="4"/>
  <c r="BQ6" i="4" s="1"/>
  <c r="AK8" i="4"/>
  <c r="AO8" i="4" s="1"/>
  <c r="AA63" i="4"/>
  <c r="AA27" i="4"/>
  <c r="AA45" i="4"/>
  <c r="AA9" i="4"/>
  <c r="AA72" i="4"/>
  <c r="AA36" i="4"/>
  <c r="CB86" i="4"/>
  <c r="CF86" i="4" s="1"/>
  <c r="AN89" i="4"/>
  <c r="AC54" i="4"/>
  <c r="AK81" i="4"/>
  <c r="AO81" i="4" s="1"/>
  <c r="AK79" i="4"/>
  <c r="AK77" i="4"/>
  <c r="AK78" i="4"/>
  <c r="AK80" i="4"/>
  <c r="AK76" i="4"/>
  <c r="AO76" i="4" s="1"/>
  <c r="CC88" i="4"/>
  <c r="CC85" i="4"/>
  <c r="CC90" i="4"/>
  <c r="CC86" i="4"/>
  <c r="CC89" i="4"/>
  <c r="CC87" i="4"/>
  <c r="BB36" i="4"/>
  <c r="BB33" i="4"/>
  <c r="BF33" i="4" s="1"/>
  <c r="BB35" i="4"/>
  <c r="BB34" i="4"/>
  <c r="BB31" i="4"/>
  <c r="BF31" i="4" s="1"/>
  <c r="BB32" i="4"/>
  <c r="BQ71" i="4"/>
  <c r="AC22" i="4"/>
  <c r="AC4" i="4"/>
  <c r="AC58" i="4"/>
  <c r="AC67" i="4"/>
  <c r="AZ90" i="4"/>
  <c r="BD90" i="4" s="1"/>
  <c r="AZ86" i="4"/>
  <c r="BD86" i="4" s="1"/>
  <c r="AZ85" i="4"/>
  <c r="AZ87" i="4"/>
  <c r="AZ89" i="4"/>
  <c r="AZ88" i="4"/>
  <c r="BM23" i="4"/>
  <c r="BM26" i="4"/>
  <c r="BQ26" i="4" s="1"/>
  <c r="BM27" i="4"/>
  <c r="BQ27" i="4" s="1"/>
  <c r="BM25" i="4"/>
  <c r="BM24" i="4"/>
  <c r="BQ24" i="4" s="1"/>
  <c r="BM22" i="4"/>
  <c r="BB18" i="4"/>
  <c r="BB13" i="4"/>
  <c r="BB16" i="4"/>
  <c r="AL41" i="4"/>
  <c r="AP41" i="4" s="1"/>
  <c r="AL40" i="4"/>
  <c r="AL45" i="4"/>
  <c r="AL42" i="4"/>
  <c r="AL43" i="4"/>
  <c r="AP43" i="4" s="1"/>
  <c r="AL44" i="4"/>
  <c r="CC70" i="4"/>
  <c r="CC67" i="4"/>
  <c r="CC71" i="4"/>
  <c r="CC68" i="4"/>
  <c r="CC69" i="4"/>
  <c r="CC72" i="4"/>
  <c r="BM44" i="4"/>
  <c r="BQ44" i="4" s="1"/>
  <c r="BM41" i="4"/>
  <c r="BM45" i="4"/>
  <c r="BQ45" i="4" s="1"/>
  <c r="BM40" i="4"/>
  <c r="BM42" i="4"/>
  <c r="BQ42" i="4" s="1"/>
  <c r="BM43" i="4"/>
  <c r="CD87" i="4"/>
  <c r="CD85" i="4"/>
  <c r="CH85" i="4" s="1"/>
  <c r="CD86" i="4"/>
  <c r="CH86" i="4" s="1"/>
  <c r="CD88" i="4"/>
  <c r="CD89" i="4"/>
  <c r="CH89" i="4" s="1"/>
  <c r="CD90" i="4"/>
  <c r="AY59" i="4"/>
  <c r="BC59" i="4" s="1"/>
  <c r="AY63" i="4"/>
  <c r="AY60" i="4"/>
  <c r="BC60" i="4" s="1"/>
  <c r="AY58" i="4"/>
  <c r="AY62" i="4"/>
  <c r="AY61" i="4"/>
  <c r="BC61" i="4" s="1"/>
  <c r="AA17" i="4"/>
  <c r="CC25" i="4"/>
  <c r="BB72" i="4"/>
  <c r="BB70" i="4"/>
  <c r="BB71" i="4"/>
  <c r="BB68" i="4"/>
  <c r="BB67" i="4"/>
  <c r="BB69" i="4"/>
  <c r="BF69" i="4" s="1"/>
  <c r="AY50" i="4"/>
  <c r="BC50" i="4" s="1"/>
  <c r="AY51" i="4"/>
  <c r="BC51" i="4" s="1"/>
  <c r="AY54" i="4"/>
  <c r="AY53" i="4"/>
  <c r="AY49" i="4"/>
  <c r="AY52" i="4"/>
  <c r="BC52" i="4" s="1"/>
  <c r="BB63" i="4"/>
  <c r="BB62" i="4"/>
  <c r="BB59" i="4"/>
  <c r="BB60" i="4"/>
  <c r="BF60" i="4" s="1"/>
  <c r="BB61" i="4"/>
  <c r="BB58" i="4"/>
  <c r="BP90" i="4"/>
  <c r="CC7" i="4"/>
  <c r="CG7" i="4" s="1"/>
  <c r="CC8" i="4"/>
  <c r="CG8" i="4" s="1"/>
  <c r="CC9" i="4"/>
  <c r="CG9" i="4" s="1"/>
  <c r="CC5" i="4"/>
  <c r="CG5" i="4" s="1"/>
  <c r="CC4" i="4"/>
  <c r="CG4" i="4" s="1"/>
  <c r="CC6" i="4"/>
  <c r="CG6" i="4" s="1"/>
  <c r="BO40" i="4"/>
  <c r="AK88" i="4"/>
  <c r="AK86" i="4"/>
  <c r="AO86" i="4" s="1"/>
  <c r="AK90" i="4"/>
  <c r="AO90" i="4" s="1"/>
  <c r="AK89" i="4"/>
  <c r="AK85" i="4"/>
  <c r="AO85" i="4" s="1"/>
  <c r="AK87" i="4"/>
  <c r="AN40" i="4"/>
  <c r="AK61" i="4"/>
  <c r="AK60" i="4"/>
  <c r="AK63" i="4"/>
  <c r="AO63" i="4" s="1"/>
  <c r="AK62" i="4"/>
  <c r="AK59" i="4"/>
  <c r="AK58" i="4"/>
  <c r="AO58" i="4" s="1"/>
  <c r="BP34" i="4"/>
  <c r="AL23" i="4"/>
  <c r="AP23" i="4" s="1"/>
  <c r="AK26" i="4"/>
  <c r="AK24" i="4"/>
  <c r="AK22" i="4"/>
  <c r="AO22" i="4" s="1"/>
  <c r="AK27" i="4"/>
  <c r="AO27" i="4" s="1"/>
  <c r="AK25" i="4"/>
  <c r="AK23" i="4"/>
  <c r="CD9" i="4"/>
  <c r="CH9" i="4" s="1"/>
  <c r="AD31" i="4"/>
  <c r="AD40" i="4"/>
  <c r="BM4" i="4"/>
  <c r="BQ4" i="4" s="1"/>
  <c r="AK7" i="4"/>
  <c r="AO7" i="4" s="1"/>
  <c r="BN6" i="4"/>
  <c r="BR6" i="4" s="1"/>
  <c r="BN5" i="4"/>
  <c r="BR5" i="4" s="1"/>
  <c r="BN8" i="4"/>
  <c r="BR8" i="4" s="1"/>
  <c r="BN4" i="4"/>
  <c r="BR4" i="4" s="1"/>
  <c r="BN7" i="4"/>
  <c r="BR7" i="4" s="1"/>
  <c r="BN9" i="4"/>
  <c r="BR9" i="4" s="1"/>
  <c r="AC50" i="4"/>
  <c r="CC63" i="4"/>
  <c r="CC61" i="4"/>
  <c r="CC59" i="4"/>
  <c r="CC62" i="4"/>
  <c r="CC58" i="4"/>
  <c r="CC60" i="4"/>
  <c r="AK44" i="4"/>
  <c r="AK41" i="4"/>
  <c r="AK40" i="4"/>
  <c r="AO40" i="4" s="1"/>
  <c r="AK42" i="4"/>
  <c r="AK45" i="4"/>
  <c r="AO45" i="4" s="1"/>
  <c r="AK43" i="4"/>
  <c r="BM67" i="4"/>
  <c r="BM69" i="4"/>
  <c r="BQ69" i="4" s="1"/>
  <c r="BM70" i="4"/>
  <c r="BM68" i="4"/>
  <c r="BB49" i="4"/>
  <c r="BF49" i="4" s="1"/>
  <c r="BB53" i="4"/>
  <c r="BB51" i="4"/>
  <c r="BF51" i="4" s="1"/>
  <c r="BB54" i="4"/>
  <c r="BB52" i="4"/>
  <c r="BB50" i="4"/>
  <c r="CD40" i="4"/>
  <c r="CD41" i="4"/>
  <c r="CD45" i="4"/>
  <c r="CD43" i="4"/>
  <c r="CD44" i="4"/>
  <c r="CH44" i="4" s="1"/>
  <c r="CD42" i="4"/>
  <c r="AM69" i="4"/>
  <c r="AM67" i="4"/>
  <c r="AM72" i="4"/>
  <c r="AM68" i="4"/>
  <c r="AM71" i="4"/>
  <c r="AQ71" i="4" s="1"/>
  <c r="AM70" i="4"/>
  <c r="AY36" i="4"/>
  <c r="AY32" i="4"/>
  <c r="BC32" i="4" s="1"/>
  <c r="AY34" i="4"/>
  <c r="BC34" i="4" s="1"/>
  <c r="AY35" i="4"/>
  <c r="BC35" i="4" s="1"/>
  <c r="AY31" i="4"/>
  <c r="AY33" i="4"/>
  <c r="BC33" i="4" s="1"/>
  <c r="AD5" i="4"/>
  <c r="AD59" i="4"/>
  <c r="AC6" i="4"/>
  <c r="AC87" i="4"/>
  <c r="AC60" i="4"/>
  <c r="AN35" i="4"/>
  <c r="CA17" i="4"/>
  <c r="CA16" i="4"/>
  <c r="CA15" i="4"/>
  <c r="CA18" i="4"/>
  <c r="CA14" i="4"/>
  <c r="CA13" i="4"/>
  <c r="AZ17" i="4"/>
  <c r="AL87" i="4"/>
  <c r="AP87" i="4" s="1"/>
  <c r="AL85" i="4"/>
  <c r="AP85" i="4" s="1"/>
  <c r="AL90" i="4"/>
  <c r="AL89" i="4"/>
  <c r="AP89" i="4" s="1"/>
  <c r="AL86" i="4"/>
  <c r="AP86" i="4" s="1"/>
  <c r="AL88" i="4"/>
  <c r="AP88" i="4" s="1"/>
  <c r="CA40" i="4"/>
  <c r="AC42" i="4"/>
  <c r="AM6" i="4"/>
  <c r="AQ6" i="4" s="1"/>
  <c r="AM9" i="4"/>
  <c r="AQ9" i="4" s="1"/>
  <c r="AM5" i="4"/>
  <c r="AQ5" i="4" s="1"/>
  <c r="AM4" i="4"/>
  <c r="AQ4" i="4" s="1"/>
  <c r="AM7" i="4"/>
  <c r="AQ7" i="4" s="1"/>
  <c r="CB44" i="4"/>
  <c r="CB40" i="4"/>
  <c r="CC22" i="4"/>
  <c r="CG22" i="4" s="1"/>
  <c r="CC27" i="4"/>
  <c r="AB51" i="4"/>
  <c r="AB78" i="4"/>
  <c r="AE78" i="4" s="1"/>
  <c r="AB42" i="4"/>
  <c r="AB15" i="4"/>
  <c r="AB6" i="4"/>
  <c r="AB69" i="4"/>
  <c r="AN76" i="4"/>
  <c r="AN81" i="4"/>
  <c r="AN78" i="4"/>
  <c r="AN80" i="4"/>
  <c r="AN79" i="4"/>
  <c r="AN77" i="4"/>
  <c r="AD67" i="4"/>
  <c r="AN43" i="4"/>
  <c r="CC33" i="4"/>
  <c r="CC34" i="4"/>
  <c r="CC35" i="4"/>
  <c r="CC32" i="4"/>
  <c r="AA13" i="4"/>
  <c r="AL61" i="4"/>
  <c r="AP61" i="4" s="1"/>
  <c r="AL62" i="4"/>
  <c r="AL58" i="4"/>
  <c r="AP58" i="4" s="1"/>
  <c r="AL63" i="4"/>
  <c r="AL60" i="4"/>
  <c r="AP60" i="4" s="1"/>
  <c r="AL59" i="4"/>
  <c r="AP59" i="4" s="1"/>
  <c r="BP36" i="4"/>
  <c r="AL24" i="4"/>
  <c r="BB7" i="4"/>
  <c r="BF7" i="4" s="1"/>
  <c r="AN24" i="4"/>
  <c r="AD25" i="4"/>
  <c r="CB41" i="4"/>
  <c r="CF41" i="4" s="1"/>
  <c r="AM23" i="4"/>
  <c r="AM25" i="4"/>
  <c r="AD16" i="4"/>
  <c r="BO50" i="4"/>
  <c r="BO49" i="4"/>
  <c r="BO52" i="4"/>
  <c r="BS52" i="4" s="1"/>
  <c r="BO53" i="4"/>
  <c r="BO51" i="4"/>
  <c r="BO54" i="4"/>
  <c r="CD7" i="4"/>
  <c r="CH7" i="4" s="1"/>
  <c r="AM16" i="4"/>
  <c r="AM15" i="4"/>
  <c r="AM13" i="4"/>
  <c r="AM14" i="4"/>
  <c r="AM18" i="4"/>
  <c r="AM17" i="4"/>
  <c r="BP14" i="4"/>
  <c r="AA69" i="4"/>
  <c r="AD54" i="4"/>
  <c r="BM5" i="4"/>
  <c r="BQ5" i="4" s="1"/>
  <c r="BO5" i="4"/>
  <c r="BS5" i="4" s="1"/>
  <c r="BO9" i="4"/>
  <c r="BS9" i="4" s="1"/>
  <c r="BO6" i="4"/>
  <c r="BS6" i="4" s="1"/>
  <c r="BO7" i="4"/>
  <c r="BS7" i="4" s="1"/>
  <c r="BO4" i="4"/>
  <c r="BS4" i="4" s="1"/>
  <c r="BO8" i="4"/>
  <c r="BS8" i="4" s="1"/>
  <c r="CB87" i="4"/>
  <c r="AD80" i="4"/>
  <c r="AC49" i="4"/>
  <c r="CB70" i="4"/>
  <c r="CF70" i="4" s="1"/>
  <c r="CB72" i="4"/>
  <c r="CB71" i="4"/>
  <c r="CB69" i="4"/>
  <c r="CB67" i="4"/>
  <c r="CB68" i="4"/>
  <c r="CF68" i="4" s="1"/>
  <c r="AM52" i="4"/>
  <c r="AM51" i="4"/>
  <c r="AM49" i="4"/>
  <c r="AM53" i="4"/>
  <c r="AQ53" i="4" s="1"/>
  <c r="AM54" i="4"/>
  <c r="AM50" i="4"/>
  <c r="BE43" i="4"/>
  <c r="AD63" i="4"/>
  <c r="AD9" i="4"/>
  <c r="AD27" i="4"/>
  <c r="AD45" i="4"/>
  <c r="AE51" i="4"/>
  <c r="BB24" i="4"/>
  <c r="BF24" i="4" s="1"/>
  <c r="BB23" i="4"/>
  <c r="BF23" i="4" s="1"/>
  <c r="BB22" i="4"/>
  <c r="BB27" i="4"/>
  <c r="BB25" i="4"/>
  <c r="BB26" i="4"/>
  <c r="AA8" i="4"/>
  <c r="AA44" i="4"/>
  <c r="AE44" i="4" s="1"/>
  <c r="AA26" i="4"/>
  <c r="AE26" i="4" s="1"/>
  <c r="AA71" i="4"/>
  <c r="AA62" i="4"/>
  <c r="AA35" i="4"/>
  <c r="CD53" i="4"/>
  <c r="CH53" i="4" s="1"/>
  <c r="CD51" i="4"/>
  <c r="CD54" i="4"/>
  <c r="CH54" i="4" s="1"/>
  <c r="CD50" i="4"/>
  <c r="CD52" i="4"/>
  <c r="CH52" i="4" s="1"/>
  <c r="CD49" i="4"/>
  <c r="CH49" i="4" s="1"/>
  <c r="BO58" i="4"/>
  <c r="BO62" i="4"/>
  <c r="BO61" i="4"/>
  <c r="BS61" i="4" s="1"/>
  <c r="BO60" i="4"/>
  <c r="BO63" i="4"/>
  <c r="BO59" i="4"/>
  <c r="AY72" i="4"/>
  <c r="AY69" i="4"/>
  <c r="BC69" i="4" s="1"/>
  <c r="AY68" i="4"/>
  <c r="BC68" i="4" s="1"/>
  <c r="AY67" i="4"/>
  <c r="AY70" i="4"/>
  <c r="BC70" i="4" s="1"/>
  <c r="AY71" i="4"/>
  <c r="CA4" i="4"/>
  <c r="CE4" i="4" s="1"/>
  <c r="CA9" i="4"/>
  <c r="CE9" i="4" s="1"/>
  <c r="CA5" i="4"/>
  <c r="CE5" i="4" s="1"/>
  <c r="CA6" i="4"/>
  <c r="CE6" i="4" s="1"/>
  <c r="CA7" i="4"/>
  <c r="CE7" i="4" s="1"/>
  <c r="CA8" i="4"/>
  <c r="CE8" i="4" s="1"/>
  <c r="BE42" i="4"/>
  <c r="CB60" i="4"/>
  <c r="CF60" i="4" s="1"/>
  <c r="CB59" i="4"/>
  <c r="CF59" i="4" s="1"/>
  <c r="CB61" i="4"/>
  <c r="CF61" i="4" s="1"/>
  <c r="CB63" i="4"/>
  <c r="CB62" i="4"/>
  <c r="CB58" i="4"/>
  <c r="AM44" i="4"/>
  <c r="AM43" i="4"/>
  <c r="AM42" i="4"/>
  <c r="AM45" i="4"/>
  <c r="AM40" i="4"/>
  <c r="AM41" i="4"/>
  <c r="AQ41" i="4" s="1"/>
  <c r="AK69" i="4"/>
  <c r="AK72" i="4"/>
  <c r="AO72" i="4" s="1"/>
  <c r="AK70" i="4"/>
  <c r="AK68" i="4"/>
  <c r="AK67" i="4"/>
  <c r="AO67" i="4" s="1"/>
  <c r="AK71" i="4"/>
  <c r="AZ81" i="4"/>
  <c r="BD81" i="4" s="1"/>
  <c r="AZ77" i="4"/>
  <c r="BD77" i="4" s="1"/>
  <c r="AZ76" i="4"/>
  <c r="AZ79" i="4"/>
  <c r="AZ80" i="4"/>
  <c r="AZ78" i="4"/>
  <c r="AC5" i="4"/>
  <c r="AC14" i="4"/>
  <c r="AC59" i="4"/>
  <c r="AC23" i="4"/>
  <c r="AM80" i="4"/>
  <c r="AQ80" i="4" s="1"/>
  <c r="AM77" i="4"/>
  <c r="AM78" i="4"/>
  <c r="AM81" i="4"/>
  <c r="AM76" i="4"/>
  <c r="AM79" i="4"/>
  <c r="BB5" i="4"/>
  <c r="BF5" i="4" s="1"/>
  <c r="BP25" i="4"/>
  <c r="BP26" i="4"/>
  <c r="BP23" i="4"/>
  <c r="BP24" i="4"/>
  <c r="BP22" i="4"/>
  <c r="BP27" i="4"/>
  <c r="AD70" i="4"/>
  <c r="BP41" i="4"/>
  <c r="BM54" i="4"/>
  <c r="BQ54" i="4" s="1"/>
  <c r="BM49" i="4"/>
  <c r="BM51" i="4"/>
  <c r="BQ51" i="4" s="1"/>
  <c r="BM53" i="4"/>
  <c r="BQ53" i="4" s="1"/>
  <c r="BM50" i="4"/>
  <c r="BM52" i="4"/>
  <c r="BN51" i="4"/>
  <c r="BN52" i="4"/>
  <c r="BN49" i="4"/>
  <c r="BN54" i="4"/>
  <c r="BN50" i="4"/>
  <c r="BN53" i="4"/>
  <c r="BR53" i="4" s="1"/>
  <c r="CB24" i="4"/>
  <c r="CF24" i="4" s="1"/>
  <c r="AL16" i="4"/>
  <c r="AP16" i="4" s="1"/>
  <c r="AL17" i="4"/>
  <c r="AL14" i="4"/>
  <c r="AP14" i="4" s="1"/>
  <c r="AL15" i="4"/>
  <c r="AP15" i="4" s="1"/>
  <c r="AL18" i="4"/>
  <c r="AL13" i="4"/>
  <c r="AA67" i="4"/>
  <c r="BN90" i="4"/>
  <c r="BN89" i="4"/>
  <c r="BR89" i="4" s="1"/>
  <c r="BN88" i="4"/>
  <c r="BN85" i="4"/>
  <c r="BN86" i="4"/>
  <c r="BN87" i="4"/>
  <c r="BP81" i="4"/>
  <c r="BP79" i="4"/>
  <c r="BP77" i="4"/>
  <c r="BP76" i="4"/>
  <c r="BP80" i="4"/>
  <c r="BP78" i="4"/>
  <c r="BO80" i="4"/>
  <c r="BO78" i="4"/>
  <c r="BO77" i="4"/>
  <c r="BO81" i="4"/>
  <c r="BS81" i="4" s="1"/>
  <c r="BO79" i="4"/>
  <c r="BS79" i="4" s="1"/>
  <c r="BO76" i="4"/>
  <c r="BN33" i="4"/>
  <c r="BN31" i="4"/>
  <c r="BN36" i="4"/>
  <c r="BN34" i="4"/>
  <c r="BN35" i="4"/>
  <c r="BR35" i="4" s="1"/>
  <c r="BN32" i="4"/>
  <c r="AZ54" i="4"/>
  <c r="BD54" i="4" s="1"/>
  <c r="AZ50" i="4"/>
  <c r="BD50" i="4" s="1"/>
  <c r="AZ52" i="4"/>
  <c r="AZ51" i="4"/>
  <c r="BD51" i="4" s="1"/>
  <c r="AZ49" i="4"/>
  <c r="AZ53" i="4"/>
  <c r="BO69" i="4"/>
  <c r="BS69" i="4" s="1"/>
  <c r="BO67" i="4"/>
  <c r="BO71" i="4"/>
  <c r="BO70" i="4"/>
  <c r="BS70" i="4" s="1"/>
  <c r="BO72" i="4"/>
  <c r="BS72" i="4" s="1"/>
  <c r="BO68" i="4"/>
  <c r="CC44" i="4"/>
  <c r="CG44" i="4" s="1"/>
  <c r="CC40" i="4"/>
  <c r="CG40" i="4" s="1"/>
  <c r="CC41" i="4"/>
  <c r="CG41" i="4" s="1"/>
  <c r="CC43" i="4"/>
  <c r="CC45" i="4"/>
  <c r="CG45" i="4" s="1"/>
  <c r="CC42" i="4"/>
  <c r="AC36" i="4"/>
  <c r="AE79" i="4"/>
  <c r="CA77" i="4"/>
  <c r="CB15" i="4"/>
  <c r="CF15" i="4" s="1"/>
  <c r="CB16" i="4"/>
  <c r="CF16" i="4" s="1"/>
  <c r="CB13" i="4"/>
  <c r="CB14" i="4"/>
  <c r="CF14" i="4" s="1"/>
  <c r="CB18" i="4"/>
  <c r="CB17" i="4"/>
  <c r="AM88" i="4"/>
  <c r="AM86" i="4"/>
  <c r="AM90" i="4"/>
  <c r="AM85" i="4"/>
  <c r="AM87" i="4"/>
  <c r="AM89" i="4"/>
  <c r="AQ89" i="4" s="1"/>
  <c r="CA45" i="4"/>
  <c r="CE45" i="4" s="1"/>
  <c r="AC41" i="4"/>
  <c r="AB34" i="4"/>
  <c r="AN6" i="4"/>
  <c r="AR6" i="4" s="1"/>
  <c r="AN7" i="4"/>
  <c r="AR7" i="4" s="1"/>
  <c r="AN5" i="4"/>
  <c r="AR5" i="4" s="1"/>
  <c r="AN8" i="4"/>
  <c r="AR8" i="4" s="1"/>
  <c r="AN4" i="4"/>
  <c r="AR4" i="4" s="1"/>
  <c r="BA44" i="4"/>
  <c r="BA45" i="4"/>
  <c r="BE45" i="4" s="1"/>
  <c r="CD23" i="4"/>
  <c r="CD26" i="4"/>
  <c r="CH26" i="4" s="1"/>
  <c r="CD27" i="4"/>
  <c r="CH27" i="4" s="1"/>
  <c r="CD24" i="4"/>
  <c r="CD25" i="4"/>
  <c r="AB8" i="4"/>
  <c r="AB62" i="4"/>
  <c r="AB71" i="4"/>
  <c r="CC80" i="4"/>
  <c r="AD68" i="4"/>
  <c r="AN44" i="4"/>
  <c r="AR44" i="4" s="1"/>
  <c r="BA86" i="4"/>
  <c r="BA88" i="4"/>
  <c r="BA85" i="4"/>
  <c r="BA89" i="4"/>
  <c r="BA90" i="4"/>
  <c r="BE90" i="4" s="1"/>
  <c r="BA87" i="4"/>
  <c r="BE87" i="4" s="1"/>
  <c r="AM59" i="4"/>
  <c r="AM58" i="4"/>
  <c r="AM62" i="4"/>
  <c r="AQ62" i="4" s="1"/>
  <c r="AM61" i="4"/>
  <c r="AM60" i="4"/>
  <c r="AQ60" i="4" s="1"/>
  <c r="AM63" i="4"/>
  <c r="CB27" i="4"/>
  <c r="AL22" i="4"/>
  <c r="AP22" i="4" s="1"/>
  <c r="AC13" i="4"/>
  <c r="AY45" i="4"/>
  <c r="AY44" i="4"/>
  <c r="CB43" i="4"/>
  <c r="CF43" i="4" s="1"/>
  <c r="AM27" i="4"/>
  <c r="AD17" i="4"/>
  <c r="AA33" i="4"/>
  <c r="BP54" i="4"/>
  <c r="BP50" i="4"/>
  <c r="BP52" i="4"/>
  <c r="BP53" i="4"/>
  <c r="BP51" i="4"/>
  <c r="BP49" i="4"/>
  <c r="AN18" i="4"/>
  <c r="AN14" i="4"/>
  <c r="AN16" i="4"/>
  <c r="AN13" i="4"/>
  <c r="AN17" i="4"/>
  <c r="AR17" i="4" s="1"/>
  <c r="AN15" i="4"/>
  <c r="AD49" i="4"/>
  <c r="AY24" i="4"/>
  <c r="BC24" i="4" s="1"/>
  <c r="AY27" i="4"/>
  <c r="AY22" i="4"/>
  <c r="AY26" i="4"/>
  <c r="AY25" i="4"/>
  <c r="BC25" i="4" s="1"/>
  <c r="AY23" i="4"/>
  <c r="BC23" i="4" s="1"/>
  <c r="AD90" i="4"/>
  <c r="AY9" i="4"/>
  <c r="BC9" i="4" s="1"/>
  <c r="AY4" i="4"/>
  <c r="BC4" i="4" s="1"/>
  <c r="AA61" i="4"/>
  <c r="AE61" i="4" s="1"/>
  <c r="AA34" i="4"/>
  <c r="AA25" i="4"/>
  <c r="AA70" i="4"/>
  <c r="AA16" i="4"/>
  <c r="AA43" i="4"/>
  <c r="AA7" i="4"/>
  <c r="BP9" i="4"/>
  <c r="BT9" i="4" s="1"/>
  <c r="BP4" i="4"/>
  <c r="BT4" i="4" s="1"/>
  <c r="BP8" i="4"/>
  <c r="BT8" i="4" s="1"/>
  <c r="BP5" i="4"/>
  <c r="BT5" i="4" s="1"/>
  <c r="BP7" i="4"/>
  <c r="BT7" i="4" s="1"/>
  <c r="BP6" i="4"/>
  <c r="BT6" i="4" s="1"/>
  <c r="AB87" i="4"/>
  <c r="CB85" i="4"/>
  <c r="AD81" i="4"/>
  <c r="AA81" i="4"/>
  <c r="AC4" i="14" l="1"/>
  <c r="AC8" i="17" a="1"/>
  <c r="AC8" i="17" s="1"/>
  <c r="AC7" i="17" a="1"/>
  <c r="AC7" i="17" s="1"/>
  <c r="AC6" i="17" a="1"/>
  <c r="AC6" i="17" s="1"/>
  <c r="Z4" i="17" s="1"/>
  <c r="AC5" i="15" a="1"/>
  <c r="AC5" i="15" s="1"/>
  <c r="AC8" i="14" a="1"/>
  <c r="AC8" i="14" s="1"/>
  <c r="AC6" i="14" a="1"/>
  <c r="AC6" i="14" s="1"/>
  <c r="AC5" i="14" a="1"/>
  <c r="AC5" i="14" s="1"/>
  <c r="Z4" i="15"/>
  <c r="AC7" i="14" a="1"/>
  <c r="AC7" i="14" s="1"/>
  <c r="CG71" i="4"/>
  <c r="BQ88" i="4"/>
  <c r="CG26" i="4"/>
  <c r="BC26" i="4"/>
  <c r="BT54" i="4"/>
  <c r="CG80" i="4"/>
  <c r="CH23" i="4"/>
  <c r="BR52" i="4"/>
  <c r="CH50" i="4"/>
  <c r="AQ15" i="4"/>
  <c r="AP24" i="4"/>
  <c r="AE13" i="4"/>
  <c r="CG63" i="4"/>
  <c r="BF68" i="4"/>
  <c r="BC58" i="4"/>
  <c r="AP42" i="4"/>
  <c r="BD85" i="4"/>
  <c r="AE45" i="4"/>
  <c r="CH59" i="4"/>
  <c r="CE81" i="4"/>
  <c r="BE70" i="4"/>
  <c r="BR15" i="4"/>
  <c r="AE68" i="4"/>
  <c r="BC13" i="4"/>
  <c r="BD41" i="4"/>
  <c r="BE32" i="4"/>
  <c r="BD36" i="4"/>
  <c r="CE72" i="4"/>
  <c r="CF90" i="4"/>
  <c r="AS9" i="4"/>
  <c r="CH22" i="4"/>
  <c r="AE50" i="4"/>
  <c r="BC22" i="4"/>
  <c r="AR15" i="4"/>
  <c r="BC44" i="4"/>
  <c r="BE86" i="4"/>
  <c r="BS77" i="4"/>
  <c r="BR88" i="4"/>
  <c r="BR51" i="4"/>
  <c r="BS63" i="4"/>
  <c r="BT31" i="4"/>
  <c r="AR43" i="4"/>
  <c r="CF40" i="4"/>
  <c r="CH41" i="4"/>
  <c r="CG62" i="4"/>
  <c r="AO24" i="4"/>
  <c r="AO60" i="4"/>
  <c r="BF71" i="4"/>
  <c r="BQ25" i="4"/>
  <c r="CG90" i="4"/>
  <c r="AE27" i="4"/>
  <c r="AE58" i="4"/>
  <c r="AO15" i="4"/>
  <c r="BS16" i="4"/>
  <c r="BS25" i="4"/>
  <c r="BE52" i="4"/>
  <c r="CH68" i="4"/>
  <c r="AE85" i="4"/>
  <c r="BE27" i="4"/>
  <c r="BC17" i="4"/>
  <c r="BF87" i="4"/>
  <c r="BC80" i="4"/>
  <c r="CF31" i="4"/>
  <c r="AE6" i="4"/>
  <c r="CH32" i="4"/>
  <c r="BE63" i="4"/>
  <c r="CF42" i="4"/>
  <c r="AR88" i="4"/>
  <c r="AE81" i="4"/>
  <c r="BS76" i="4"/>
  <c r="BR87" i="4"/>
  <c r="BQ52" i="4"/>
  <c r="AO69" i="4"/>
  <c r="AE71" i="4"/>
  <c r="CF67" i="4"/>
  <c r="CG35" i="4"/>
  <c r="AR78" i="4"/>
  <c r="BC31" i="4"/>
  <c r="BQ70" i="4"/>
  <c r="AO44" i="4"/>
  <c r="BC53" i="4"/>
  <c r="BQ43" i="4"/>
  <c r="CG85" i="4"/>
  <c r="AR42" i="4"/>
  <c r="CF76" i="4"/>
  <c r="AP33" i="4"/>
  <c r="CE43" i="4"/>
  <c r="AP69" i="4"/>
  <c r="BR80" i="4"/>
  <c r="BD18" i="4"/>
  <c r="AE52" i="4"/>
  <c r="BF42" i="4"/>
  <c r="BT40" i="4"/>
  <c r="CH31" i="4"/>
  <c r="BR70" i="4"/>
  <c r="CH77" i="4"/>
  <c r="BS89" i="4"/>
  <c r="CG53" i="4"/>
  <c r="BQ33" i="4"/>
  <c r="BS45" i="4"/>
  <c r="BQ72" i="4"/>
  <c r="CE15" i="4"/>
  <c r="AO16" i="4"/>
  <c r="BE80" i="4"/>
  <c r="BD52" i="4"/>
  <c r="AO88" i="4"/>
  <c r="BG8" i="4"/>
  <c r="BE89" i="4"/>
  <c r="BU8" i="4"/>
  <c r="CH40" i="4"/>
  <c r="AE54" i="4"/>
  <c r="AO50" i="4"/>
  <c r="BF80" i="4"/>
  <c r="BE35" i="4"/>
  <c r="AR45" i="4"/>
  <c r="BR90" i="4"/>
  <c r="BF72" i="4"/>
  <c r="BF35" i="4"/>
  <c r="AS8" i="4"/>
  <c r="AR36" i="4"/>
  <c r="BG5" i="4"/>
  <c r="BR26" i="4"/>
  <c r="AR54" i="4"/>
  <c r="AP35" i="4"/>
  <c r="BQ61" i="4"/>
  <c r="BT68" i="4"/>
  <c r="BR71" i="4"/>
  <c r="CE90" i="4"/>
  <c r="BR62" i="4"/>
  <c r="CF85" i="4"/>
  <c r="AE7" i="4"/>
  <c r="BG9" i="4"/>
  <c r="BE88" i="4"/>
  <c r="AQ87" i="4"/>
  <c r="CF13" i="4"/>
  <c r="BS67" i="4"/>
  <c r="BQ50" i="4"/>
  <c r="BT22" i="4"/>
  <c r="AQ76" i="4"/>
  <c r="AQ42" i="4"/>
  <c r="BC71" i="4"/>
  <c r="CH51" i="4"/>
  <c r="BF26" i="4"/>
  <c r="AQ17" i="4"/>
  <c r="AO87" i="4"/>
  <c r="BD69" i="4"/>
  <c r="CH60" i="4"/>
  <c r="CG76" i="4"/>
  <c r="BE53" i="4"/>
  <c r="CH70" i="4"/>
  <c r="BR17" i="4"/>
  <c r="AR51" i="4"/>
  <c r="BS34" i="4"/>
  <c r="BF89" i="4"/>
  <c r="BD13" i="4"/>
  <c r="BQ87" i="4"/>
  <c r="CE87" i="4"/>
  <c r="CH69" i="4"/>
  <c r="BQ14" i="4"/>
  <c r="AP17" i="4"/>
  <c r="AQ40" i="4"/>
  <c r="AP53" i="4"/>
  <c r="BD25" i="4"/>
  <c r="BT32" i="4"/>
  <c r="AQ27" i="4"/>
  <c r="BE85" i="4"/>
  <c r="BS71" i="4"/>
  <c r="BT77" i="4"/>
  <c r="AQ50" i="4"/>
  <c r="AR81" i="4"/>
  <c r="AE43" i="4"/>
  <c r="BT53" i="4"/>
  <c r="CH24" i="4"/>
  <c r="AQ85" i="4"/>
  <c r="BT81" i="4"/>
  <c r="AQ81" i="4"/>
  <c r="AO68" i="4"/>
  <c r="BS53" i="4"/>
  <c r="BF54" i="4"/>
  <c r="BF59" i="4"/>
  <c r="AE17" i="4"/>
  <c r="BD59" i="4"/>
  <c r="BF17" i="4"/>
  <c r="CF81" i="4"/>
  <c r="BD45" i="4"/>
  <c r="BT59" i="4"/>
  <c r="BD27" i="4"/>
  <c r="AE16" i="4"/>
  <c r="AQ58" i="4"/>
  <c r="AQ90" i="4"/>
  <c r="BD53" i="4"/>
  <c r="BR34" i="4"/>
  <c r="AQ78" i="4"/>
  <c r="AO70" i="4"/>
  <c r="AQ44" i="4"/>
  <c r="BC67" i="4"/>
  <c r="BS62" i="4"/>
  <c r="AE35" i="4"/>
  <c r="AQ14" i="4"/>
  <c r="AP62" i="4"/>
  <c r="AO25" i="4"/>
  <c r="AO59" i="4"/>
  <c r="AO89" i="4"/>
  <c r="BF62" i="4"/>
  <c r="CH88" i="4"/>
  <c r="AP44" i="4"/>
  <c r="AO78" i="4"/>
  <c r="AE72" i="4"/>
  <c r="AO14" i="4"/>
  <c r="CG17" i="4"/>
  <c r="BD70" i="4"/>
  <c r="CF54" i="4"/>
  <c r="BD61" i="4"/>
  <c r="BF76" i="4"/>
  <c r="BE71" i="4"/>
  <c r="BE49" i="4"/>
  <c r="AE18" i="4"/>
  <c r="AE53" i="4"/>
  <c r="AR63" i="4"/>
  <c r="BC89" i="4"/>
  <c r="BF44" i="4"/>
  <c r="BQ60" i="4"/>
  <c r="BQ78" i="4"/>
  <c r="BS90" i="4"/>
  <c r="BR63" i="4"/>
  <c r="AR72" i="4"/>
  <c r="BF15" i="4"/>
  <c r="CE33" i="4"/>
  <c r="BE26" i="4"/>
  <c r="BE62" i="4"/>
  <c r="AE34" i="4"/>
  <c r="AE33" i="4"/>
  <c r="AO41" i="4"/>
  <c r="AQ32" i="4"/>
  <c r="AR18" i="4"/>
  <c r="BE44" i="4"/>
  <c r="BT49" i="4"/>
  <c r="AS4" i="4"/>
  <c r="CI4" i="4"/>
  <c r="AS5" i="4"/>
  <c r="AE67" i="4"/>
  <c r="BD78" i="4"/>
  <c r="BG78" i="4" s="1"/>
  <c r="CF72" i="4"/>
  <c r="AQ18" i="4"/>
  <c r="CH42" i="4"/>
  <c r="AO43" i="4"/>
  <c r="AO23" i="4"/>
  <c r="CG70" i="4"/>
  <c r="BD88" i="4"/>
  <c r="CE36" i="4"/>
  <c r="BE16" i="4"/>
  <c r="BF86" i="4"/>
  <c r="BG86" i="4" s="1"/>
  <c r="CF36" i="4"/>
  <c r="AO32" i="4"/>
  <c r="BD16" i="4"/>
  <c r="BC85" i="4"/>
  <c r="AQ59" i="4"/>
  <c r="AQ86" i="4"/>
  <c r="BR36" i="4"/>
  <c r="AP18" i="4"/>
  <c r="AS18" i="4" s="1"/>
  <c r="BR54" i="4"/>
  <c r="BQ49" i="4"/>
  <c r="AQ77" i="4"/>
  <c r="BD79" i="4"/>
  <c r="CF58" i="4"/>
  <c r="BS58" i="4"/>
  <c r="AQ51" i="4"/>
  <c r="AQ13" i="4"/>
  <c r="BS49" i="4"/>
  <c r="BG7" i="4"/>
  <c r="AE15" i="4"/>
  <c r="CE18" i="4"/>
  <c r="CH43" i="4"/>
  <c r="BF53" i="4"/>
  <c r="AO42" i="4"/>
  <c r="CG61" i="4"/>
  <c r="AO62" i="4"/>
  <c r="BC62" i="4"/>
  <c r="BD87" i="4"/>
  <c r="CG89" i="4"/>
  <c r="AO77" i="4"/>
  <c r="CE35" i="4"/>
  <c r="AR90" i="4"/>
  <c r="BD71" i="4"/>
  <c r="CH61" i="4"/>
  <c r="BD62" i="4"/>
  <c r="BF77" i="4"/>
  <c r="BE67" i="4"/>
  <c r="AE88" i="4"/>
  <c r="BT89" i="4"/>
  <c r="CE27" i="4"/>
  <c r="AE23" i="4"/>
  <c r="BE14" i="4"/>
  <c r="BF85" i="4"/>
  <c r="BD40" i="4"/>
  <c r="AP54" i="4"/>
  <c r="BD33" i="4"/>
  <c r="BG33" i="4" s="1"/>
  <c r="CE71" i="4"/>
  <c r="AO33" i="4"/>
  <c r="BE81" i="4"/>
  <c r="CE60" i="4"/>
  <c r="BR76" i="4"/>
  <c r="AQ26" i="4"/>
  <c r="BE36" i="4"/>
  <c r="CI5" i="4"/>
  <c r="BC72" i="4"/>
  <c r="AR31" i="4"/>
  <c r="CE40" i="4"/>
  <c r="CI40" i="4" s="1"/>
  <c r="CE13" i="4"/>
  <c r="BT34" i="4"/>
  <c r="BF61" i="4"/>
  <c r="BC54" i="4"/>
  <c r="BG54" i="4" s="1"/>
  <c r="BD58" i="4"/>
  <c r="AE76" i="4"/>
  <c r="BR13" i="4"/>
  <c r="BR24" i="4"/>
  <c r="BT87" i="4"/>
  <c r="CE22" i="4"/>
  <c r="CI22" i="4" s="1"/>
  <c r="AE59" i="4"/>
  <c r="BR42" i="4"/>
  <c r="CE68" i="4"/>
  <c r="CE62" i="4"/>
  <c r="BR78" i="4"/>
  <c r="BF43" i="4"/>
  <c r="BQ85" i="4"/>
  <c r="CH18" i="4"/>
  <c r="CH36" i="4"/>
  <c r="BT71" i="4"/>
  <c r="BU71" i="4" s="1"/>
  <c r="CE86" i="4"/>
  <c r="AQ31" i="4"/>
  <c r="BE58" i="4"/>
  <c r="BQ32" i="4"/>
  <c r="BT15" i="4"/>
  <c r="BT51" i="4"/>
  <c r="AQ61" i="4"/>
  <c r="CH25" i="4"/>
  <c r="CG43" i="4"/>
  <c r="BR32" i="4"/>
  <c r="BT79" i="4"/>
  <c r="AR87" i="4"/>
  <c r="AS87" i="4" s="1"/>
  <c r="BT27" i="4"/>
  <c r="AQ79" i="4"/>
  <c r="AO71" i="4"/>
  <c r="AQ45" i="4"/>
  <c r="CI9" i="4"/>
  <c r="BS59" i="4"/>
  <c r="AQ49" i="4"/>
  <c r="AR24" i="4"/>
  <c r="CF44" i="4"/>
  <c r="CE14" i="4"/>
  <c r="BC36" i="4"/>
  <c r="CG59" i="4"/>
  <c r="BG51" i="4"/>
  <c r="CG25" i="4"/>
  <c r="CH90" i="4"/>
  <c r="BQ40" i="4"/>
  <c r="CG67" i="4"/>
  <c r="BF32" i="4"/>
  <c r="CG86" i="4"/>
  <c r="AO79" i="4"/>
  <c r="AE9" i="4"/>
  <c r="AE49" i="4"/>
  <c r="BT43" i="4"/>
  <c r="BS24" i="4"/>
  <c r="CG18" i="4"/>
  <c r="CE32" i="4"/>
  <c r="AP81" i="4"/>
  <c r="AO53" i="4"/>
  <c r="BD67" i="4"/>
  <c r="CH63" i="4"/>
  <c r="CG78" i="4"/>
  <c r="CH72" i="4"/>
  <c r="BU7" i="4"/>
  <c r="BR18" i="4"/>
  <c r="BR23" i="4"/>
  <c r="AR49" i="4"/>
  <c r="AS49" i="4" s="1"/>
  <c r="BQ16" i="4"/>
  <c r="BT85" i="4"/>
  <c r="CE26" i="4"/>
  <c r="AE5" i="4"/>
  <c r="BF88" i="4"/>
  <c r="BD44" i="4"/>
  <c r="BG44" i="4" s="1"/>
  <c r="BD32" i="4"/>
  <c r="BR43" i="4"/>
  <c r="BT62" i="4"/>
  <c r="CE70" i="4"/>
  <c r="CI70" i="4" s="1"/>
  <c r="BE79" i="4"/>
  <c r="CE63" i="4"/>
  <c r="BR77" i="4"/>
  <c r="BU9" i="4"/>
  <c r="BD15" i="4"/>
  <c r="BG15" i="4" s="1"/>
  <c r="BC90" i="4"/>
  <c r="BG90" i="4" s="1"/>
  <c r="BF45" i="4"/>
  <c r="BQ86" i="4"/>
  <c r="BQ59" i="4"/>
  <c r="CH33" i="4"/>
  <c r="BT67" i="4"/>
  <c r="CE88" i="4"/>
  <c r="AQ33" i="4"/>
  <c r="BS86" i="4"/>
  <c r="BR60" i="4"/>
  <c r="BE61" i="4"/>
  <c r="BQ34" i="4"/>
  <c r="AR71" i="4"/>
  <c r="AR23" i="4"/>
  <c r="AQ24" i="4"/>
  <c r="CG23" i="4"/>
  <c r="CE76" i="4"/>
  <c r="AQ70" i="4"/>
  <c r="BC18" i="4"/>
  <c r="CE49" i="4"/>
  <c r="AR59" i="4"/>
  <c r="BT24" i="4"/>
  <c r="AE8" i="4"/>
  <c r="AQ52" i="4"/>
  <c r="AR79" i="4"/>
  <c r="BF34" i="4"/>
  <c r="AR34" i="4"/>
  <c r="CE44" i="4"/>
  <c r="CI44" i="4" s="1"/>
  <c r="CE23" i="4"/>
  <c r="BE13" i="4"/>
  <c r="BR40" i="4"/>
  <c r="CE53" i="4"/>
  <c r="CE58" i="4"/>
  <c r="BD22" i="4"/>
  <c r="BT16" i="4"/>
  <c r="AR61" i="4"/>
  <c r="BG85" i="4"/>
  <c r="BF40" i="4"/>
  <c r="BT42" i="4"/>
  <c r="AR41" i="4"/>
  <c r="AS41" i="4" s="1"/>
  <c r="BR67" i="4"/>
  <c r="CE85" i="4"/>
  <c r="CI85" i="4" s="1"/>
  <c r="CG51" i="4"/>
  <c r="BE59" i="4"/>
  <c r="BG59" i="4" s="1"/>
  <c r="BS44" i="4"/>
  <c r="AQ22" i="4"/>
  <c r="AE25" i="4"/>
  <c r="AR13" i="4"/>
  <c r="BT50" i="4"/>
  <c r="CE77" i="4"/>
  <c r="BD49" i="4"/>
  <c r="BS80" i="4"/>
  <c r="BR86" i="4"/>
  <c r="AP13" i="4"/>
  <c r="BR50" i="4"/>
  <c r="BT23" i="4"/>
  <c r="BD80" i="4"/>
  <c r="BG80" i="4" s="1"/>
  <c r="CF87" i="4"/>
  <c r="AQ16" i="4"/>
  <c r="BT36" i="4"/>
  <c r="CG32" i="4"/>
  <c r="AR80" i="4"/>
  <c r="AP90" i="4"/>
  <c r="CE16" i="4"/>
  <c r="AQ68" i="4"/>
  <c r="BQ68" i="4"/>
  <c r="AS7" i="4"/>
  <c r="BF63" i="4"/>
  <c r="BF67" i="4"/>
  <c r="BF16" i="4"/>
  <c r="BQ23" i="4"/>
  <c r="CG88" i="4"/>
  <c r="AR89" i="4"/>
  <c r="AS89" i="4" s="1"/>
  <c r="AE63" i="4"/>
  <c r="BT13" i="4"/>
  <c r="BS17" i="4"/>
  <c r="BS26" i="4"/>
  <c r="BT35" i="4"/>
  <c r="CE31" i="4"/>
  <c r="AO52" i="4"/>
  <c r="BT72" i="4"/>
  <c r="BR16" i="4"/>
  <c r="AR53" i="4"/>
  <c r="CF80" i="4"/>
  <c r="CF26" i="4"/>
  <c r="CE42" i="4"/>
  <c r="CE24" i="4"/>
  <c r="AE41" i="4"/>
  <c r="BE17" i="4"/>
  <c r="AR26" i="4"/>
  <c r="AE31" i="4"/>
  <c r="BD35" i="4"/>
  <c r="BT60" i="4"/>
  <c r="CE52" i="4"/>
  <c r="BE77" i="4"/>
  <c r="BG77" i="4" s="1"/>
  <c r="CE59" i="4"/>
  <c r="AE87" i="4"/>
  <c r="BD24" i="4"/>
  <c r="BG24" i="4" s="1"/>
  <c r="BD14" i="4"/>
  <c r="CE79" i="4"/>
  <c r="CH15" i="4"/>
  <c r="BT45" i="4"/>
  <c r="BR68" i="4"/>
  <c r="CE89" i="4"/>
  <c r="BQ79" i="4"/>
  <c r="CH81" i="4"/>
  <c r="BS85" i="4"/>
  <c r="BR61" i="4"/>
  <c r="CG50" i="4"/>
  <c r="AR70" i="4"/>
  <c r="AS70" i="4" s="1"/>
  <c r="BS43" i="4"/>
  <c r="BC76" i="4"/>
  <c r="BD72" i="4"/>
  <c r="CG16" i="4"/>
  <c r="CG31" i="4"/>
  <c r="AR77" i="4"/>
  <c r="BS23" i="4"/>
  <c r="BR41" i="4"/>
  <c r="AE80" i="4"/>
  <c r="AQ34" i="4"/>
  <c r="AE70" i="4"/>
  <c r="BT52" i="4"/>
  <c r="BU52" i="4" s="1"/>
  <c r="BS60" i="4"/>
  <c r="AR16" i="4"/>
  <c r="AQ88" i="4"/>
  <c r="AS88" i="4" s="1"/>
  <c r="BT78" i="4"/>
  <c r="BR85" i="4"/>
  <c r="BF25" i="4"/>
  <c r="CF89" i="4"/>
  <c r="BF13" i="4"/>
  <c r="BG13" i="4" s="1"/>
  <c r="AE4" i="4"/>
  <c r="AR50" i="4"/>
  <c r="AS50" i="4" s="1"/>
  <c r="CI43" i="4"/>
  <c r="AE77" i="4"/>
  <c r="BD31" i="4"/>
  <c r="CE50" i="4"/>
  <c r="BG87" i="4"/>
  <c r="BQ77" i="4"/>
  <c r="BS87" i="4"/>
  <c r="CG52" i="4"/>
  <c r="AR68" i="4"/>
  <c r="BC27" i="4"/>
  <c r="AR14" i="4"/>
  <c r="CF27" i="4"/>
  <c r="CF17" i="4"/>
  <c r="BR33" i="4"/>
  <c r="BU33" i="4" s="1"/>
  <c r="BT80" i="4"/>
  <c r="BR49" i="4"/>
  <c r="BU49" i="4" s="1"/>
  <c r="BT25" i="4"/>
  <c r="BD76" i="4"/>
  <c r="CF62" i="4"/>
  <c r="CI7" i="4"/>
  <c r="BG68" i="4"/>
  <c r="BF27" i="4"/>
  <c r="CF69" i="4"/>
  <c r="BT14" i="4"/>
  <c r="BS54" i="4"/>
  <c r="AQ23" i="4"/>
  <c r="CG34" i="4"/>
  <c r="CG27" i="4"/>
  <c r="AR35" i="4"/>
  <c r="BG35" i="4"/>
  <c r="AQ67" i="4"/>
  <c r="BF50" i="4"/>
  <c r="CG60" i="4"/>
  <c r="AO26" i="4"/>
  <c r="AO61" i="4"/>
  <c r="AS61" i="4" s="1"/>
  <c r="BS40" i="4"/>
  <c r="BT90" i="4"/>
  <c r="BC49" i="4"/>
  <c r="CH87" i="4"/>
  <c r="CG69" i="4"/>
  <c r="AP45" i="4"/>
  <c r="BF18" i="4"/>
  <c r="BD89" i="4"/>
  <c r="BF36" i="4"/>
  <c r="AO80" i="4"/>
  <c r="BU6" i="4"/>
  <c r="AO17" i="4"/>
  <c r="AS17" i="4" s="1"/>
  <c r="BS36" i="4"/>
  <c r="BS15" i="4"/>
  <c r="CG15" i="4"/>
  <c r="AS51" i="4"/>
  <c r="BD34" i="4"/>
  <c r="BD63" i="4"/>
  <c r="CE80" i="4"/>
  <c r="CI80" i="4" s="1"/>
  <c r="AE40" i="4"/>
  <c r="BT44" i="4"/>
  <c r="BR25" i="4"/>
  <c r="BU25" i="4" s="1"/>
  <c r="AR52" i="4"/>
  <c r="AP31" i="4"/>
  <c r="AS31" i="4" s="1"/>
  <c r="BQ13" i="4"/>
  <c r="BT88" i="4"/>
  <c r="BU88" i="4" s="1"/>
  <c r="CE41" i="4"/>
  <c r="CI41" i="4" s="1"/>
  <c r="AR86" i="4"/>
  <c r="AS86" i="4" s="1"/>
  <c r="AS6" i="4"/>
  <c r="BE25" i="4"/>
  <c r="BS31" i="4"/>
  <c r="BG16" i="4"/>
  <c r="BT33" i="4"/>
  <c r="BD43" i="4"/>
  <c r="BG43" i="4" s="1"/>
  <c r="BE31" i="4"/>
  <c r="BR45" i="4"/>
  <c r="BU45" i="4" s="1"/>
  <c r="BT63" i="4"/>
  <c r="CE51" i="4"/>
  <c r="CI51" i="4" s="1"/>
  <c r="CE69" i="4"/>
  <c r="AO35" i="4"/>
  <c r="AP67" i="4"/>
  <c r="BE76" i="4"/>
  <c r="BR79" i="4"/>
  <c r="AE60" i="4"/>
  <c r="BD23" i="4"/>
  <c r="AP27" i="4"/>
  <c r="AR62" i="4"/>
  <c r="CG36" i="4"/>
  <c r="BU89" i="4"/>
  <c r="BQ63" i="4"/>
  <c r="BT69" i="4"/>
  <c r="BR72" i="4"/>
  <c r="BU72" i="4" s="1"/>
  <c r="AQ36" i="4"/>
  <c r="AS36" i="4" s="1"/>
  <c r="BQ81" i="4"/>
  <c r="CH76" i="4"/>
  <c r="BR58" i="4"/>
  <c r="CG49" i="4"/>
  <c r="AR67" i="4"/>
  <c r="BS41" i="4"/>
  <c r="CG81" i="4"/>
  <c r="CI81" i="4" s="1"/>
  <c r="AP25" i="4"/>
  <c r="BC40" i="4"/>
  <c r="AR33" i="4"/>
  <c r="AS81" i="4"/>
  <c r="BS14" i="4"/>
  <c r="CG14" i="4"/>
  <c r="BS32" i="4"/>
  <c r="BC81" i="4"/>
  <c r="BC45" i="4"/>
  <c r="BG45" i="4" s="1"/>
  <c r="BS78" i="4"/>
  <c r="AQ43" i="4"/>
  <c r="AS43" i="4" s="1"/>
  <c r="BU5" i="4"/>
  <c r="BS50" i="4"/>
  <c r="CI15" i="4"/>
  <c r="CH45" i="4"/>
  <c r="BQ41" i="4"/>
  <c r="BS68" i="4"/>
  <c r="BR31" i="4"/>
  <c r="BT26" i="4"/>
  <c r="CI8" i="4"/>
  <c r="AR85" i="4"/>
  <c r="AS85" i="4" s="1"/>
  <c r="AE69" i="4"/>
  <c r="AQ25" i="4"/>
  <c r="CE17" i="4"/>
  <c r="AQ72" i="4"/>
  <c r="BU4" i="4"/>
  <c r="CG72" i="4"/>
  <c r="CI72" i="4" s="1"/>
  <c r="BF79" i="4"/>
  <c r="BG79" i="4" s="1"/>
  <c r="BT17" i="4"/>
  <c r="AR22" i="4"/>
  <c r="BE23" i="4"/>
  <c r="BG23" i="4" s="1"/>
  <c r="CG24" i="4"/>
  <c r="BT61" i="4"/>
  <c r="CF35" i="4"/>
  <c r="CI35" i="4" s="1"/>
  <c r="AR58" i="4"/>
  <c r="CH16" i="4"/>
  <c r="CI90" i="4"/>
  <c r="CH78" i="4"/>
  <c r="BS42" i="4"/>
  <c r="BE40" i="4"/>
  <c r="BR22" i="4"/>
  <c r="CG79" i="4"/>
  <c r="BG4" i="4"/>
  <c r="AQ63" i="4"/>
  <c r="CF18" i="4"/>
  <c r="CG42" i="4"/>
  <c r="BT76" i="4"/>
  <c r="BT41" i="4"/>
  <c r="CF63" i="4"/>
  <c r="CI6" i="4"/>
  <c r="BG69" i="4"/>
  <c r="AE62" i="4"/>
  <c r="BF22" i="4"/>
  <c r="AQ54" i="4"/>
  <c r="AS54" i="4" s="1"/>
  <c r="CF71" i="4"/>
  <c r="CI71" i="4" s="1"/>
  <c r="BS51" i="4"/>
  <c r="BU51" i="4" s="1"/>
  <c r="AP63" i="4"/>
  <c r="CG33" i="4"/>
  <c r="AR76" i="4"/>
  <c r="AS76" i="4" s="1"/>
  <c r="BD17" i="4"/>
  <c r="AQ69" i="4"/>
  <c r="BF52" i="4"/>
  <c r="BG52" i="4" s="1"/>
  <c r="BQ67" i="4"/>
  <c r="CG58" i="4"/>
  <c r="AR40" i="4"/>
  <c r="AR32" i="4"/>
  <c r="AS32" i="4" s="1"/>
  <c r="BF58" i="4"/>
  <c r="BF70" i="4"/>
  <c r="BG70" i="4" s="1"/>
  <c r="BC63" i="4"/>
  <c r="CG68" i="4"/>
  <c r="AP40" i="4"/>
  <c r="BQ22" i="4"/>
  <c r="CE78" i="4"/>
  <c r="CG87" i="4"/>
  <c r="AE36" i="4"/>
  <c r="AS15" i="4"/>
  <c r="BS13" i="4"/>
  <c r="CG13" i="4"/>
  <c r="CE34" i="4"/>
  <c r="CF53" i="4"/>
  <c r="BD60" i="4"/>
  <c r="BG60" i="4" s="1"/>
  <c r="CG77" i="4"/>
  <c r="BF81" i="4"/>
  <c r="BE50" i="4"/>
  <c r="BG50" i="4" s="1"/>
  <c r="AE22" i="4"/>
  <c r="BR14" i="4"/>
  <c r="BR27" i="4"/>
  <c r="BU27" i="4" s="1"/>
  <c r="BE18" i="4"/>
  <c r="BQ15" i="4"/>
  <c r="BT86" i="4"/>
  <c r="CE25" i="4"/>
  <c r="CI25" i="4" s="1"/>
  <c r="AE89" i="4"/>
  <c r="BE22" i="4"/>
  <c r="BF14" i="4"/>
  <c r="BD42" i="4"/>
  <c r="BG42" i="4" s="1"/>
  <c r="BE34" i="4"/>
  <c r="BR44" i="4"/>
  <c r="BU44" i="4" s="1"/>
  <c r="BT58" i="4"/>
  <c r="CE54" i="4"/>
  <c r="CE67" i="4"/>
  <c r="AO34" i="4"/>
  <c r="AP72" i="4"/>
  <c r="AS72" i="4" s="1"/>
  <c r="CE61" i="4"/>
  <c r="BR81" i="4"/>
  <c r="AE42" i="4"/>
  <c r="BD26" i="4"/>
  <c r="BG26" i="4" s="1"/>
  <c r="BS35" i="4"/>
  <c r="BU35" i="4" s="1"/>
  <c r="AR25" i="4"/>
  <c r="AR60" i="4"/>
  <c r="AS60" i="4" s="1"/>
  <c r="BE41" i="4"/>
  <c r="BF41" i="4"/>
  <c r="BQ90" i="4"/>
  <c r="CH13" i="4"/>
  <c r="BQ58" i="4"/>
  <c r="CH34" i="4"/>
  <c r="BT70" i="4"/>
  <c r="BU70" i="4" s="1"/>
  <c r="BR69" i="4"/>
  <c r="BU69" i="4" s="1"/>
  <c r="BQ76" i="4"/>
  <c r="CH79" i="4"/>
  <c r="BR59" i="4"/>
  <c r="CG54" i="4"/>
  <c r="BQ31" i="4"/>
  <c r="BU31" i="4" s="1"/>
  <c r="AR69" i="4"/>
  <c r="CF45" i="4"/>
  <c r="CI45" i="4" s="1"/>
  <c r="BS33" i="4"/>
  <c r="BT18" i="4"/>
  <c r="BS22" i="4"/>
  <c r="Z4" i="14" l="1"/>
  <c r="BG14" i="4"/>
  <c r="BU50" i="4"/>
  <c r="CI53" i="4"/>
  <c r="CI49" i="4"/>
  <c r="AS33" i="4"/>
  <c r="BG62" i="4"/>
  <c r="BU53" i="4"/>
  <c r="BU87" i="4"/>
  <c r="AS42" i="4"/>
  <c r="BU81" i="4"/>
  <c r="AS13" i="4"/>
  <c r="BG18" i="4"/>
  <c r="BU18" i="4"/>
  <c r="CI32" i="4"/>
  <c r="BG32" i="4"/>
  <c r="AS90" i="4"/>
  <c r="AS77" i="4"/>
  <c r="AS23" i="4"/>
  <c r="AS78" i="4"/>
  <c r="AS44" i="4"/>
  <c r="BG53" i="4"/>
  <c r="BU17" i="4"/>
  <c r="AS40" i="4"/>
  <c r="AS63" i="4"/>
  <c r="BG17" i="4"/>
  <c r="AS68" i="4"/>
  <c r="AS67" i="4"/>
  <c r="CI33" i="4"/>
  <c r="AS24" i="4"/>
  <c r="BG61" i="4"/>
  <c r="BG71" i="4"/>
  <c r="BU61" i="4"/>
  <c r="AS80" i="4"/>
  <c r="AS22" i="4"/>
  <c r="BU34" i="4"/>
  <c r="BU24" i="4"/>
  <c r="BU42" i="4"/>
  <c r="AS16" i="4"/>
  <c r="BU80" i="4"/>
  <c r="CI26" i="4"/>
  <c r="BU43" i="4"/>
  <c r="BG58" i="4"/>
  <c r="AS69" i="4"/>
  <c r="CI36" i="4"/>
  <c r="BG89" i="4"/>
  <c r="CI87" i="4"/>
  <c r="BG63" i="4"/>
  <c r="BG88" i="4"/>
  <c r="CI18" i="4"/>
  <c r="BU77" i="4"/>
  <c r="BU90" i="4"/>
  <c r="BG34" i="4"/>
  <c r="AS35" i="4"/>
  <c r="CI27" i="4"/>
  <c r="BU60" i="4"/>
  <c r="CI61" i="4"/>
  <c r="AS58" i="4"/>
  <c r="BU78" i="4"/>
  <c r="AS62" i="4"/>
  <c r="AS26" i="4"/>
  <c r="AS14" i="4"/>
  <c r="CI50" i="4"/>
  <c r="CI76" i="4"/>
  <c r="BU62" i="4"/>
  <c r="BU32" i="4"/>
  <c r="BU14" i="4"/>
  <c r="AS27" i="4"/>
  <c r="BG25" i="4"/>
  <c r="AS45" i="4"/>
  <c r="CI60" i="4"/>
  <c r="BG31" i="4"/>
  <c r="BU26" i="4"/>
  <c r="BG81" i="4"/>
  <c r="AS25" i="4"/>
  <c r="BU36" i="4"/>
  <c r="BU54" i="4"/>
  <c r="CI79" i="4"/>
  <c r="BG67" i="4"/>
  <c r="BG22" i="4"/>
  <c r="AS59" i="4"/>
  <c r="CI54" i="4"/>
  <c r="CI63" i="4"/>
  <c r="BU58" i="4"/>
  <c r="BU67" i="4"/>
  <c r="BU41" i="4"/>
  <c r="BG40" i="4"/>
  <c r="CI69" i="4"/>
  <c r="BU68" i="4"/>
  <c r="CI58" i="4"/>
  <c r="BU59" i="4"/>
  <c r="CI68" i="4"/>
  <c r="BU15" i="4"/>
  <c r="BU79" i="4"/>
  <c r="BU85" i="4"/>
  <c r="CI13" i="4"/>
  <c r="CI16" i="4"/>
  <c r="BU76" i="4"/>
  <c r="BG41" i="4"/>
  <c r="CI78" i="4"/>
  <c r="BG27" i="4"/>
  <c r="CI59" i="4"/>
  <c r="AS52" i="4"/>
  <c r="CI77" i="4"/>
  <c r="BU16" i="4"/>
  <c r="BG36" i="4"/>
  <c r="AS71" i="4"/>
  <c r="CI89" i="4"/>
  <c r="AS34" i="4"/>
  <c r="CI34" i="4"/>
  <c r="BU22" i="4"/>
  <c r="BU63" i="4"/>
  <c r="BG49" i="4"/>
  <c r="CI24" i="4"/>
  <c r="CI31" i="4"/>
  <c r="BU23" i="4"/>
  <c r="CI88" i="4"/>
  <c r="AS53" i="4"/>
  <c r="CI14" i="4"/>
  <c r="CI86" i="4"/>
  <c r="BG72" i="4"/>
  <c r="BU86" i="4"/>
  <c r="BG76" i="4"/>
  <c r="BU40" i="4"/>
  <c r="CI67" i="4"/>
  <c r="CI17" i="4"/>
  <c r="BU13" i="4"/>
  <c r="CI52" i="4"/>
  <c r="CI42" i="4"/>
  <c r="CI23" i="4"/>
  <c r="AS79" i="4"/>
  <c r="CI62" i="4"/>
  <c r="AC5" i="13" l="1" a="1"/>
  <c r="AC5" i="13" s="1"/>
  <c r="AC7" i="13" a="1"/>
  <c r="AC7" i="13" s="1"/>
  <c r="AA7" i="13"/>
  <c r="Z7" i="13" s="1"/>
  <c r="AA5" i="13"/>
  <c r="Z5" i="13" s="1"/>
  <c r="AC8" i="13" a="1"/>
  <c r="AC8" i="13" s="1"/>
  <c r="Z9" i="13"/>
  <c r="AA16" i="13" a="1"/>
  <c r="AA16" i="13" s="1"/>
  <c r="AA17" i="13" a="1"/>
  <c r="AA17" i="13" s="1"/>
  <c r="AA15" i="13" a="1"/>
  <c r="AA15" i="13" s="1"/>
  <c r="AA13" i="13" a="1"/>
  <c r="AA13" i="13" s="1"/>
  <c r="AC6" i="13" a="1"/>
  <c r="AC6" i="13" s="1"/>
  <c r="Z10" i="13" l="1"/>
  <c r="AC4" i="13"/>
  <c r="Z4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Calvin Jee</author>
  </authors>
  <commentList>
    <comment ref="S6" authorId="0" shapeId="0" xr:uid="{6D4BD5E0-9320-4AE1-821C-CE68EC3FAACE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Old Encounter table with enemy mod formulas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Calvin Jee</author>
  </authors>
  <commentList>
    <comment ref="I3" authorId="0" shapeId="0" xr:uid="{AF117DB9-B742-4A41-8317-BC41ACE7439C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Initiative roll</t>
        </r>
      </text>
    </comment>
    <comment ref="J3" authorId="0" shapeId="0" xr:uid="{477D5BD1-7A13-457F-81BF-1D5DEB157009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stealth roll</t>
        </r>
      </text>
    </comment>
    <comment ref="K3" authorId="0" shapeId="0" xr:uid="{FC7DAC57-0B95-4A80-A46F-B7C0CEBAFFE1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Passive Perception</t>
        </r>
      </text>
    </comment>
    <comment ref="L3" authorId="0" shapeId="0" xr:uid="{68DC4A3F-0427-4A59-A69D-D2E1638D3B91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attack roll</t>
        </r>
      </text>
    </comment>
    <comment ref="M3" authorId="0" shapeId="0" xr:uid="{43FF0C01-7B7E-450F-88EA-2A152852225E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Armor Class</t>
        </r>
      </text>
    </comment>
    <comment ref="N3" authorId="0" shapeId="0" xr:uid="{31998D01-F517-457B-B6C2-C9912CCA233F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spell attack roll</t>
        </r>
      </text>
    </comment>
    <comment ref="O3" authorId="0" shapeId="0" xr:uid="{31CD67D8-55D3-4E51-A502-7FAE45849F6E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Difficulty Class for spells/abilities/etc.</t>
        </r>
      </text>
    </comment>
    <comment ref="U3" authorId="0" shapeId="0" xr:uid="{5BD48345-8D05-4467-B897-53DCF198A14B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Level</t>
        </r>
      </text>
    </comment>
    <comment ref="V3" authorId="0" shapeId="0" xr:uid="{D2AEAB2C-25A8-486A-8D11-CF8C8AB69215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Challenge Rating</t>
        </r>
      </text>
    </comment>
    <comment ref="E5" authorId="0" shapeId="0" xr:uid="{CD58FF24-10D8-4548-93E8-62CE100B6609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Drat Nailo</t>
        </r>
      </text>
    </comment>
    <comment ref="E6" authorId="0" shapeId="0" xr:uid="{224A55DD-ACBE-499B-8797-C70CB3A09B28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Guggen Lunngren</t>
        </r>
      </text>
    </comment>
    <comment ref="E7" authorId="0" shapeId="0" xr:uid="{9B7CF74B-4320-4A0B-98EA-7ABE7C779625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Darwin Goodbrew</t>
        </r>
      </text>
    </comment>
    <comment ref="E8" authorId="0" shapeId="0" xr:uid="{50664FEA-9E4B-4EA4-884B-707B4871CF7B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Placeholder</t>
        </r>
      </text>
    </comment>
    <comment ref="E9" authorId="0" shapeId="0" xr:uid="{355B51CC-9C86-45DB-A7DB-20B8A59AA0F9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Sullivan Valfyre</t>
        </r>
      </text>
    </comment>
    <comment ref="E14" authorId="0" shapeId="0" xr:uid="{AF29C7D2-222F-4669-B741-9B7A72A26374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Dain Starstealer</t>
        </r>
      </text>
    </comment>
    <comment ref="E17" authorId="0" shapeId="0" xr:uid="{65F3648E-0F48-4935-9911-00733A2F2508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Iarno Albrek</t>
        </r>
      </text>
    </comment>
    <comment ref="E19" authorId="0" shapeId="0" xr:uid="{4A52EF9B-6633-4525-89AB-124738D1A0A6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Black Spider</t>
        </r>
      </text>
    </comment>
    <comment ref="E20" authorId="0" shapeId="0" xr:uid="{B20E2906-FEFD-45E8-9BF7-976EDF707B96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Orsik Strakeln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Calvin Jee</author>
  </authors>
  <commentList>
    <comment ref="B4" authorId="0" shapeId="0" xr:uid="{D2B67E85-FD08-4033-A20E-40E441D498A9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Initiative roll</t>
        </r>
      </text>
    </comment>
    <comment ref="F4" authorId="0" shapeId="0" xr:uid="{1E90BEAD-6D2F-444E-B212-157513F94A9C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stealth roll</t>
        </r>
      </text>
    </comment>
    <comment ref="G4" authorId="0" shapeId="0" xr:uid="{C59D9A83-F51B-47E5-A70A-564DBBA61952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Passive Perception</t>
        </r>
      </text>
    </comment>
    <comment ref="H4" authorId="0" shapeId="0" xr:uid="{F012193D-84AD-48AC-A594-76E6C2BA2667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Armor Class</t>
        </r>
      </text>
    </comment>
    <comment ref="I4" authorId="0" shapeId="0" xr:uid="{1487FD3B-76DF-4384-992B-313DCCBFDB8A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Difficulty Class for spells/abilities/etc.</t>
        </r>
      </text>
    </comment>
    <comment ref="Q4" authorId="0" shapeId="0" xr:uid="{E153196F-FA69-42DB-9B04-5C5E0F4320EE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Level</t>
        </r>
      </text>
    </comment>
    <comment ref="V4" authorId="0" shapeId="0" xr:uid="{C1F2F6F7-4D89-4D5A-98E8-1E65F3BE6761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Challenge Rating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Calvin Jee</author>
  </authors>
  <commentList>
    <comment ref="B4" authorId="0" shapeId="0" xr:uid="{745DBA85-166F-4E1F-8BCD-A56C245E81C9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Initiative roll</t>
        </r>
      </text>
    </comment>
    <comment ref="F4" authorId="0" shapeId="0" xr:uid="{18130888-CAB8-4747-96C3-89D880707DAC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stealth roll</t>
        </r>
      </text>
    </comment>
    <comment ref="G4" authorId="0" shapeId="0" xr:uid="{85F188AA-DC4F-4B19-8D2B-8E8D5769D630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Passive Perception</t>
        </r>
      </text>
    </comment>
    <comment ref="H4" authorId="0" shapeId="0" xr:uid="{6B3438A1-8982-4268-93DE-111D2B7CD138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Armor Class</t>
        </r>
      </text>
    </comment>
    <comment ref="I4" authorId="0" shapeId="0" xr:uid="{B798954B-307A-4B40-BEF8-4C096D1A254A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Difficulty Class for spells/abilities/etc.</t>
        </r>
      </text>
    </comment>
    <comment ref="Q4" authorId="0" shapeId="0" xr:uid="{E3426AB4-8DAB-4A5B-BF87-F90E3378E3FC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Level</t>
        </r>
      </text>
    </comment>
    <comment ref="V4" authorId="0" shapeId="0" xr:uid="{628A45F8-2139-472A-9B3F-F723E43ADD2F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Challenge Rating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Calvin Jee</author>
  </authors>
  <commentList>
    <comment ref="B4" authorId="0" shapeId="0" xr:uid="{7347859E-F10D-4C94-BB57-FBA2035DAFB0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Initiative roll</t>
        </r>
      </text>
    </comment>
    <comment ref="F4" authorId="0" shapeId="0" xr:uid="{664A1ACE-8E3E-4185-9592-CDB9C529530F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stealth roll</t>
        </r>
      </text>
    </comment>
    <comment ref="G4" authorId="0" shapeId="0" xr:uid="{469D60FD-A6DA-4D08-9332-8CE23064ED26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Passive Perception</t>
        </r>
      </text>
    </comment>
    <comment ref="H4" authorId="0" shapeId="0" xr:uid="{C68686FB-D50C-4DA7-8E00-20B8A0B382A4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Armor Class</t>
        </r>
      </text>
    </comment>
    <comment ref="I4" authorId="0" shapeId="0" xr:uid="{32FB221C-8DED-436B-A6E7-B3B56D621CA6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Difficulty Class for spells/abilities/etc.</t>
        </r>
      </text>
    </comment>
    <comment ref="Q4" authorId="0" shapeId="0" xr:uid="{03935F8C-80C4-4EE5-99B0-5FEF3CAB8F7E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Level</t>
        </r>
      </text>
    </comment>
    <comment ref="V4" authorId="0" shapeId="0" xr:uid="{D89E2517-DEEC-4C27-BB89-39257A215CA7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Challenge Rating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Calvin Jee</author>
  </authors>
  <commentList>
    <comment ref="B4" authorId="0" shapeId="0" xr:uid="{43A57D99-01EE-416D-A263-4B34F498C97F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Initiative roll</t>
        </r>
      </text>
    </comment>
    <comment ref="F4" authorId="0" shapeId="0" xr:uid="{1FBAE336-DEBB-4ABB-AF17-45A67FC30BA5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stealth roll</t>
        </r>
      </text>
    </comment>
    <comment ref="G4" authorId="0" shapeId="0" xr:uid="{A3419F93-E72A-4A3E-9D17-E635C56DCA0A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Passive Perception</t>
        </r>
      </text>
    </comment>
    <comment ref="H4" authorId="0" shapeId="0" xr:uid="{4303377A-01BF-4394-88A1-214B5D5CB583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Armor Class</t>
        </r>
      </text>
    </comment>
    <comment ref="I4" authorId="0" shapeId="0" xr:uid="{C6577D01-1117-4478-A4B7-39E432D0978A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Difficulty Class for spells/abilities/etc.</t>
        </r>
      </text>
    </comment>
    <comment ref="Q4" authorId="0" shapeId="0" xr:uid="{ABA42D5A-3E43-4877-BCFD-DF0BB753AEA7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Level</t>
        </r>
      </text>
    </comment>
    <comment ref="V4" authorId="0" shapeId="0" xr:uid="{AEF9F900-8830-4C9C-B0A1-1C22BF4C848D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Challenge Rating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Calvin Jee</author>
  </authors>
  <commentList>
    <comment ref="B4" authorId="0" shapeId="0" xr:uid="{86817DA2-3CD2-47DF-A1F0-27F50A717883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Initiative roll</t>
        </r>
      </text>
    </comment>
    <comment ref="F4" authorId="0" shapeId="0" xr:uid="{86818D2F-4332-480C-A06E-808E6A9F06E9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stealth roll</t>
        </r>
      </text>
    </comment>
    <comment ref="G4" authorId="0" shapeId="0" xr:uid="{570B9B6B-353D-43B9-9AA5-E01310F47A99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Passive Perception</t>
        </r>
      </text>
    </comment>
    <comment ref="H4" authorId="0" shapeId="0" xr:uid="{EBE196F6-920A-495A-A0DA-7F61342D2E11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Armor Class</t>
        </r>
      </text>
    </comment>
    <comment ref="I4" authorId="0" shapeId="0" xr:uid="{1B796DA6-3474-4149-9E45-99FB989BDBB6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Difficulty Class for spells/abilities/etc.</t>
        </r>
      </text>
    </comment>
    <comment ref="Q4" authorId="0" shapeId="0" xr:uid="{8A840499-B4CE-4162-A0E5-ABE75D288E65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Level</t>
        </r>
      </text>
    </comment>
    <comment ref="V4" authorId="0" shapeId="0" xr:uid="{95643BAD-8A76-4BF2-A8A4-FA99E5765CA0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Challenge Rating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Calvin Jee</author>
  </authors>
  <commentList>
    <comment ref="B4" authorId="0" shapeId="0" xr:uid="{1B083C89-DA77-4322-8551-184E4C34512F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Initiative roll</t>
        </r>
      </text>
    </comment>
    <comment ref="F4" authorId="0" shapeId="0" xr:uid="{8E263392-0F69-4D1D-869E-20288D927436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stealth roll</t>
        </r>
      </text>
    </comment>
    <comment ref="G4" authorId="0" shapeId="0" xr:uid="{3161485D-F603-45DF-80E2-EE47C12247F0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Passive Perception</t>
        </r>
      </text>
    </comment>
    <comment ref="H4" authorId="0" shapeId="0" xr:uid="{F22E491B-58DD-440C-9B90-8223798EBC7E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Armor Class</t>
        </r>
      </text>
    </comment>
    <comment ref="I4" authorId="0" shapeId="0" xr:uid="{7FB60EED-974E-451F-8922-FC8B9634CCA3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Difficulty Class for spells/abilities/etc.</t>
        </r>
      </text>
    </comment>
    <comment ref="Q4" authorId="0" shapeId="0" xr:uid="{93FB7BFB-0EBB-4A91-83EC-CF107AD0AAEF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Level</t>
        </r>
      </text>
    </comment>
    <comment ref="V4" authorId="0" shapeId="0" xr:uid="{72382238-1C97-4E12-B16B-9DD37132DF47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Challenge Rating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Calvin Jee</author>
  </authors>
  <commentList>
    <comment ref="B4" authorId="0" shapeId="0" xr:uid="{63D1D237-2C78-426E-AFC1-2A4CD633FC5D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Initiative roll</t>
        </r>
      </text>
    </comment>
    <comment ref="F4" authorId="0" shapeId="0" xr:uid="{96002FDA-52F9-4B54-9438-00BE37D56606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stealth roll</t>
        </r>
      </text>
    </comment>
    <comment ref="G4" authorId="0" shapeId="0" xr:uid="{56A3E3B6-C0A2-455C-BDFB-86082CC7D74C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Passive Perception</t>
        </r>
      </text>
    </comment>
    <comment ref="H4" authorId="0" shapeId="0" xr:uid="{AA62E180-683C-4DC9-A9F9-A5883BBEBCBA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Armor Class</t>
        </r>
      </text>
    </comment>
    <comment ref="I4" authorId="0" shapeId="0" xr:uid="{7A984E21-8EA5-48C4-9E5A-C2273FF55734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Difficulty Class for spells/abilities/etc.</t>
        </r>
      </text>
    </comment>
    <comment ref="Q4" authorId="0" shapeId="0" xr:uid="{9D626F74-5150-4722-85BF-349E9D605057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Level</t>
        </r>
      </text>
    </comment>
    <comment ref="V4" authorId="0" shapeId="0" xr:uid="{05814E10-3D48-4995-A1EF-80299D5462C2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Challenge Rating</t>
        </r>
      </text>
    </comment>
  </commentList>
</comments>
</file>

<file path=xl/sharedStrings.xml><?xml version="1.0" encoding="utf-8"?>
<sst xmlns="http://schemas.openxmlformats.org/spreadsheetml/2006/main" count="2815" uniqueCount="463">
  <si>
    <t>Initiative</t>
  </si>
  <si>
    <t>Armor Class</t>
  </si>
  <si>
    <t>Stealth</t>
  </si>
  <si>
    <t>Passive Perception</t>
  </si>
  <si>
    <t>Total HP</t>
  </si>
  <si>
    <t>User</t>
  </si>
  <si>
    <t>Bluebeard</t>
  </si>
  <si>
    <t>Mods</t>
  </si>
  <si>
    <t>Life</t>
  </si>
  <si>
    <t>Wolf</t>
  </si>
  <si>
    <t>Buttons</t>
  </si>
  <si>
    <t>Total HP (multiplier)</t>
  </si>
  <si>
    <t>Attack Roll Bonus</t>
  </si>
  <si>
    <t>Spell Attack Bonus</t>
  </si>
  <si>
    <t>Bugbear</t>
  </si>
  <si>
    <t>Goblin</t>
  </si>
  <si>
    <t>Redbrand Ruffian</t>
  </si>
  <si>
    <t>Ghoul</t>
  </si>
  <si>
    <t>Hobgoblin</t>
  </si>
  <si>
    <t>XP</t>
  </si>
  <si>
    <t>Encounter</t>
  </si>
  <si>
    <t>Challenge Rating</t>
  </si>
  <si>
    <t xml:space="preserve"> </t>
  </si>
  <si>
    <t>Evil Mage</t>
  </si>
  <si>
    <t>Orc</t>
  </si>
  <si>
    <t>Skeleton</t>
  </si>
  <si>
    <t>Twig Blight</t>
  </si>
  <si>
    <t>Zombie</t>
  </si>
  <si>
    <t>Giant Spider</t>
  </si>
  <si>
    <t>Nothic</t>
  </si>
  <si>
    <t>Young Green Dragon</t>
  </si>
  <si>
    <t>Total XP</t>
  </si>
  <si>
    <t>Per XP</t>
  </si>
  <si>
    <t>Level</t>
  </si>
  <si>
    <t>Ogre</t>
  </si>
  <si>
    <t>Encounter Difficulty</t>
  </si>
  <si>
    <t>Easy</t>
  </si>
  <si>
    <t>Medium</t>
  </si>
  <si>
    <t>Hard</t>
  </si>
  <si>
    <t>Battle Summary</t>
  </si>
  <si>
    <t>Deadly</t>
  </si>
  <si>
    <t>Encounter Details</t>
  </si>
  <si>
    <t>Calculated XP Difficulty</t>
  </si>
  <si>
    <t>ENCOUNTER DIFFICULTY XP</t>
  </si>
  <si>
    <t>ENEMY CR STATS</t>
  </si>
  <si>
    <t>Prof. Bonus</t>
  </si>
  <si>
    <t>Player Level</t>
  </si>
  <si>
    <t>Cultist</t>
  </si>
  <si>
    <t>Owlbear</t>
  </si>
  <si>
    <t>Stirge</t>
  </si>
  <si>
    <t>Grick</t>
  </si>
  <si>
    <t>Doppleganger</t>
  </si>
  <si>
    <t>Ochre Jelly</t>
  </si>
  <si>
    <t>Flameskull</t>
  </si>
  <si>
    <t>Commoner</t>
  </si>
  <si>
    <t>Spectator</t>
  </si>
  <si>
    <t>Temp HP</t>
  </si>
  <si>
    <t>Hamun Kost</t>
  </si>
  <si>
    <t>Nezznar</t>
  </si>
  <si>
    <t>Wraith</t>
  </si>
  <si>
    <t>Ettin</t>
  </si>
  <si>
    <t>Goat</t>
  </si>
  <si>
    <t>Giant Goat</t>
  </si>
  <si>
    <t>Giant Elk</t>
  </si>
  <si>
    <t>Elk</t>
  </si>
  <si>
    <t>Minotaur Skeleton</t>
  </si>
  <si>
    <t>Ghast</t>
  </si>
  <si>
    <t>Shadow</t>
  </si>
  <si>
    <t>Swarm of Insects</t>
  </si>
  <si>
    <t>Swarm of Bats</t>
  </si>
  <si>
    <t>Imp</t>
  </si>
  <si>
    <t>Faerie Dragon (Blue)</t>
  </si>
  <si>
    <t>Faerie Dragon (Green)</t>
  </si>
  <si>
    <t>Faerie Dragon (Indigo)</t>
  </si>
  <si>
    <t>Faerie Dragon (Violet)</t>
  </si>
  <si>
    <t>Faerie Dragon (Orange)</t>
  </si>
  <si>
    <t>Faerie Dragon (Yellow)</t>
  </si>
  <si>
    <t>Faerie Dragon (Red)</t>
  </si>
  <si>
    <t>Peryton</t>
  </si>
  <si>
    <t>Revenant</t>
  </si>
  <si>
    <t>Wight</t>
  </si>
  <si>
    <t>Nimble Skeleton</t>
  </si>
  <si>
    <t>Specter</t>
  </si>
  <si>
    <t>Save DC</t>
  </si>
  <si>
    <t>Cult Fanatic</t>
  </si>
  <si>
    <t>Animated Armor</t>
  </si>
  <si>
    <t>Ogre Zombie</t>
  </si>
  <si>
    <t>Homunculus</t>
  </si>
  <si>
    <t>Helmed Horror</t>
  </si>
  <si>
    <t>Displacer Beast</t>
  </si>
  <si>
    <t>Flying Instrument</t>
  </si>
  <si>
    <t>Rug of Smothering</t>
  </si>
  <si>
    <t>Flying Sword</t>
  </si>
  <si>
    <t>Scarecrow</t>
  </si>
  <si>
    <t>Oni</t>
  </si>
  <si>
    <t>Goblin Boss</t>
  </si>
  <si>
    <t>Ghost</t>
  </si>
  <si>
    <t>Werewolf</t>
  </si>
  <si>
    <t>Shadow Demon</t>
  </si>
  <si>
    <t>Banshee</t>
  </si>
  <si>
    <t>Flesh Golem</t>
  </si>
  <si>
    <t>Beholder Zombie</t>
  </si>
  <si>
    <t>Mimic</t>
  </si>
  <si>
    <t>Gargoyle</t>
  </si>
  <si>
    <t>Invisible Stalker</t>
  </si>
  <si>
    <t>Arthindol</t>
  </si>
  <si>
    <t>Type</t>
  </si>
  <si>
    <t>Single</t>
  </si>
  <si>
    <t>Pair</t>
  </si>
  <si>
    <t>Group</t>
  </si>
  <si>
    <t>Gang</t>
  </si>
  <si>
    <t>Mob</t>
  </si>
  <si>
    <t>Horde</t>
  </si>
  <si>
    <t>1</t>
  </si>
  <si>
    <t>2</t>
  </si>
  <si>
    <t>3-6</t>
  </si>
  <si>
    <t>7-10</t>
  </si>
  <si>
    <t>11-14</t>
  </si>
  <si>
    <t>15+</t>
  </si>
  <si>
    <t>Party Size</t>
  </si>
  <si>
    <t>Mob Size</t>
  </si>
  <si>
    <t>Med</t>
  </si>
  <si>
    <t>Small</t>
  </si>
  <si>
    <t>Large</t>
  </si>
  <si>
    <t>Count</t>
  </si>
  <si>
    <t>(1-2)</t>
  </si>
  <si>
    <t>(3-5)</t>
  </si>
  <si>
    <t>(6-8)</t>
  </si>
  <si>
    <t>ADJUSTED XP</t>
  </si>
  <si>
    <t>Easy Deviation</t>
  </si>
  <si>
    <t>Medium Deviation</t>
  </si>
  <si>
    <t>Hard Deviation</t>
  </si>
  <si>
    <t>Deadly Deviation</t>
  </si>
  <si>
    <t>Average Deviation</t>
  </si>
  <si>
    <t>Party Member</t>
  </si>
  <si>
    <t>Player 1</t>
  </si>
  <si>
    <t>Player 2</t>
  </si>
  <si>
    <t>Player 3</t>
  </si>
  <si>
    <t>Player 4</t>
  </si>
  <si>
    <t>-</t>
  </si>
  <si>
    <t>(Easy)</t>
  </si>
  <si>
    <t>(Medium)</t>
  </si>
  <si>
    <t>(Hard)</t>
  </si>
  <si>
    <t>(Deadly)</t>
  </si>
  <si>
    <t>Party Name</t>
  </si>
  <si>
    <t>Base Party (Zero Comparison)</t>
  </si>
  <si>
    <t>P1</t>
  </si>
  <si>
    <t>P2</t>
  </si>
  <si>
    <t>A</t>
  </si>
  <si>
    <t>B</t>
  </si>
  <si>
    <t>e</t>
  </si>
  <si>
    <t>g</t>
  </si>
  <si>
    <t>d</t>
  </si>
  <si>
    <t>f</t>
  </si>
  <si>
    <t>+1 Level</t>
  </si>
  <si>
    <t>+1 (Easy)</t>
  </si>
  <si>
    <t>+1 (Medium)</t>
  </si>
  <si>
    <t>+1 (Hard)</t>
  </si>
  <si>
    <t>+1 (Deadly)</t>
  </si>
  <si>
    <t>+1 Easy</t>
  </si>
  <si>
    <t>+1 Medium</t>
  </si>
  <si>
    <t>+1 Hard</t>
  </si>
  <si>
    <t>+1 Deadly</t>
  </si>
  <si>
    <t>+1 Easy Deviation</t>
  </si>
  <si>
    <t>+1 Medium Deviation</t>
  </si>
  <si>
    <t>+1 Hard Deviation</t>
  </si>
  <si>
    <t>+1 Deadly Deviation</t>
  </si>
  <si>
    <t>+1 Average Deviation</t>
  </si>
  <si>
    <t>+3 Level</t>
  </si>
  <si>
    <t>+3 (Easy)</t>
  </si>
  <si>
    <t>+3 (Medium)</t>
  </si>
  <si>
    <t>+3 (Hard)</t>
  </si>
  <si>
    <t>+3 (Deadly)</t>
  </si>
  <si>
    <t>+3 Easy</t>
  </si>
  <si>
    <t>+3 Medium</t>
  </si>
  <si>
    <t>+3 Hard</t>
  </si>
  <si>
    <t>+3 Deadly</t>
  </si>
  <si>
    <t>+3 Easy Deviation</t>
  </si>
  <si>
    <t>+3 Medium Deviation</t>
  </si>
  <si>
    <t>+3 Hard Deviation</t>
  </si>
  <si>
    <t>+3 Deadly Deviation</t>
  </si>
  <si>
    <t>+3 Average Deviation</t>
  </si>
  <si>
    <t>+4 Level</t>
  </si>
  <si>
    <t>+4 (Easy)</t>
  </si>
  <si>
    <t>+4 (Medium)</t>
  </si>
  <si>
    <t>+4 (Hard)</t>
  </si>
  <si>
    <t>+4 (Deadly)</t>
  </si>
  <si>
    <t>+4 Easy</t>
  </si>
  <si>
    <t>+4 Medium</t>
  </si>
  <si>
    <t>+4 Hard</t>
  </si>
  <si>
    <t>+4 Deadly</t>
  </si>
  <si>
    <t>+4 Easy Deviation</t>
  </si>
  <si>
    <t>+4 Medium Deviation</t>
  </si>
  <si>
    <t>+4 Hard Deviation</t>
  </si>
  <si>
    <t>+4 Deadly Deviation</t>
  </si>
  <si>
    <t>+4 Average Deviation</t>
  </si>
  <si>
    <t>+2 Level</t>
  </si>
  <si>
    <t>+2 (Easy)</t>
  </si>
  <si>
    <t>+2 (Medium)</t>
  </si>
  <si>
    <t>+2 (Hard)</t>
  </si>
  <si>
    <t>+2 (Deadly)</t>
  </si>
  <si>
    <t>+2 Easy</t>
  </si>
  <si>
    <t>+2 Medium</t>
  </si>
  <si>
    <t>+2 Hard</t>
  </si>
  <si>
    <t>+2 Deadly</t>
  </si>
  <si>
    <t>+2 Easy Deviation</t>
  </si>
  <si>
    <t>+2 Medium Deviation</t>
  </si>
  <si>
    <t>+2 Hard Deviation</t>
  </si>
  <si>
    <t>+2 Deadly Deviation</t>
  </si>
  <si>
    <t>+2 Average Deviation</t>
  </si>
  <si>
    <t>Total Starting Level</t>
  </si>
  <si>
    <t>Relative Starting Difficulty</t>
  </si>
  <si>
    <t>Difficulty for +3 Levels</t>
  </si>
  <si>
    <t>Difficulty for +2 Levels</t>
  </si>
  <si>
    <t>Difficulty for +1 Levels</t>
  </si>
  <si>
    <t>PARTY DETAILS</t>
  </si>
  <si>
    <t>MOB</t>
  </si>
  <si>
    <t>STARTING LEVEL</t>
  </si>
  <si>
    <t>+1 LEVEL</t>
  </si>
  <si>
    <t>+2 LEVELS</t>
  </si>
  <si>
    <t>+3 LEVELS</t>
  </si>
  <si>
    <t>+4 LEVELS</t>
  </si>
  <si>
    <t>Number of Members</t>
  </si>
  <si>
    <t>a</t>
  </si>
  <si>
    <t>Mob Count</t>
  </si>
  <si>
    <t>F</t>
  </si>
  <si>
    <t>E</t>
  </si>
  <si>
    <t>D</t>
  </si>
  <si>
    <t>3, 3</t>
  </si>
  <si>
    <t>2, 2, 2</t>
  </si>
  <si>
    <t>2, 2</t>
  </si>
  <si>
    <t>1, 1, 1, 1</t>
  </si>
  <si>
    <t>2, 2, 1</t>
  </si>
  <si>
    <t>Difficulty for +4 Levels</t>
  </si>
  <si>
    <t>Round</t>
  </si>
  <si>
    <t>Party Stealth</t>
  </si>
  <si>
    <t>Party</t>
  </si>
  <si>
    <t>Party Perc
(Passive)</t>
  </si>
  <si>
    <t>Party Perc
(Active)</t>
  </si>
  <si>
    <t>Mob Stealth</t>
  </si>
  <si>
    <t>Group Contests</t>
  </si>
  <si>
    <t>Other Contest</t>
  </si>
  <si>
    <t>Mob Perc (Passive)</t>
  </si>
  <si>
    <t>Mob Perc (Active)</t>
  </si>
  <si>
    <t>ENCOUNTER TRACKER</t>
  </si>
  <si>
    <t>Init</t>
  </si>
  <si>
    <t>Pass Perc</t>
  </si>
  <si>
    <t>AC</t>
  </si>
  <si>
    <t>CR</t>
  </si>
  <si>
    <t>2, 1, 1</t>
  </si>
  <si>
    <t>NPC</t>
  </si>
  <si>
    <t>Current HP</t>
  </si>
  <si>
    <t>Characters</t>
  </si>
  <si>
    <t>✓</t>
  </si>
  <si>
    <t>ENEMY MODIFIERS</t>
  </si>
  <si>
    <t>Status/Notes</t>
  </si>
  <si>
    <t xml:space="preserve"> Slain by Venomfang</t>
  </si>
  <si>
    <t>Perished in the great Wave Echo Cave collapse</t>
  </si>
  <si>
    <t>Lvl</t>
  </si>
  <si>
    <t>Dmg Taken</t>
  </si>
  <si>
    <t>Character/Creature</t>
  </si>
  <si>
    <t>Atk Roll</t>
  </si>
  <si>
    <t>Spell Atk</t>
  </si>
  <si>
    <t>XP Award</t>
  </si>
  <si>
    <t>Character Level</t>
  </si>
  <si>
    <t>CREATURE/CHARACTER DATABASE</t>
  </si>
  <si>
    <t>Base HP</t>
  </si>
  <si>
    <t>_Daniel</t>
  </si>
  <si>
    <t>_Rita</t>
  </si>
  <si>
    <t>Veteran</t>
  </si>
  <si>
    <t>Giant Octopus</t>
  </si>
  <si>
    <t>_Dan</t>
  </si>
  <si>
    <t>Drat</t>
  </si>
  <si>
    <t>_Jake</t>
  </si>
  <si>
    <t>_Steve</t>
  </si>
  <si>
    <t>Mikanae</t>
  </si>
  <si>
    <t>_Eric</t>
  </si>
  <si>
    <t>Glasstaff</t>
  </si>
  <si>
    <t>Orsik</t>
  </si>
  <si>
    <t>Dain</t>
  </si>
  <si>
    <t>Wulff</t>
  </si>
  <si>
    <t>Darwin</t>
  </si>
  <si>
    <t>Sully</t>
  </si>
  <si>
    <t>Source</t>
  </si>
  <si>
    <t>Death Dog</t>
  </si>
  <si>
    <t>MM (321)</t>
  </si>
  <si>
    <t>MM (148)</t>
  </si>
  <si>
    <t>MM (147)</t>
  </si>
  <si>
    <t>MM (316)</t>
  </si>
  <si>
    <t>MM (239)</t>
  </si>
  <si>
    <t>MM (64)</t>
  </si>
  <si>
    <t>MM (279)</t>
  </si>
  <si>
    <t>MM (300)</t>
  </si>
  <si>
    <t>Guggen</t>
  </si>
  <si>
    <t>Valkyrie</t>
  </si>
  <si>
    <t>Home</t>
  </si>
  <si>
    <t>Engg</t>
  </si>
  <si>
    <t>Aurochs</t>
  </si>
  <si>
    <t>VGM (207)</t>
  </si>
  <si>
    <t>Polar Bear</t>
  </si>
  <si>
    <t>MM (334)</t>
  </si>
  <si>
    <t>Winter Wolf</t>
  </si>
  <si>
    <t>MM (340)</t>
  </si>
  <si>
    <t>14, 12</t>
  </si>
  <si>
    <t>Saber-Toothed Tiger</t>
  </si>
  <si>
    <t>MM (336)</t>
  </si>
  <si>
    <t>Troll</t>
  </si>
  <si>
    <t>MM (291)</t>
  </si>
  <si>
    <t>Mammoth</t>
  </si>
  <si>
    <t>MM (332)</t>
  </si>
  <si>
    <t>Young Remorhaz</t>
  </si>
  <si>
    <t>MM (258)</t>
  </si>
  <si>
    <t>Remorhaz</t>
  </si>
  <si>
    <t>Ice Mephit</t>
  </si>
  <si>
    <t>MM (215)</t>
  </si>
  <si>
    <t>Awakened Tree</t>
  </si>
  <si>
    <t>MM (317)</t>
  </si>
  <si>
    <t>Griffon</t>
  </si>
  <si>
    <t>MM (174)</t>
  </si>
  <si>
    <t>MM (251)</t>
  </si>
  <si>
    <t>Leucrotta</t>
  </si>
  <si>
    <t>VGM (169)</t>
  </si>
  <si>
    <t>Gorgon</t>
  </si>
  <si>
    <t>MM (171)</t>
  </si>
  <si>
    <t>16, 13</t>
  </si>
  <si>
    <t>Needle Blight</t>
  </si>
  <si>
    <t>MM (32)</t>
  </si>
  <si>
    <t>Vine Blight</t>
  </si>
  <si>
    <t>MM (322)</t>
  </si>
  <si>
    <t>MM (325)</t>
  </si>
  <si>
    <t>Draft Horse</t>
  </si>
  <si>
    <t>MM (323)</t>
  </si>
  <si>
    <t>MM (329)</t>
  </si>
  <si>
    <t>Pony</t>
  </si>
  <si>
    <t>MM (335)</t>
  </si>
  <si>
    <t>Hyena</t>
  </si>
  <si>
    <t>MM (331)</t>
  </si>
  <si>
    <t>Giant Hyena</t>
  </si>
  <si>
    <t>MM (326)</t>
  </si>
  <si>
    <t>Badger</t>
  </si>
  <si>
    <t>MM (318)</t>
  </si>
  <si>
    <t>Giant Badger</t>
  </si>
  <si>
    <t>Eagle</t>
  </si>
  <si>
    <t>Giant Eagle</t>
  </si>
  <si>
    <t>MM (324)</t>
  </si>
  <si>
    <t>Vulture</t>
  </si>
  <si>
    <t>MM (339)</t>
  </si>
  <si>
    <t>Giant Vulture</t>
  </si>
  <si>
    <t>(Mod)</t>
  </si>
  <si>
    <t>Hunter Shark</t>
  </si>
  <si>
    <t>Giant Constrictor Snake</t>
  </si>
  <si>
    <t>Cave Bear</t>
  </si>
  <si>
    <t>MM (19)</t>
  </si>
  <si>
    <t>MM (169)</t>
  </si>
  <si>
    <t>CUSTOM</t>
  </si>
  <si>
    <t>MM (20)</t>
  </si>
  <si>
    <t>MM (183)</t>
  </si>
  <si>
    <t>MM (192)</t>
  </si>
  <si>
    <t>MM (33)</t>
  </si>
  <si>
    <t>Bugbear Chief</t>
  </si>
  <si>
    <t>Chuul Spore Servant</t>
  </si>
  <si>
    <t>OotA (228)</t>
  </si>
  <si>
    <t>Drow</t>
  </si>
  <si>
    <t>MM (128)</t>
  </si>
  <si>
    <t>Drow Elite Warrior</t>
  </si>
  <si>
    <t>MM (166)</t>
  </si>
  <si>
    <t>MM (186)</t>
  </si>
  <si>
    <t>Hobgoblin Captain</t>
  </si>
  <si>
    <t>Myconid Adult</t>
  </si>
  <si>
    <t>MM (232)</t>
  </si>
  <si>
    <t xml:space="preserve">- Invisible -- </t>
  </si>
  <si>
    <t>Myconid Sovereign</t>
  </si>
  <si>
    <t>Myconid Sprout</t>
  </si>
  <si>
    <t>MM (230)</t>
  </si>
  <si>
    <t>Shrieker</t>
  </si>
  <si>
    <t>MM (138)</t>
  </si>
  <si>
    <t>Darwin (WS)</t>
  </si>
  <si>
    <t>Violet Fungus</t>
  </si>
  <si>
    <t>Add Stat</t>
  </si>
  <si>
    <t>Mod Dmg</t>
  </si>
  <si>
    <t>- Mage Armor</t>
  </si>
  <si>
    <t>- Lycan Curse</t>
  </si>
  <si>
    <t>- Netherilian Curse</t>
  </si>
  <si>
    <t>20-S</t>
  </si>
  <si>
    <t>16-S</t>
  </si>
  <si>
    <t>14-MA</t>
  </si>
  <si>
    <t>- Collar 2</t>
  </si>
  <si>
    <t>- Collar 1
- Cold Resist</t>
  </si>
  <si>
    <t>Water Weird</t>
  </si>
  <si>
    <t>MM (299)</t>
  </si>
  <si>
    <t>MM (125)</t>
  </si>
  <si>
    <t>Water Elemental</t>
  </si>
  <si>
    <t>Hook Horror Spore Servant</t>
  </si>
  <si>
    <t>OotA (229)</t>
  </si>
  <si>
    <t>Steam Mephit</t>
  </si>
  <si>
    <t>Yeti</t>
  </si>
  <si>
    <t>MM (305)</t>
  </si>
  <si>
    <t>Pleiosaurus</t>
  </si>
  <si>
    <t>MM (80)</t>
  </si>
  <si>
    <t>Myconid Corrupter</t>
  </si>
  <si>
    <t>MM (217)</t>
  </si>
  <si>
    <t>Sea Hag</t>
  </si>
  <si>
    <t>MM (302)</t>
  </si>
  <si>
    <t>Flumph</t>
  </si>
  <si>
    <t>MM (135)</t>
  </si>
  <si>
    <t>Gas Spore</t>
  </si>
  <si>
    <t>VGM (125)</t>
  </si>
  <si>
    <t>VGM (124)</t>
  </si>
  <si>
    <t>Gauth</t>
  </si>
  <si>
    <t>Death Kiss</t>
  </si>
  <si>
    <t>Sea Hag (Coven)</t>
  </si>
  <si>
    <t>Hag Eye (Sea)</t>
  </si>
  <si>
    <t>MM (176)</t>
  </si>
  <si>
    <t>OotA (233)</t>
  </si>
  <si>
    <t>Couatl</t>
  </si>
  <si>
    <t>MM (43)</t>
  </si>
  <si>
    <t>Bheur Hag</t>
  </si>
  <si>
    <t>VGM (160)</t>
  </si>
  <si>
    <t>Penguin</t>
  </si>
  <si>
    <t>MM (259)</t>
  </si>
  <si>
    <t>MM (272)</t>
  </si>
  <si>
    <t>MM (273)</t>
  </si>
  <si>
    <t>Hadrosaurus</t>
  </si>
  <si>
    <t>VGM (140)</t>
  </si>
  <si>
    <t>Pteranodon</t>
  </si>
  <si>
    <t>Quetzalcoatlus</t>
  </si>
  <si>
    <t>Allosaurus</t>
  </si>
  <si>
    <t>MM (79)</t>
  </si>
  <si>
    <t>MM (23)</t>
  </si>
  <si>
    <t>Mud Mephit</t>
  </si>
  <si>
    <t>MM (216)</t>
  </si>
  <si>
    <t>Grung</t>
  </si>
  <si>
    <t>VGM (156)</t>
  </si>
  <si>
    <t>Grung Elite Warrior</t>
  </si>
  <si>
    <t>VGM (157)</t>
  </si>
  <si>
    <t>Grung Wildling</t>
  </si>
  <si>
    <t>Giant Frog</t>
  </si>
  <si>
    <t>Giant Toad</t>
  </si>
  <si>
    <t>Banderhobb</t>
  </si>
  <si>
    <t>VGM (122)</t>
  </si>
  <si>
    <t>Dolphin</t>
  </si>
  <si>
    <t>VGM (208)</t>
  </si>
  <si>
    <t>Giant Shark</t>
  </si>
  <si>
    <t>MM (328)</t>
  </si>
  <si>
    <t>Killer Whale</t>
  </si>
  <si>
    <t>Kraken Priest</t>
  </si>
  <si>
    <t>VGM (215)</t>
  </si>
  <si>
    <t>Quipper (Swarm)</t>
  </si>
  <si>
    <t>MM (338)</t>
  </si>
  <si>
    <t>Quipper</t>
  </si>
  <si>
    <t>Chuul</t>
  </si>
  <si>
    <t>Hook Horror</t>
  </si>
  <si>
    <t>MM (40)</t>
  </si>
  <si>
    <t>MM (189)</t>
  </si>
  <si>
    <t>Trap</t>
  </si>
  <si>
    <t>_Player</t>
  </si>
  <si>
    <t>1S</t>
  </si>
  <si>
    <t>(empty)</t>
  </si>
  <si>
    <t>Worg</t>
  </si>
  <si>
    <t>Cranium Rat</t>
  </si>
  <si>
    <t>Cranium Rat (Swarm)</t>
  </si>
  <si>
    <t>MM (341)</t>
  </si>
  <si>
    <t>VGM (133)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</si>
</sst>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;\-0;;@"/>
    <numFmt numFmtId="165" formatCode="0_ ;\-0\ "/>
  </numFmts>
  <fonts count="20" x14ac:knownFonts="1">
    <font>
      <sz val="12"/>
      <color theme="1"/>
      <name val="Helvetica"/>
    </font>
    <font>
      <sz val="12"/>
      <color theme="1"/>
      <name val="Helvetica"/>
    </font>
    <font>
      <sz val="16"/>
      <color theme="1"/>
      <name val="Helvetica"/>
    </font>
    <font>
      <sz val="14"/>
      <color theme="1"/>
      <name val="Helvetica"/>
    </font>
    <font>
      <b/>
      <sz val="16"/>
      <color theme="1"/>
      <name val="Helvetica"/>
    </font>
    <font>
      <b/>
      <sz val="12"/>
      <color theme="1"/>
      <name val="Helvetica"/>
    </font>
    <font>
      <i/>
      <sz val="16"/>
      <color theme="1"/>
      <name val="Helvetica"/>
    </font>
    <font>
      <b/>
      <i/>
      <sz val="12"/>
      <color theme="1"/>
      <name val="Helvetica"/>
    </font>
    <font>
      <i/>
      <sz val="12"/>
      <color theme="1"/>
      <name val="Helvetica"/>
    </font>
    <font>
      <b/>
      <sz val="15"/>
      <color theme="1"/>
      <name val="Helvetica"/>
    </font>
    <font>
      <i/>
      <u/>
      <sz val="12"/>
      <color theme="1"/>
      <name val="Helvetica"/>
    </font>
    <font>
      <sz val="8"/>
      <color theme="1"/>
      <name val="Helvetica"/>
    </font>
    <font>
      <sz val="25"/>
      <color theme="1"/>
      <name val="Helvetica"/>
    </font>
    <font>
      <i/>
      <sz val="25"/>
      <color theme="1"/>
      <name val="Helvetica"/>
    </font>
    <font>
      <i/>
      <sz val="15"/>
      <color theme="1"/>
      <name val="Helvetica"/>
    </font>
    <font>
      <sz val="11"/>
      <color rgb="FF000000"/>
      <name val="Helvetica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2"/>
      <color theme="1" tint="0.499984740745262"/>
      <name val="Helvetica"/>
    </font>
    <font>
      <i/>
      <sz val="8"/>
      <color theme="1" tint="0.499984740745262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59999389629810485"/>
        </stop>
        <stop position="0.5">
          <color theme="4" tint="0.80001220740379042"/>
        </stop>
        <stop position="1">
          <color theme="4" tint="0.59999389629810485"/>
        </stop>
      </gradientFill>
    </fill>
    <fill>
      <gradientFill degree="90">
        <stop position="0">
          <color theme="7" tint="0.59999389629810485"/>
        </stop>
        <stop position="0.5">
          <color theme="7" tint="0.80001220740379042"/>
        </stop>
        <stop position="1">
          <color theme="7" tint="0.59999389629810485"/>
        </stop>
      </gradientFill>
    </fill>
    <fill>
      <gradientFill degree="90">
        <stop position="0">
          <color theme="0" tint="-0.1490218817712943"/>
        </stop>
        <stop position="0.5">
          <color theme="0" tint="-5.0965910824915313E-2"/>
        </stop>
        <stop position="1">
          <color theme="0" tint="-0.1490218817712943"/>
        </stop>
      </gradientFill>
    </fill>
    <fill>
      <gradientFill degree="90">
        <stop position="0">
          <color theme="0" tint="-5.0965910824915313E-2"/>
        </stop>
        <stop position="0.5">
          <color theme="0"/>
        </stop>
        <stop position="1">
          <color theme="0" tint="-5.0965910824915313E-2"/>
        </stop>
      </gradientFill>
    </fill>
  </fills>
  <borders count="4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 style="medium">
        <color auto="1"/>
      </bottom>
      <diagonal/>
    </border>
  </borders>
  <cellStyleXfs count="5">
    <xf numFmtId="0" fontId="0" fillId="0" borderId="0" applyNumberFormat="0" applyFont="0" applyBorder="0">
      <alignment horizontal="center" vertical="center" wrapText="1"/>
    </xf>
    <xf numFmtId="0" fontId="1" fillId="4" borderId="0" applyNumberFormat="0" applyBorder="0" applyAlignment="0" applyProtection="0">
      <alignment horizontal="center" vertical="center"/>
    </xf>
    <xf numFmtId="0" fontId="1" fillId="3" borderId="0" applyNumberFormat="0" applyFont="0" applyBorder="0" applyAlignment="0" applyProtection="0">
      <alignment horizontal="center" vertical="center" wrapText="1"/>
    </xf>
    <xf numFmtId="0" fontId="1" fillId="5" borderId="0" applyNumberFormat="0" applyFont="0" applyBorder="0" applyAlignment="0" applyProtection="0">
      <alignment horizontal="center" vertical="center" wrapText="1"/>
    </xf>
    <xf numFmtId="164" fontId="1" fillId="6" borderId="0" applyNumberFormat="0" applyFont="0" applyBorder="0" applyAlignment="0">
      <alignment horizontal="center" vertical="center" wrapText="1"/>
    </xf>
  </cellStyleXfs>
  <cellXfs count="253">
    <xf numFmtId="0" fontId="0" fillId="0" borderId="0" xfId="0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0" xfId="0" applyFont="1" applyBorder="1" applyAlignment="1">
      <alignment wrapText="1"/>
    </xf>
    <xf numFmtId="0" fontId="3" fillId="0" borderId="0" xfId="0" applyFont="1" applyAlignment="1">
      <alignment wrapText="1"/>
    </xf>
    <xf numFmtId="0" fontId="5" fillId="0" borderId="10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wrapText="1"/>
    </xf>
    <xf numFmtId="0" fontId="1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5" fillId="0" borderId="13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wrapText="1"/>
    </xf>
    <xf numFmtId="1" fontId="1" fillId="0" borderId="4" xfId="0" applyNumberFormat="1" applyFont="1" applyBorder="1" applyAlignment="1">
      <alignment horizontal="center" wrapText="1"/>
    </xf>
    <xf numFmtId="1" fontId="1" fillId="0" borderId="15" xfId="0" applyNumberFormat="1" applyFont="1" applyBorder="1" applyAlignment="1">
      <alignment horizontal="center" wrapText="1"/>
    </xf>
    <xf numFmtId="12" fontId="1" fillId="0" borderId="9" xfId="0" applyNumberFormat="1" applyFont="1" applyBorder="1" applyAlignment="1">
      <alignment horizontal="center" vertical="center" wrapText="1"/>
    </xf>
    <xf numFmtId="164" fontId="5" fillId="0" borderId="2" xfId="0" applyNumberFormat="1" applyFont="1" applyBorder="1" applyAlignment="1">
      <alignment horizontal="center" vertical="center" wrapText="1"/>
    </xf>
    <xf numFmtId="164" fontId="1" fillId="0" borderId="0" xfId="0" applyNumberFormat="1" applyFont="1" applyAlignment="1">
      <alignment wrapText="1"/>
    </xf>
    <xf numFmtId="17" fontId="5" fillId="0" borderId="10" xfId="0" quotePrefix="1" applyNumberFormat="1" applyFont="1" applyBorder="1" applyAlignment="1">
      <alignment horizontal="center" vertical="center" wrapText="1"/>
    </xf>
    <xf numFmtId="16" fontId="5" fillId="0" borderId="10" xfId="0" quotePrefix="1" applyNumberFormat="1" applyFont="1" applyBorder="1" applyAlignment="1">
      <alignment horizontal="center" vertical="center" wrapText="1"/>
    </xf>
    <xf numFmtId="0" fontId="5" fillId="0" borderId="10" xfId="0" quotePrefix="1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49" fontId="8" fillId="0" borderId="0" xfId="0" quotePrefix="1" applyNumberFormat="1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9" fontId="1" fillId="0" borderId="0" xfId="0" applyNumberFormat="1" applyFont="1" applyBorder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0" fontId="1" fillId="0" borderId="0" xfId="0" applyFo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1" fillId="0" borderId="9" xfId="0" quotePrefix="1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0" fontId="1" fillId="0" borderId="17" xfId="0" quotePrefix="1" applyFont="1" applyBorder="1" applyAlignment="1">
      <alignment horizontal="center" vertical="center"/>
    </xf>
    <xf numFmtId="0" fontId="1" fillId="0" borderId="0" xfId="0" quotePrefix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9" fontId="1" fillId="0" borderId="15" xfId="0" applyNumberFormat="1" applyFont="1" applyBorder="1" applyAlignment="1">
      <alignment horizontal="center" vertical="center"/>
    </xf>
    <xf numFmtId="0" fontId="1" fillId="0" borderId="15" xfId="0" quotePrefix="1" applyFont="1" applyBorder="1" applyAlignment="1">
      <alignment horizontal="center" vertical="center"/>
    </xf>
    <xf numFmtId="0" fontId="5" fillId="0" borderId="19" xfId="0" quotePrefix="1" applyFont="1" applyBorder="1" applyAlignment="1">
      <alignment horizontal="center" vertical="center"/>
    </xf>
    <xf numFmtId="0" fontId="5" fillId="0" borderId="16" xfId="0" quotePrefix="1" applyFont="1" applyBorder="1" applyAlignment="1">
      <alignment horizontal="center" vertical="center"/>
    </xf>
    <xf numFmtId="0" fontId="5" fillId="0" borderId="27" xfId="0" quotePrefix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2" xfId="0" quotePrefix="1" applyFont="1" applyBorder="1" applyAlignment="1">
      <alignment horizontal="center" vertical="center"/>
    </xf>
    <xf numFmtId="0" fontId="1" fillId="0" borderId="28" xfId="0" quotePrefix="1" applyFont="1" applyBorder="1" applyAlignment="1">
      <alignment horizontal="center" vertical="center"/>
    </xf>
    <xf numFmtId="0" fontId="1" fillId="0" borderId="29" xfId="0" quotePrefix="1" applyFont="1" applyBorder="1" applyAlignment="1">
      <alignment horizontal="center" vertical="center"/>
    </xf>
    <xf numFmtId="0" fontId="1" fillId="0" borderId="19" xfId="0" quotePrefix="1" applyFont="1" applyBorder="1" applyAlignment="1">
      <alignment horizontal="center" vertical="center"/>
    </xf>
    <xf numFmtId="0" fontId="1" fillId="0" borderId="16" xfId="0" quotePrefix="1" applyFont="1" applyBorder="1" applyAlignment="1">
      <alignment horizontal="center" vertical="center"/>
    </xf>
    <xf numFmtId="0" fontId="1" fillId="0" borderId="27" xfId="0" quotePrefix="1" applyFont="1" applyBorder="1" applyAlignment="1">
      <alignment horizontal="center" vertical="center"/>
    </xf>
    <xf numFmtId="9" fontId="1" fillId="0" borderId="31" xfId="0" applyNumberFormat="1" applyFont="1" applyBorder="1" applyAlignment="1">
      <alignment horizontal="center" vertical="center"/>
    </xf>
    <xf numFmtId="0" fontId="1" fillId="0" borderId="21" xfId="0" quotePrefix="1" applyFont="1" applyBorder="1" applyAlignment="1">
      <alignment horizontal="center" vertical="center"/>
    </xf>
    <xf numFmtId="0" fontId="5" fillId="0" borderId="30" xfId="0" quotePrefix="1" applyFont="1" applyBorder="1" applyAlignment="1">
      <alignment horizontal="center" vertical="center"/>
    </xf>
    <xf numFmtId="1" fontId="1" fillId="0" borderId="17" xfId="0" applyNumberFormat="1" applyFont="1" applyBorder="1" applyAlignment="1">
      <alignment horizontal="center" vertical="center"/>
    </xf>
    <xf numFmtId="1" fontId="1" fillId="0" borderId="31" xfId="0" applyNumberFormat="1" applyFont="1" applyBorder="1" applyAlignment="1">
      <alignment horizontal="center" vertical="center"/>
    </xf>
    <xf numFmtId="0" fontId="1" fillId="0" borderId="30" xfId="0" quotePrefix="1" applyFont="1" applyBorder="1" applyAlignment="1">
      <alignment horizontal="center" vertical="center"/>
    </xf>
    <xf numFmtId="9" fontId="1" fillId="0" borderId="32" xfId="0" applyNumberFormat="1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13" xfId="0" quotePrefix="1" applyFont="1" applyBorder="1" applyAlignment="1">
      <alignment horizontal="center" vertical="center"/>
    </xf>
    <xf numFmtId="0" fontId="5" fillId="0" borderId="10" xfId="0" quotePrefix="1" applyFont="1" applyBorder="1" applyAlignment="1">
      <alignment horizontal="center" vertical="center"/>
    </xf>
    <xf numFmtId="0" fontId="5" fillId="0" borderId="36" xfId="0" quotePrefix="1" applyFont="1" applyBorder="1" applyAlignment="1">
      <alignment horizontal="center" vertical="center"/>
    </xf>
    <xf numFmtId="0" fontId="5" fillId="0" borderId="37" xfId="0" quotePrefix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3" xfId="0" quotePrefix="1" applyFont="1" applyFill="1" applyBorder="1" applyAlignment="1">
      <alignment horizontal="center" vertical="center"/>
    </xf>
    <xf numFmtId="0" fontId="1" fillId="2" borderId="34" xfId="0" quotePrefix="1" applyFont="1" applyFill="1" applyBorder="1" applyAlignment="1">
      <alignment horizontal="center" vertical="center"/>
    </xf>
    <xf numFmtId="0" fontId="8" fillId="0" borderId="0" xfId="0" applyFont="1">
      <alignment horizontal="center" vertical="center" wrapText="1"/>
    </xf>
    <xf numFmtId="0" fontId="8" fillId="2" borderId="4" xfId="0" applyFont="1" applyFill="1" applyBorder="1" applyAlignment="1">
      <alignment horizontal="center" vertical="center"/>
    </xf>
    <xf numFmtId="0" fontId="8" fillId="2" borderId="4" xfId="0" quotePrefix="1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8" fillId="2" borderId="8" xfId="0" quotePrefix="1" applyFont="1" applyFill="1" applyBorder="1" applyAlignment="1">
      <alignment horizontal="center" vertical="center"/>
    </xf>
    <xf numFmtId="1" fontId="1" fillId="0" borderId="23" xfId="0" applyNumberFormat="1" applyFont="1" applyBorder="1" applyAlignment="1">
      <alignment horizontal="center" vertical="center"/>
    </xf>
    <xf numFmtId="0" fontId="1" fillId="0" borderId="23" xfId="0" quotePrefix="1" applyFont="1" applyBorder="1" applyAlignment="1">
      <alignment horizontal="center" vertical="center"/>
    </xf>
    <xf numFmtId="0" fontId="1" fillId="0" borderId="34" xfId="0" quotePrefix="1" applyFont="1" applyBorder="1" applyAlignment="1">
      <alignment horizontal="center" vertical="center"/>
    </xf>
    <xf numFmtId="0" fontId="5" fillId="0" borderId="0" xfId="0" pivotButton="1" applyFont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5" fillId="0" borderId="9" xfId="0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23" xfId="0" applyFont="1" applyBorder="1" applyAlignment="1" applyProtection="1">
      <alignment horizontal="center" vertical="center"/>
      <protection locked="0"/>
    </xf>
    <xf numFmtId="0" fontId="1" fillId="0" borderId="34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6" xfId="0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</xf>
    <xf numFmtId="0" fontId="1" fillId="0" borderId="22" xfId="0" applyFont="1" applyBorder="1" applyAlignment="1" applyProtection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12" fontId="1" fillId="0" borderId="0" xfId="0" applyNumberFormat="1" applyFont="1" applyFill="1" applyBorder="1" applyAlignment="1">
      <alignment horizontal="center" vertical="center" wrapText="1"/>
    </xf>
    <xf numFmtId="0" fontId="1" fillId="0" borderId="0" xfId="1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12" fontId="1" fillId="0" borderId="9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1" fillId="0" borderId="9" xfId="0" applyFont="1" applyBorder="1" applyAlignment="1">
      <alignment horizontal="left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" fillId="0" borderId="0" xfId="1" applyFont="1" applyFill="1" applyBorder="1" applyAlignment="1">
      <alignment horizontal="center" vertical="center" wrapText="1"/>
    </xf>
    <xf numFmtId="1" fontId="1" fillId="0" borderId="9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164" fontId="5" fillId="0" borderId="20" xfId="0" applyNumberFormat="1" applyFont="1" applyBorder="1" applyAlignment="1">
      <alignment horizontal="center" vertical="center" wrapText="1"/>
    </xf>
    <xf numFmtId="164" fontId="0" fillId="0" borderId="9" xfId="0" applyNumberFormat="1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1" fillId="0" borderId="17" xfId="0" applyNumberFormat="1" applyFont="1" applyFill="1" applyBorder="1" applyAlignment="1">
      <alignment horizontal="center" vertical="center" wrapText="1"/>
    </xf>
    <xf numFmtId="164" fontId="11" fillId="0" borderId="9" xfId="0" applyNumberFormat="1" applyFont="1" applyFill="1" applyBorder="1" applyAlignment="1">
      <alignment horizontal="left" vertical="center" wrapText="1"/>
    </xf>
    <xf numFmtId="0" fontId="1" fillId="0" borderId="30" xfId="0" applyFont="1" applyFill="1" applyBorder="1" applyAlignment="1">
      <alignment horizontal="center" vertical="center" wrapText="1"/>
    </xf>
    <xf numFmtId="0" fontId="0" fillId="0" borderId="30" xfId="0" applyFont="1" applyFill="1" applyBorder="1" applyAlignment="1">
      <alignment horizontal="center" vertical="center" wrapText="1"/>
    </xf>
    <xf numFmtId="0" fontId="1" fillId="3" borderId="41" xfId="2" applyFont="1" applyBorder="1" applyAlignment="1">
      <alignment horizontal="center" vertical="center" wrapText="1"/>
    </xf>
    <xf numFmtId="0" fontId="1" fillId="3" borderId="0" xfId="2" applyFont="1" applyBorder="1" applyAlignment="1">
      <alignment horizontal="center" vertical="center" wrapText="1"/>
    </xf>
    <xf numFmtId="0" fontId="1" fillId="3" borderId="22" xfId="2" applyFont="1" applyBorder="1" applyAlignment="1">
      <alignment horizontal="center" vertical="center" wrapText="1"/>
    </xf>
    <xf numFmtId="0" fontId="1" fillId="3" borderId="22" xfId="2" applyBorder="1" applyAlignment="1">
      <alignment horizontal="center" vertical="center"/>
    </xf>
    <xf numFmtId="0" fontId="0" fillId="0" borderId="7" xfId="0" applyBorder="1">
      <alignment horizontal="center" vertical="center" wrapText="1"/>
    </xf>
    <xf numFmtId="164" fontId="1" fillId="0" borderId="0" xfId="1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5" fillId="0" borderId="0" xfId="0" quotePrefix="1" applyFont="1" applyBorder="1" applyAlignment="1">
      <alignment horizontal="center" vertical="center" wrapText="1"/>
    </xf>
    <xf numFmtId="164" fontId="0" fillId="0" borderId="17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165" fontId="0" fillId="0" borderId="0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Fill="1" applyBorder="1" applyAlignment="1">
      <alignment horizontal="center" vertical="center" wrapText="1"/>
    </xf>
    <xf numFmtId="165" fontId="1" fillId="0" borderId="0" xfId="1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horizontal="center" vertical="center" wrapText="1"/>
    </xf>
    <xf numFmtId="12" fontId="0" fillId="0" borderId="9" xfId="0" applyNumberFormat="1" applyFont="1" applyFill="1" applyBorder="1" applyAlignment="1">
      <alignment horizontal="center" vertical="center" wrapText="1"/>
    </xf>
    <xf numFmtId="12" fontId="0" fillId="0" borderId="0" xfId="0" applyNumberFormat="1" applyFont="1" applyFill="1" applyBorder="1" applyAlignment="1">
      <alignment horizontal="center" vertical="center" wrapText="1"/>
    </xf>
    <xf numFmtId="165" fontId="0" fillId="0" borderId="9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Alignment="1">
      <alignment horizontal="center" vertical="center" wrapText="1"/>
    </xf>
    <xf numFmtId="1" fontId="0" fillId="0" borderId="9" xfId="0" applyNumberFormat="1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165" fontId="0" fillId="0" borderId="0" xfId="0" applyNumberFormat="1" applyFont="1" applyFill="1" applyAlignment="1">
      <alignment horizontal="center" vertical="center" wrapText="1"/>
    </xf>
    <xf numFmtId="12" fontId="0" fillId="0" borderId="0" xfId="0" applyNumberFormat="1" applyFont="1" applyFill="1" applyAlignment="1">
      <alignment horizontal="center" vertical="center" wrapText="1"/>
    </xf>
    <xf numFmtId="0" fontId="2" fillId="0" borderId="0" xfId="0" applyFont="1">
      <alignment horizontal="center" vertical="center" wrapText="1"/>
    </xf>
    <xf numFmtId="1" fontId="8" fillId="3" borderId="4" xfId="2" applyNumberFormat="1" applyFont="1" applyBorder="1" applyAlignment="1">
      <alignment horizontal="center" vertical="center" wrapText="1"/>
    </xf>
    <xf numFmtId="1" fontId="8" fillId="3" borderId="8" xfId="2" applyNumberFormat="1" applyFont="1" applyBorder="1" applyAlignment="1">
      <alignment horizontal="center" vertical="center" wrapText="1"/>
    </xf>
    <xf numFmtId="1" fontId="8" fillId="0" borderId="4" xfId="0" applyNumberFormat="1" applyFont="1" applyFill="1" applyBorder="1" applyAlignment="1">
      <alignment horizontal="center" vertical="center" wrapText="1"/>
    </xf>
    <xf numFmtId="1" fontId="8" fillId="3" borderId="42" xfId="2" applyNumberFormat="1" applyFont="1" applyBorder="1" applyAlignment="1">
      <alignment horizontal="center" vertical="center" wrapText="1"/>
    </xf>
    <xf numFmtId="1" fontId="8" fillId="0" borderId="38" xfId="0" applyNumberFormat="1" applyFont="1" applyFill="1" applyBorder="1" applyAlignment="1">
      <alignment horizontal="center" vertical="center" wrapText="1"/>
    </xf>
    <xf numFmtId="1" fontId="1" fillId="3" borderId="8" xfId="2" applyNumberFormat="1" applyBorder="1" applyAlignment="1">
      <alignment horizontal="center" vertical="center"/>
    </xf>
    <xf numFmtId="164" fontId="0" fillId="0" borderId="4" xfId="0" applyNumberFormat="1" applyFont="1" applyFill="1" applyBorder="1" applyAlignment="1">
      <alignment horizontal="center" vertical="center" wrapText="1"/>
    </xf>
    <xf numFmtId="1" fontId="0" fillId="0" borderId="17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  <protection locked="0"/>
    </xf>
    <xf numFmtId="0" fontId="0" fillId="0" borderId="0" xfId="0" applyNumberFormat="1" applyFont="1" applyBorder="1" applyAlignment="1" applyProtection="1">
      <alignment horizontal="center" vertical="center" wrapText="1"/>
      <protection locked="0"/>
    </xf>
    <xf numFmtId="0" fontId="0" fillId="0" borderId="9" xfId="0" applyNumberFormat="1" applyFont="1" applyBorder="1" applyAlignment="1" applyProtection="1">
      <alignment horizontal="center" vertical="center" wrapText="1"/>
      <protection locked="0"/>
    </xf>
    <xf numFmtId="9" fontId="0" fillId="0" borderId="0" xfId="0" applyNumberFormat="1" applyFont="1" applyAlignment="1" applyProtection="1">
      <alignment horizontal="center" vertical="center" wrapText="1"/>
      <protection locked="0"/>
    </xf>
    <xf numFmtId="164" fontId="11" fillId="0" borderId="0" xfId="0" applyNumberFormat="1" applyFont="1" applyFill="1" applyBorder="1" applyAlignment="1">
      <alignment horizontal="left" vertical="center" wrapText="1"/>
    </xf>
    <xf numFmtId="164" fontId="2" fillId="0" borderId="0" xfId="0" applyNumberFormat="1" applyFont="1" applyFill="1" applyAlignment="1">
      <alignment horizontal="center" vertical="center" wrapText="1"/>
    </xf>
    <xf numFmtId="1" fontId="0" fillId="0" borderId="0" xfId="0" applyNumberFormat="1" applyFont="1" applyFill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165" fontId="0" fillId="0" borderId="0" xfId="1" applyNumberFormat="1" applyFont="1" applyFill="1" applyBorder="1" applyAlignment="1">
      <alignment horizontal="center" vertical="center" wrapText="1"/>
    </xf>
    <xf numFmtId="164" fontId="0" fillId="0" borderId="0" xfId="1" applyNumberFormat="1" applyFont="1" applyFill="1" applyBorder="1" applyAlignment="1">
      <alignment horizontal="center" vertical="center" wrapText="1"/>
    </xf>
    <xf numFmtId="164" fontId="5" fillId="0" borderId="0" xfId="0" applyNumberFormat="1" applyFont="1" applyBorder="1" applyAlignment="1">
      <alignment horizontal="center" vertical="center" wrapText="1"/>
    </xf>
    <xf numFmtId="12" fontId="1" fillId="0" borderId="0" xfId="1" applyNumberFormat="1" applyFont="1" applyFill="1" applyBorder="1" applyAlignment="1">
      <alignment horizontal="center" vertical="center" wrapText="1"/>
    </xf>
    <xf numFmtId="165" fontId="1" fillId="0" borderId="17" xfId="1" applyNumberFormat="1" applyFont="1" applyFill="1" applyBorder="1" applyAlignment="1">
      <alignment horizontal="center" vertical="center" wrapText="1"/>
    </xf>
    <xf numFmtId="12" fontId="0" fillId="0" borderId="0" xfId="1" applyNumberFormat="1" applyFont="1" applyFill="1" applyBorder="1" applyAlignment="1">
      <alignment horizontal="center" vertical="center" wrapText="1"/>
    </xf>
    <xf numFmtId="165" fontId="1" fillId="0" borderId="17" xfId="0" applyNumberFormat="1" applyFont="1" applyFill="1" applyBorder="1" applyAlignment="1">
      <alignment horizontal="center" vertical="center" wrapText="1"/>
    </xf>
    <xf numFmtId="49" fontId="11" fillId="0" borderId="9" xfId="0" quotePrefix="1" applyNumberFormat="1" applyFont="1" applyBorder="1" applyAlignment="1">
      <alignment horizontal="left" vertical="center" wrapText="1"/>
    </xf>
    <xf numFmtId="49" fontId="11" fillId="0" borderId="9" xfId="0" applyNumberFormat="1" applyFont="1" applyBorder="1" applyAlignment="1">
      <alignment horizontal="left" vertical="center" wrapText="1"/>
    </xf>
    <xf numFmtId="49" fontId="11" fillId="0" borderId="9" xfId="0" applyNumberFormat="1" applyFont="1" applyFill="1" applyBorder="1" applyAlignment="1">
      <alignment horizontal="left" vertical="center" wrapText="1"/>
    </xf>
    <xf numFmtId="0" fontId="5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164" fontId="18" fillId="6" borderId="0" xfId="4" applyNumberFormat="1" applyFont="1" applyAlignment="1">
      <alignment horizontal="center" vertical="center" wrapText="1"/>
    </xf>
    <xf numFmtId="164" fontId="19" fillId="6" borderId="0" xfId="4" applyNumberFormat="1" applyFont="1" applyAlignment="1">
      <alignment horizontal="left" vertical="center" wrapText="1"/>
    </xf>
    <xf numFmtId="0" fontId="8" fillId="0" borderId="7" xfId="0" applyFont="1" applyBorder="1" applyAlignment="1">
      <alignment horizontal="center" vertical="center" wrapText="1"/>
    </xf>
    <xf numFmtId="165" fontId="0" fillId="0" borderId="17" xfId="1" applyNumberFormat="1" applyFont="1" applyFill="1" applyBorder="1" applyAlignment="1">
      <alignment horizontal="center" vertical="center" wrapText="1"/>
    </xf>
    <xf numFmtId="165" fontId="0" fillId="0" borderId="17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8" fillId="0" borderId="40" xfId="0" applyFont="1" applyBorder="1">
      <alignment horizontal="center" vertical="center" wrapText="1"/>
    </xf>
    <xf numFmtId="0" fontId="8" fillId="0" borderId="6" xfId="0" applyFont="1" applyBorder="1">
      <alignment horizontal="center" vertical="center" wrapText="1"/>
    </xf>
    <xf numFmtId="0" fontId="14" fillId="0" borderId="5" xfId="0" applyFont="1" applyBorder="1" applyAlignment="1">
      <alignment horizontal="center" wrapText="1"/>
    </xf>
    <xf numFmtId="0" fontId="14" fillId="0" borderId="6" xfId="0" applyFont="1" applyBorder="1" applyAlignment="1">
      <alignment horizontal="center" wrapText="1"/>
    </xf>
    <xf numFmtId="0" fontId="14" fillId="0" borderId="39" xfId="0" applyFont="1" applyBorder="1" applyAlignment="1">
      <alignment horizontal="center" wrapText="1"/>
    </xf>
    <xf numFmtId="0" fontId="14" fillId="0" borderId="40" xfId="0" applyFont="1" applyBorder="1" applyAlignment="1">
      <alignment horizontal="center" wrapText="1"/>
    </xf>
    <xf numFmtId="0" fontId="14" fillId="0" borderId="7" xfId="0" applyFont="1" applyBorder="1" applyAlignment="1">
      <alignment horizontal="center" wrapText="1"/>
    </xf>
    <xf numFmtId="0" fontId="12" fillId="0" borderId="7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9" fillId="0" borderId="5" xfId="0" quotePrefix="1" applyFont="1" applyBorder="1" applyAlignment="1">
      <alignment horizontal="center" vertical="center"/>
    </xf>
    <xf numFmtId="0" fontId="9" fillId="0" borderId="6" xfId="0" quotePrefix="1" applyFont="1" applyBorder="1" applyAlignment="1">
      <alignment horizontal="center" vertical="center"/>
    </xf>
    <xf numFmtId="0" fontId="9" fillId="0" borderId="7" xfId="0" quotePrefix="1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0" fillId="0" borderId="25" xfId="0" applyFont="1" applyBorder="1" applyAlignment="1" applyProtection="1">
      <alignment horizontal="center" vertical="center" wrapText="1"/>
      <protection locked="0"/>
    </xf>
    <xf numFmtId="0" fontId="10" fillId="0" borderId="26" xfId="0" applyFont="1" applyBorder="1" applyAlignment="1" applyProtection="1">
      <alignment horizontal="center" vertical="center" wrapText="1"/>
      <protection locked="0"/>
    </xf>
    <xf numFmtId="0" fontId="9" fillId="2" borderId="5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1" fillId="0" borderId="33" xfId="0" applyFont="1" applyBorder="1" applyAlignment="1" applyProtection="1">
      <alignment horizontal="center" vertical="center" wrapText="1"/>
      <protection locked="0"/>
    </xf>
    <xf numFmtId="0" fontId="1" fillId="0" borderId="25" xfId="0" applyFont="1" applyBorder="1" applyAlignment="1" applyProtection="1">
      <alignment horizontal="center" vertical="center" wrapText="1"/>
      <protection locked="0"/>
    </xf>
    <xf numFmtId="0" fontId="1" fillId="0" borderId="26" xfId="0" applyFont="1" applyBorder="1" applyAlignment="1" applyProtection="1">
      <alignment horizontal="center" vertical="center" wrapText="1"/>
      <protection locked="0"/>
    </xf>
    <xf numFmtId="0" fontId="5" fillId="0" borderId="14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wrapText="1"/>
    </xf>
    <xf numFmtId="0" fontId="6" fillId="0" borderId="6" xfId="0" applyFont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" fontId="7" fillId="0" borderId="21" xfId="0" applyNumberFormat="1" applyFont="1" applyBorder="1" applyAlignment="1">
      <alignment horizontal="center" vertical="center" wrapText="1"/>
    </xf>
    <xf numFmtId="1" fontId="7" fillId="0" borderId="8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 wrapText="1"/>
    </xf>
    <xf numFmtId="1" fontId="1" fillId="0" borderId="15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</cellXfs>
  <cellStyles count="5">
    <cellStyle name="Editable" xfId="4" xr:uid="{BC6C7067-70B9-4724-BA3E-84946AF54975}"/>
    <cellStyle name="Normal" xfId="0" builtinId="0" customBuiltin="1"/>
    <cellStyle name="NPC" xfId="1" xr:uid="{00000000-0005-0000-0000-000002000000}"/>
    <cellStyle name="Party" xfId="2" xr:uid="{E4EA8180-C3BC-4ECE-81F5-125EBEA69621}"/>
    <cellStyle name="Round" xfId="3" xr:uid="{FBF433B2-1114-403D-B0AB-A26E475AFCEA}"/>
  </cellStyles>
  <dxfs count="1187"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Helvetica"/>
        <scheme val="none"/>
      </font>
      <numFmt numFmtId="164" formatCode="0;\-0;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 tint="0.499984740745262"/>
        <name val="Helvetica"/>
        <scheme val="none"/>
      </font>
      <numFmt numFmtId="164" formatCode="0;\-0;;@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Helvetica"/>
        <scheme val="none"/>
      </font>
      <numFmt numFmtId="164" formatCode="0;\-0;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 tint="0.499984740745262"/>
        <name val="Helvetica"/>
        <scheme val="none"/>
      </font>
      <numFmt numFmtId="164" formatCode="0;\-0;;@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Helvetica"/>
        <scheme val="none"/>
      </font>
      <numFmt numFmtId="164" formatCode="0;\-0;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 tint="0.499984740745262"/>
        <name val="Helvetica"/>
        <scheme val="none"/>
      </font>
      <numFmt numFmtId="164" formatCode="0;\-0;;@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Helvetica"/>
        <scheme val="none"/>
      </font>
      <numFmt numFmtId="164" formatCode="0;\-0;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 tint="0.499984740745262"/>
        <name val="Helvetica"/>
        <scheme val="none"/>
      </font>
      <numFmt numFmtId="164" formatCode="0;\-0;;@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Helvetica"/>
        <scheme val="none"/>
      </font>
      <numFmt numFmtId="164" formatCode="0;\-0;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 tint="0.499984740745262"/>
        <name val="Helvetica"/>
        <scheme val="none"/>
      </font>
      <numFmt numFmtId="164" formatCode="0;\-0;;@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Helvetica"/>
        <scheme val="none"/>
      </font>
      <numFmt numFmtId="164" formatCode="0;\-0;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 tint="0.499984740745262"/>
        <name val="Helvetica"/>
        <scheme val="none"/>
      </font>
      <numFmt numFmtId="164" formatCode="0;\-0;;@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Helvetica"/>
        <scheme val="none"/>
      </font>
      <numFmt numFmtId="164" formatCode="0;\-0;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 tint="0.499984740745262"/>
        <name val="Helvetica"/>
        <scheme val="none"/>
      </font>
      <numFmt numFmtId="164" formatCode="0;\-0;;@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alignment wrapText="1"/>
    </dxf>
    <dxf>
      <font>
        <b/>
      </font>
    </dxf>
    <dxf>
      <numFmt numFmtId="13" formatCode="0%"/>
    </dxf>
    <dxf>
      <numFmt numFmtId="13" formatCode="0%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numFmt numFmtId="13" formatCode="0%"/>
    </dxf>
    <dxf>
      <alignment wrapText="1"/>
    </dxf>
    <dxf>
      <alignment wrapText="1"/>
    </dxf>
    <dxf>
      <numFmt numFmtId="13" formatCode="0%"/>
    </dxf>
    <dxf>
      <numFmt numFmtId="166" formatCode="0.0%"/>
    </dxf>
    <dxf>
      <numFmt numFmtId="14" formatCode="0.00%"/>
    </dxf>
    <dxf>
      <numFmt numFmtId="167" formatCode="0.000%"/>
    </dxf>
    <dxf>
      <numFmt numFmtId="168" formatCode="0.0000%"/>
    </dxf>
    <dxf>
      <numFmt numFmtId="167" formatCode="0.000%"/>
    </dxf>
    <dxf>
      <numFmt numFmtId="14" formatCode="0.00%"/>
    </dxf>
    <dxf>
      <font>
        <name val="Helvetica"/>
        <scheme val="none"/>
      </font>
    </dxf>
    <dxf>
      <font>
        <name val="Helvetica"/>
        <scheme val="none"/>
      </font>
    </dxf>
    <dxf>
      <font>
        <name val="Helvetica"/>
        <scheme val="none"/>
      </font>
    </dxf>
    <dxf>
      <font>
        <name val="Helvetica"/>
        <scheme val="none"/>
      </font>
    </dxf>
    <dxf>
      <font>
        <name val="Helvetica"/>
        <scheme val="none"/>
      </font>
    </dxf>
    <dxf>
      <font>
        <name val="Helvetica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Helvetic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ill>
        <patternFill patternType="none">
          <bgColor auto="1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>
        <left style="hair">
          <color auto="1"/>
        </left>
        <right style="hair">
          <color auto="1"/>
        </right>
        <bottom style="thin">
          <color auto="1"/>
        </bottom>
        <vertical style="hair">
          <color auto="1"/>
        </vertical>
      </border>
    </dxf>
    <dxf>
      <font>
        <color theme="1"/>
      </font>
      <fill>
        <patternFill patternType="none">
          <bgColor auto="1"/>
        </patternFill>
      </fill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</font>
      <border>
        <bottom style="thin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right style="thin">
          <color auto="1"/>
        </right>
      </border>
    </dxf>
    <dxf>
      <border>
        <bottom style="thin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hair">
          <color auto="1"/>
        </vertical>
      </border>
    </dxf>
  </dxfs>
  <tableStyles count="3" defaultTableStyle="TableStyleMedium2" defaultPivotStyle="PivotStyleLight16">
    <tableStyle name="PivotTable Style 1" table="0" count="3" xr9:uid="{CB550186-0971-4A60-AEF0-0DECAA760553}">
      <tableStyleElement type="wholeTable" dxfId="1186"/>
      <tableStyleElement type="headerRow" dxfId="1185"/>
      <tableStyleElement type="firstColumn" dxfId="1184"/>
    </tableStyle>
    <tableStyle name="Table Style 1" pivot="0" count="2" xr9:uid="{00000000-0011-0000-FFFF-FFFF00000000}">
      <tableStyleElement type="wholeTable" dxfId="1183"/>
      <tableStyleElement type="headerRow" dxfId="1182"/>
    </tableStyle>
    <tableStyle name="TableStyleLight15 2" pivot="0" count="4" xr9:uid="{00000000-0011-0000-FFFF-FFFF01000000}">
      <tableStyleElement type="wholeTable" dxfId="1181"/>
      <tableStyleElement type="headerRow" dxfId="1180"/>
      <tableStyleElement type="firstRowStripe" dxfId="1179"/>
      <tableStyleElement type="secondRowStripe" dxfId="1178"/>
    </tableStyle>
  </tableStyles>
  <colors>
    <mruColors>
      <color rgb="FFE1E1E1"/>
      <color rgb="FFFF8F8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76200</xdr:rowOff>
        </xdr:from>
        <xdr:to>
          <xdr:col>2</xdr:col>
          <xdr:colOff>228600</xdr:colOff>
          <xdr:row>1</xdr:row>
          <xdr:rowOff>333375</xdr:rowOff>
        </xdr:to>
        <xdr:sp macro="" textlink="">
          <xdr:nvSpPr>
            <xdr:cNvPr id="16385" name="encStart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76200</xdr:rowOff>
        </xdr:from>
        <xdr:to>
          <xdr:col>3</xdr:col>
          <xdr:colOff>1104900</xdr:colOff>
          <xdr:row>1</xdr:row>
          <xdr:rowOff>333375</xdr:rowOff>
        </xdr:to>
        <xdr:sp macro="" textlink="">
          <xdr:nvSpPr>
            <xdr:cNvPr id="16387" name="encClear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1</xdr:row>
          <xdr:rowOff>76200</xdr:rowOff>
        </xdr:from>
        <xdr:to>
          <xdr:col>14</xdr:col>
          <xdr:colOff>447675</xdr:colOff>
          <xdr:row>1</xdr:row>
          <xdr:rowOff>333375</xdr:rowOff>
        </xdr:to>
        <xdr:sp macro="" textlink="">
          <xdr:nvSpPr>
            <xdr:cNvPr id="16388" name="encSave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</xdr:row>
          <xdr:rowOff>76200</xdr:rowOff>
        </xdr:from>
        <xdr:to>
          <xdr:col>13</xdr:col>
          <xdr:colOff>247650</xdr:colOff>
          <xdr:row>1</xdr:row>
          <xdr:rowOff>333375</xdr:rowOff>
        </xdr:to>
        <xdr:sp macro="" textlink="">
          <xdr:nvSpPr>
            <xdr:cNvPr id="16389" name="encNew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1</xdr:row>
          <xdr:rowOff>76200</xdr:rowOff>
        </xdr:from>
        <xdr:to>
          <xdr:col>15</xdr:col>
          <xdr:colOff>533400</xdr:colOff>
          <xdr:row>1</xdr:row>
          <xdr:rowOff>333375</xdr:rowOff>
        </xdr:to>
        <xdr:sp macro="" textlink="">
          <xdr:nvSpPr>
            <xdr:cNvPr id="16390" name="encEnd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</xdr:row>
          <xdr:rowOff>76200</xdr:rowOff>
        </xdr:from>
        <xdr:to>
          <xdr:col>3</xdr:col>
          <xdr:colOff>419100</xdr:colOff>
          <xdr:row>1</xdr:row>
          <xdr:rowOff>333375</xdr:rowOff>
        </xdr:to>
        <xdr:sp macro="" textlink="">
          <xdr:nvSpPr>
            <xdr:cNvPr id="16399" name="encReload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76200</xdr:rowOff>
        </xdr:from>
        <xdr:to>
          <xdr:col>2</xdr:col>
          <xdr:colOff>228600</xdr:colOff>
          <xdr:row>1</xdr:row>
          <xdr:rowOff>333375</xdr:rowOff>
        </xdr:to>
        <xdr:sp macro="" textlink="">
          <xdr:nvSpPr>
            <xdr:cNvPr id="17409" name="encStar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A313FB58-52BB-42C5-8642-F9283CC11C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76200</xdr:rowOff>
        </xdr:from>
        <xdr:to>
          <xdr:col>3</xdr:col>
          <xdr:colOff>1104900</xdr:colOff>
          <xdr:row>1</xdr:row>
          <xdr:rowOff>333375</xdr:rowOff>
        </xdr:to>
        <xdr:sp macro="" textlink="">
          <xdr:nvSpPr>
            <xdr:cNvPr id="17410" name="encClear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20625A9C-1AA4-4BBC-A9A5-B3F3670EBE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1</xdr:row>
          <xdr:rowOff>76200</xdr:rowOff>
        </xdr:from>
        <xdr:to>
          <xdr:col>14</xdr:col>
          <xdr:colOff>447675</xdr:colOff>
          <xdr:row>1</xdr:row>
          <xdr:rowOff>333375</xdr:rowOff>
        </xdr:to>
        <xdr:sp macro="" textlink="">
          <xdr:nvSpPr>
            <xdr:cNvPr id="17411" name="encSave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BAB3E9ED-3313-4505-83BC-08B1B57AC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</xdr:row>
          <xdr:rowOff>76200</xdr:rowOff>
        </xdr:from>
        <xdr:to>
          <xdr:col>13</xdr:col>
          <xdr:colOff>247650</xdr:colOff>
          <xdr:row>1</xdr:row>
          <xdr:rowOff>333375</xdr:rowOff>
        </xdr:to>
        <xdr:sp macro="" textlink="">
          <xdr:nvSpPr>
            <xdr:cNvPr id="17412" name="encNew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45894359-0278-4634-9EC7-FF95734A73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1</xdr:row>
          <xdr:rowOff>76200</xdr:rowOff>
        </xdr:from>
        <xdr:to>
          <xdr:col>15</xdr:col>
          <xdr:colOff>533400</xdr:colOff>
          <xdr:row>1</xdr:row>
          <xdr:rowOff>333375</xdr:rowOff>
        </xdr:to>
        <xdr:sp macro="" textlink="">
          <xdr:nvSpPr>
            <xdr:cNvPr id="17413" name="encEnd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E4E44DFE-E083-454E-8337-40F7AF8AE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</xdr:row>
          <xdr:rowOff>76200</xdr:rowOff>
        </xdr:from>
        <xdr:to>
          <xdr:col>3</xdr:col>
          <xdr:colOff>419100</xdr:colOff>
          <xdr:row>1</xdr:row>
          <xdr:rowOff>333375</xdr:rowOff>
        </xdr:to>
        <xdr:sp macro="" textlink="">
          <xdr:nvSpPr>
            <xdr:cNvPr id="17414" name="encReload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6D9A5979-4C9F-482E-BE35-3D191B4CD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76200</xdr:rowOff>
        </xdr:from>
        <xdr:to>
          <xdr:col>2</xdr:col>
          <xdr:colOff>228600</xdr:colOff>
          <xdr:row>1</xdr:row>
          <xdr:rowOff>333375</xdr:rowOff>
        </xdr:to>
        <xdr:sp macro="" textlink="">
          <xdr:nvSpPr>
            <xdr:cNvPr id="18433" name="encStar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50437683-0309-41CE-9119-DF94D7005D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76200</xdr:rowOff>
        </xdr:from>
        <xdr:to>
          <xdr:col>3</xdr:col>
          <xdr:colOff>1104900</xdr:colOff>
          <xdr:row>1</xdr:row>
          <xdr:rowOff>333375</xdr:rowOff>
        </xdr:to>
        <xdr:sp macro="" textlink="">
          <xdr:nvSpPr>
            <xdr:cNvPr id="18434" name="encClear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526136C2-FA0E-4B4C-A0DC-DDC7DC3A1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1</xdr:row>
          <xdr:rowOff>76200</xdr:rowOff>
        </xdr:from>
        <xdr:to>
          <xdr:col>14</xdr:col>
          <xdr:colOff>447675</xdr:colOff>
          <xdr:row>1</xdr:row>
          <xdr:rowOff>333375</xdr:rowOff>
        </xdr:to>
        <xdr:sp macro="" textlink="">
          <xdr:nvSpPr>
            <xdr:cNvPr id="18435" name="encSave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FC4749B1-747F-4A6B-B5F4-E3E498D79E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</xdr:row>
          <xdr:rowOff>76200</xdr:rowOff>
        </xdr:from>
        <xdr:to>
          <xdr:col>13</xdr:col>
          <xdr:colOff>247650</xdr:colOff>
          <xdr:row>1</xdr:row>
          <xdr:rowOff>333375</xdr:rowOff>
        </xdr:to>
        <xdr:sp macro="" textlink="">
          <xdr:nvSpPr>
            <xdr:cNvPr id="18436" name="encNew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CD2EE6F-4559-49A6-A91D-6789374BDF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1</xdr:row>
          <xdr:rowOff>76200</xdr:rowOff>
        </xdr:from>
        <xdr:to>
          <xdr:col>15</xdr:col>
          <xdr:colOff>533400</xdr:colOff>
          <xdr:row>1</xdr:row>
          <xdr:rowOff>333375</xdr:rowOff>
        </xdr:to>
        <xdr:sp macro="" textlink="">
          <xdr:nvSpPr>
            <xdr:cNvPr id="18437" name="encEnd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91CB991D-29C7-498E-868B-5252C95C0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</xdr:row>
          <xdr:rowOff>76200</xdr:rowOff>
        </xdr:from>
        <xdr:to>
          <xdr:col>3</xdr:col>
          <xdr:colOff>419100</xdr:colOff>
          <xdr:row>1</xdr:row>
          <xdr:rowOff>333375</xdr:rowOff>
        </xdr:to>
        <xdr:sp macro="" textlink="">
          <xdr:nvSpPr>
            <xdr:cNvPr id="18438" name="encReload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DD73F20B-2692-4A24-B0F9-A505B96DD9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76200</xdr:rowOff>
        </xdr:from>
        <xdr:to>
          <xdr:col>2</xdr:col>
          <xdr:colOff>228600</xdr:colOff>
          <xdr:row>1</xdr:row>
          <xdr:rowOff>333375</xdr:rowOff>
        </xdr:to>
        <xdr:sp macro="" textlink="">
          <xdr:nvSpPr>
            <xdr:cNvPr id="19457" name="encStar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2492290-EDB8-4A8E-BE3D-5029DCE3B3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76200</xdr:rowOff>
        </xdr:from>
        <xdr:to>
          <xdr:col>3</xdr:col>
          <xdr:colOff>1104900</xdr:colOff>
          <xdr:row>1</xdr:row>
          <xdr:rowOff>333375</xdr:rowOff>
        </xdr:to>
        <xdr:sp macro="" textlink="">
          <xdr:nvSpPr>
            <xdr:cNvPr id="19458" name="encClear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2473B1A0-8DF6-4F17-AEFB-8D7684EA6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1</xdr:row>
          <xdr:rowOff>76200</xdr:rowOff>
        </xdr:from>
        <xdr:to>
          <xdr:col>14</xdr:col>
          <xdr:colOff>447675</xdr:colOff>
          <xdr:row>1</xdr:row>
          <xdr:rowOff>333375</xdr:rowOff>
        </xdr:to>
        <xdr:sp macro="" textlink="">
          <xdr:nvSpPr>
            <xdr:cNvPr id="19459" name="encSave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401D21A3-8836-4728-A136-3CE8956E0B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</xdr:row>
          <xdr:rowOff>76200</xdr:rowOff>
        </xdr:from>
        <xdr:to>
          <xdr:col>13</xdr:col>
          <xdr:colOff>247650</xdr:colOff>
          <xdr:row>1</xdr:row>
          <xdr:rowOff>333375</xdr:rowOff>
        </xdr:to>
        <xdr:sp macro="" textlink="">
          <xdr:nvSpPr>
            <xdr:cNvPr id="19460" name="encNew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919B21DF-7702-41AA-BD58-C02AC061E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1</xdr:row>
          <xdr:rowOff>76200</xdr:rowOff>
        </xdr:from>
        <xdr:to>
          <xdr:col>15</xdr:col>
          <xdr:colOff>533400</xdr:colOff>
          <xdr:row>1</xdr:row>
          <xdr:rowOff>333375</xdr:rowOff>
        </xdr:to>
        <xdr:sp macro="" textlink="">
          <xdr:nvSpPr>
            <xdr:cNvPr id="19461" name="encEnd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1954BAD6-9C0E-4378-86BF-9486C5706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</xdr:row>
          <xdr:rowOff>76200</xdr:rowOff>
        </xdr:from>
        <xdr:to>
          <xdr:col>3</xdr:col>
          <xdr:colOff>419100</xdr:colOff>
          <xdr:row>1</xdr:row>
          <xdr:rowOff>333375</xdr:rowOff>
        </xdr:to>
        <xdr:sp macro="" textlink="">
          <xdr:nvSpPr>
            <xdr:cNvPr id="19462" name="encReload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B3629FAC-5369-4CBE-9A7C-2784E5F22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76200</xdr:rowOff>
        </xdr:from>
        <xdr:to>
          <xdr:col>2</xdr:col>
          <xdr:colOff>228600</xdr:colOff>
          <xdr:row>1</xdr:row>
          <xdr:rowOff>333375</xdr:rowOff>
        </xdr:to>
        <xdr:sp macro="" textlink="">
          <xdr:nvSpPr>
            <xdr:cNvPr id="20481" name="encStart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D8A9FE35-1F81-4C3E-A7A1-2F90647FA9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76200</xdr:rowOff>
        </xdr:from>
        <xdr:to>
          <xdr:col>3</xdr:col>
          <xdr:colOff>1104900</xdr:colOff>
          <xdr:row>1</xdr:row>
          <xdr:rowOff>333375</xdr:rowOff>
        </xdr:to>
        <xdr:sp macro="" textlink="">
          <xdr:nvSpPr>
            <xdr:cNvPr id="20482" name="encClear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EBB4EA01-59D0-495F-877B-FE472E5D3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1</xdr:row>
          <xdr:rowOff>76200</xdr:rowOff>
        </xdr:from>
        <xdr:to>
          <xdr:col>14</xdr:col>
          <xdr:colOff>447675</xdr:colOff>
          <xdr:row>1</xdr:row>
          <xdr:rowOff>333375</xdr:rowOff>
        </xdr:to>
        <xdr:sp macro="" textlink="">
          <xdr:nvSpPr>
            <xdr:cNvPr id="20483" name="encSave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B22EE70A-13DA-40A6-9021-2D99FCC7B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</xdr:row>
          <xdr:rowOff>76200</xdr:rowOff>
        </xdr:from>
        <xdr:to>
          <xdr:col>13</xdr:col>
          <xdr:colOff>247650</xdr:colOff>
          <xdr:row>1</xdr:row>
          <xdr:rowOff>333375</xdr:rowOff>
        </xdr:to>
        <xdr:sp macro="" textlink="">
          <xdr:nvSpPr>
            <xdr:cNvPr id="20484" name="encNew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ED4F3441-AF2B-4BA2-9163-76772DD0E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1</xdr:row>
          <xdr:rowOff>76200</xdr:rowOff>
        </xdr:from>
        <xdr:to>
          <xdr:col>15</xdr:col>
          <xdr:colOff>533400</xdr:colOff>
          <xdr:row>1</xdr:row>
          <xdr:rowOff>333375</xdr:rowOff>
        </xdr:to>
        <xdr:sp macro="" textlink="">
          <xdr:nvSpPr>
            <xdr:cNvPr id="20485" name="encEnd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9F72E678-C026-4DCB-8A0E-D5321513D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</xdr:row>
          <xdr:rowOff>76200</xdr:rowOff>
        </xdr:from>
        <xdr:to>
          <xdr:col>3</xdr:col>
          <xdr:colOff>419100</xdr:colOff>
          <xdr:row>1</xdr:row>
          <xdr:rowOff>333375</xdr:rowOff>
        </xdr:to>
        <xdr:sp macro="" textlink="">
          <xdr:nvSpPr>
            <xdr:cNvPr id="20486" name="encReload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BBB8ADE8-CECC-48A1-AA93-54FF3DD4E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76200</xdr:rowOff>
        </xdr:from>
        <xdr:to>
          <xdr:col>2</xdr:col>
          <xdr:colOff>228600</xdr:colOff>
          <xdr:row>1</xdr:row>
          <xdr:rowOff>333375</xdr:rowOff>
        </xdr:to>
        <xdr:sp macro="" textlink="">
          <xdr:nvSpPr>
            <xdr:cNvPr id="21505" name="encStart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155AEFA-5324-4462-83C1-6630B62E8C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76200</xdr:rowOff>
        </xdr:from>
        <xdr:to>
          <xdr:col>3</xdr:col>
          <xdr:colOff>1104900</xdr:colOff>
          <xdr:row>1</xdr:row>
          <xdr:rowOff>333375</xdr:rowOff>
        </xdr:to>
        <xdr:sp macro="" textlink="">
          <xdr:nvSpPr>
            <xdr:cNvPr id="21506" name="encClear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97ED3CB1-65BB-409D-92D3-C425DF187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1</xdr:row>
          <xdr:rowOff>76200</xdr:rowOff>
        </xdr:from>
        <xdr:to>
          <xdr:col>14</xdr:col>
          <xdr:colOff>447675</xdr:colOff>
          <xdr:row>1</xdr:row>
          <xdr:rowOff>333375</xdr:rowOff>
        </xdr:to>
        <xdr:sp macro="" textlink="">
          <xdr:nvSpPr>
            <xdr:cNvPr id="21507" name="encSav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49E55871-14E5-401C-A285-3876CA5B3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</xdr:row>
          <xdr:rowOff>76200</xdr:rowOff>
        </xdr:from>
        <xdr:to>
          <xdr:col>13</xdr:col>
          <xdr:colOff>247650</xdr:colOff>
          <xdr:row>1</xdr:row>
          <xdr:rowOff>333375</xdr:rowOff>
        </xdr:to>
        <xdr:sp macro="" textlink="">
          <xdr:nvSpPr>
            <xdr:cNvPr id="21508" name="encNew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F80E6D2-FA47-4A88-8A56-30F7B775B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1</xdr:row>
          <xdr:rowOff>76200</xdr:rowOff>
        </xdr:from>
        <xdr:to>
          <xdr:col>15</xdr:col>
          <xdr:colOff>533400</xdr:colOff>
          <xdr:row>1</xdr:row>
          <xdr:rowOff>333375</xdr:rowOff>
        </xdr:to>
        <xdr:sp macro="" textlink="">
          <xdr:nvSpPr>
            <xdr:cNvPr id="21509" name="encEn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FA331E59-9730-4062-B5AD-288D68B82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</xdr:row>
          <xdr:rowOff>76200</xdr:rowOff>
        </xdr:from>
        <xdr:to>
          <xdr:col>3</xdr:col>
          <xdr:colOff>419100</xdr:colOff>
          <xdr:row>1</xdr:row>
          <xdr:rowOff>333375</xdr:rowOff>
        </xdr:to>
        <xdr:sp macro="" textlink="">
          <xdr:nvSpPr>
            <xdr:cNvPr id="21510" name="encReload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80DE80B8-86A7-4CA2-BB8B-4F07B4E71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76200</xdr:rowOff>
        </xdr:from>
        <xdr:to>
          <xdr:col>2</xdr:col>
          <xdr:colOff>228600</xdr:colOff>
          <xdr:row>1</xdr:row>
          <xdr:rowOff>333375</xdr:rowOff>
        </xdr:to>
        <xdr:sp macro="" textlink="">
          <xdr:nvSpPr>
            <xdr:cNvPr id="22529" name="encStart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5E1DA98-55A1-4B6B-91E8-54F17C929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76200</xdr:rowOff>
        </xdr:from>
        <xdr:to>
          <xdr:col>3</xdr:col>
          <xdr:colOff>1104900</xdr:colOff>
          <xdr:row>1</xdr:row>
          <xdr:rowOff>333375</xdr:rowOff>
        </xdr:to>
        <xdr:sp macro="" textlink="">
          <xdr:nvSpPr>
            <xdr:cNvPr id="22530" name="encClear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34BAD101-383D-4354-A6F1-6D0F4E61D8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1</xdr:row>
          <xdr:rowOff>76200</xdr:rowOff>
        </xdr:from>
        <xdr:to>
          <xdr:col>14</xdr:col>
          <xdr:colOff>447675</xdr:colOff>
          <xdr:row>1</xdr:row>
          <xdr:rowOff>333375</xdr:rowOff>
        </xdr:to>
        <xdr:sp macro="" textlink="">
          <xdr:nvSpPr>
            <xdr:cNvPr id="22531" name="encSave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50A7C89D-3887-43F3-BC94-978DB7FE3F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</xdr:row>
          <xdr:rowOff>76200</xdr:rowOff>
        </xdr:from>
        <xdr:to>
          <xdr:col>13</xdr:col>
          <xdr:colOff>247650</xdr:colOff>
          <xdr:row>1</xdr:row>
          <xdr:rowOff>333375</xdr:rowOff>
        </xdr:to>
        <xdr:sp macro="" textlink="">
          <xdr:nvSpPr>
            <xdr:cNvPr id="22532" name="encNew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1AC566FF-ED4C-424E-8254-4BE3266CEF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1</xdr:row>
          <xdr:rowOff>76200</xdr:rowOff>
        </xdr:from>
        <xdr:to>
          <xdr:col>15</xdr:col>
          <xdr:colOff>533400</xdr:colOff>
          <xdr:row>1</xdr:row>
          <xdr:rowOff>333375</xdr:rowOff>
        </xdr:to>
        <xdr:sp macro="" textlink="">
          <xdr:nvSpPr>
            <xdr:cNvPr id="22533" name="encEnd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376F1A79-E01A-4860-9310-9DABC7379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</xdr:row>
          <xdr:rowOff>76200</xdr:rowOff>
        </xdr:from>
        <xdr:to>
          <xdr:col>3</xdr:col>
          <xdr:colOff>419100</xdr:colOff>
          <xdr:row>1</xdr:row>
          <xdr:rowOff>333375</xdr:rowOff>
        </xdr:to>
        <xdr:sp macro="" textlink="">
          <xdr:nvSpPr>
            <xdr:cNvPr id="22534" name="encReload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8E06A5BD-167F-4EC2-9357-EAC7ECC01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lvin Jee" refreshedDate="43148.100325462961" createdVersion="6" refreshedVersion="6" minRefreshableVersion="3" recordCount="89" xr:uid="{6D47DC84-4316-4C42-9B29-B7AFE8045DA7}">
  <cacheSource type="worksheet">
    <worksheetSource ref="L3:CI92" sheet="Party Power"/>
  </cacheSource>
  <cacheFields count="76">
    <cacheField name="Party Name" numFmtId="0">
      <sharedItems containsBlank="1" containsMixedTypes="1" containsNumber="1" containsInteger="1" minValue="4" maxValue="5"/>
    </cacheField>
    <cacheField name="Party Member" numFmtId="0">
      <sharedItems containsBlank="1" containsMixedTypes="1" containsNumber="1" containsInteger="1" minValue="1" maxValue="3"/>
    </cacheField>
    <cacheField name="Level" numFmtId="0">
      <sharedItems containsBlank="1" containsMixedTypes="1" containsNumber="1" containsInteger="1" minValue="1" maxValue="5"/>
    </cacheField>
    <cacheField name="(Easy)" numFmtId="0">
      <sharedItems containsMixedTypes="1" containsNumber="1" containsInteger="1" minValue="0" maxValue="250"/>
    </cacheField>
    <cacheField name="(Medium)" numFmtId="0">
      <sharedItems containsMixedTypes="1" containsNumber="1" containsInteger="1" minValue="0" maxValue="500"/>
    </cacheField>
    <cacheField name="(Hard)" numFmtId="0">
      <sharedItems containsMixedTypes="1" containsNumber="1" containsInteger="1" minValue="0" maxValue="750"/>
    </cacheField>
    <cacheField name="(Deadly)" numFmtId="0">
      <sharedItems containsMixedTypes="1" containsNumber="1" containsInteger="1" minValue="0" maxValue="1100"/>
    </cacheField>
    <cacheField name="Party Name2" numFmtId="0">
      <sharedItems containsMixedTypes="1" containsNumber="1" containsInteger="1" minValue="0" maxValue="5" count="11">
        <s v="Base Party (Zero Comparison)"/>
        <s v="Party Name"/>
        <n v="5"/>
        <n v="4"/>
        <s v="3, 3"/>
        <s v="2, 2, 2"/>
        <s v="2, 2"/>
        <s v="1, 1, 1, 1"/>
        <n v="0"/>
        <s v="2, 2, 1"/>
        <s v="2, 1, 1"/>
      </sharedItems>
    </cacheField>
    <cacheField name="Party Size" numFmtId="0">
      <sharedItems/>
    </cacheField>
    <cacheField name="Mob Size" numFmtId="0">
      <sharedItems/>
    </cacheField>
    <cacheField name="Mob Count" numFmtId="0">
      <sharedItems/>
    </cacheField>
    <cacheField name="Easy" numFmtId="0">
      <sharedItems containsMixedTypes="1" containsNumber="1" minValue="0" maxValue="166.66666666666666"/>
    </cacheField>
    <cacheField name="Medium" numFmtId="0">
      <sharedItems containsMixedTypes="1" containsNumber="1" minValue="0" maxValue="333.33333333333331"/>
    </cacheField>
    <cacheField name="Hard" numFmtId="0">
      <sharedItems containsMixedTypes="1" containsNumber="1" minValue="0" maxValue="500"/>
    </cacheField>
    <cacheField name="Deadly" numFmtId="0">
      <sharedItems containsMixedTypes="1" containsNumber="1" minValue="0" maxValue="733.33333333333337"/>
    </cacheField>
    <cacheField name="Easy Deviation" numFmtId="0">
      <sharedItems containsMixedTypes="1" containsNumber="1" minValue="-1" maxValue="1.0833333333333333"/>
    </cacheField>
    <cacheField name="Medium Deviation" numFmtId="0">
      <sharedItems containsMixedTypes="1" containsNumber="1" minValue="-1" maxValue="1.0833333333333333"/>
    </cacheField>
    <cacheField name="Hard Deviation" numFmtId="0">
      <sharedItems containsMixedTypes="1" containsNumber="1" minValue="-1" maxValue="1.0833333333333333"/>
    </cacheField>
    <cacheField name="Deadly Deviation" numFmtId="0">
      <sharedItems containsMixedTypes="1" containsNumber="1" minValue="-1" maxValue="1.2916666666666667"/>
    </cacheField>
    <cacheField name="Average Deviation" numFmtId="0">
      <sharedItems containsMixedTypes="1" containsNumber="1" minValue="-1" maxValue="1.1354166666666667"/>
    </cacheField>
    <cacheField name="+1 Level" numFmtId="0">
      <sharedItems containsMixedTypes="1" containsNumber="1" containsInteger="1" minValue="0" maxValue="6"/>
    </cacheField>
    <cacheField name="+1 (Easy)" numFmtId="0">
      <sharedItems containsMixedTypes="1" containsNumber="1" containsInteger="1" minValue="0" maxValue="300"/>
    </cacheField>
    <cacheField name="+1 (Medium)" numFmtId="0">
      <sharedItems containsMixedTypes="1" containsNumber="1" containsInteger="1" minValue="0" maxValue="600"/>
    </cacheField>
    <cacheField name="+1 (Hard)" numFmtId="0">
      <sharedItems containsMixedTypes="1" containsNumber="1" containsInteger="1" minValue="0" maxValue="900"/>
    </cacheField>
    <cacheField name="+1 (Deadly)" numFmtId="0">
      <sharedItems containsMixedTypes="1" containsNumber="1" containsInteger="1" minValue="0" maxValue="1400"/>
    </cacheField>
    <cacheField name="+1 Easy" numFmtId="0">
      <sharedItems containsMixedTypes="1" containsNumber="1" minValue="0" maxValue="225"/>
    </cacheField>
    <cacheField name="+1 Medium" numFmtId="0">
      <sharedItems containsMixedTypes="1" containsNumber="1" minValue="0" maxValue="450"/>
    </cacheField>
    <cacheField name="+1 Hard" numFmtId="0">
      <sharedItems containsMixedTypes="1" containsNumber="1" minValue="0" maxValue="675"/>
    </cacheField>
    <cacheField name="+1 Deadly" numFmtId="0">
      <sharedItems containsMixedTypes="1" containsNumber="1" minValue="0" maxValue="1200"/>
    </cacheField>
    <cacheField name="+1 Easy Deviation" numFmtId="0">
      <sharedItems containsMixedTypes="1" containsNumber="1" minValue="-1" maxValue="0.25"/>
    </cacheField>
    <cacheField name="+1 Medium Deviation" numFmtId="0">
      <sharedItems containsMixedTypes="1" containsNumber="1" minValue="-1" maxValue="0.25"/>
    </cacheField>
    <cacheField name="+1 Hard Deviation" numFmtId="0">
      <sharedItems containsMixedTypes="1" containsNumber="1" minValue="-1" maxValue="0.25"/>
    </cacheField>
    <cacheField name="+1 Deadly Deviation" numFmtId="0">
      <sharedItems containsMixedTypes="1" containsNumber="1" minValue="-1" maxValue="0.5"/>
    </cacheField>
    <cacheField name="+1 Average Deviation" numFmtId="0">
      <sharedItems containsMixedTypes="1" containsNumber="1" minValue="-1" maxValue="0.30208333333333337"/>
    </cacheField>
    <cacheField name="+2 Level" numFmtId="0">
      <sharedItems containsMixedTypes="1" containsNumber="1" containsInteger="1" minValue="0" maxValue="7"/>
    </cacheField>
    <cacheField name="+2 (Easy)" numFmtId="0">
      <sharedItems containsMixedTypes="1" containsNumber="1" containsInteger="1" minValue="0" maxValue="350"/>
    </cacheField>
    <cacheField name="+2 (Medium)" numFmtId="0">
      <sharedItems containsMixedTypes="1" containsNumber="1" containsInteger="1" minValue="0" maxValue="750"/>
    </cacheField>
    <cacheField name="+2 (Hard)" numFmtId="0">
      <sharedItems containsMixedTypes="1" containsNumber="1" containsInteger="1" minValue="0" maxValue="1100"/>
    </cacheField>
    <cacheField name="+2 (Deadly)" numFmtId="0">
      <sharedItems containsMixedTypes="1" containsNumber="1" containsInteger="1" minValue="0" maxValue="1700"/>
    </cacheField>
    <cacheField name="+2 Easy" numFmtId="0">
      <sharedItems containsMixedTypes="1" containsNumber="1" minValue="0" maxValue="375"/>
    </cacheField>
    <cacheField name="+2 Medium" numFmtId="0">
      <sharedItems containsMixedTypes="1" containsNumber="1" minValue="0" maxValue="750"/>
    </cacheField>
    <cacheField name="+2 Hard" numFmtId="0">
      <sharedItems containsMixedTypes="1" containsNumber="1" minValue="0" maxValue="1125"/>
    </cacheField>
    <cacheField name="+2 Deadly" numFmtId="0">
      <sharedItems containsMixedTypes="1" containsNumber="1" minValue="0" maxValue="1600"/>
    </cacheField>
    <cacheField name="+2 Easy Deviation" numFmtId="0">
      <sharedItems containsMixedTypes="1" containsNumber="1" minValue="-1" maxValue="0.38888888888888878"/>
    </cacheField>
    <cacheField name="+2 Medium Deviation" numFmtId="0">
      <sharedItems containsMixedTypes="1" containsNumber="1" minValue="-1" maxValue="0.38888888888888878"/>
    </cacheField>
    <cacheField name="+2 Hard Deviation" numFmtId="0">
      <sharedItems containsMixedTypes="1" containsNumber="1" minValue="-1" maxValue="0.3888888888888889"/>
    </cacheField>
    <cacheField name="+2 Deadly Deviation" numFmtId="0">
      <sharedItems containsMixedTypes="1" containsNumber="1" minValue="-1" maxValue="0.1458333333333334"/>
    </cacheField>
    <cacheField name="+2 Average Deviation" numFmtId="0">
      <sharedItems containsMixedTypes="1" containsNumber="1" minValue="-1" maxValue="0.328125"/>
    </cacheField>
    <cacheField name="+3 Level" numFmtId="0">
      <sharedItems containsMixedTypes="1" containsNumber="1" containsInteger="1" minValue="0" maxValue="8"/>
    </cacheField>
    <cacheField name="+3 (Easy)" numFmtId="0">
      <sharedItems containsMixedTypes="1" containsNumber="1" containsInteger="1" minValue="0" maxValue="450"/>
    </cacheField>
    <cacheField name="+3 (Medium)" numFmtId="0">
      <sharedItems containsMixedTypes="1" containsNumber="1" containsInteger="1" minValue="0" maxValue="900"/>
    </cacheField>
    <cacheField name="+3 (Hard)" numFmtId="0">
      <sharedItems containsMixedTypes="1" containsNumber="1" containsInteger="1" minValue="0" maxValue="1400"/>
    </cacheField>
    <cacheField name="+3 (Deadly)" numFmtId="0">
      <sharedItems containsMixedTypes="1" containsNumber="1" containsInteger="1" minValue="0" maxValue="2100"/>
    </cacheField>
    <cacheField name="+3 Easy" numFmtId="0">
      <sharedItems containsMixedTypes="1" containsNumber="1" minValue="0" maxValue="750"/>
    </cacheField>
    <cacheField name="+3 Medium" numFmtId="0">
      <sharedItems containsMixedTypes="1" containsNumber="1" minValue="0" maxValue="1500"/>
    </cacheField>
    <cacheField name="+3 Hard" numFmtId="0">
      <sharedItems containsMixedTypes="1" containsNumber="1" minValue="0" maxValue="2250"/>
    </cacheField>
    <cacheField name="+3 Deadly" numFmtId="0">
      <sharedItems containsMixedTypes="1" containsNumber="1" minValue="0" maxValue="3300"/>
    </cacheField>
    <cacheField name="+3 Easy Deviation" numFmtId="0">
      <sharedItems containsMixedTypes="1" containsNumber="1" minValue="-1" maxValue="0.50000000000000011"/>
    </cacheField>
    <cacheField name="+3 Medium Deviation" numFmtId="0">
      <sharedItems containsMixedTypes="1" containsNumber="1" minValue="-1" maxValue="0.50000000000000011"/>
    </cacheField>
    <cacheField name="+3 Hard Deviation" numFmtId="0">
      <sharedItems containsMixedTypes="1" containsNumber="1" minValue="-1" maxValue="0.5"/>
    </cacheField>
    <cacheField name="+3 Deadly Deviation" numFmtId="0">
      <sharedItems containsMixedTypes="1" containsNumber="1" minValue="-1" maxValue="0.65000000000000013"/>
    </cacheField>
    <cacheField name="+3 Average Deviation" numFmtId="0">
      <sharedItems containsMixedTypes="1" containsNumber="1" minValue="-1" maxValue="0.53750000000000009"/>
    </cacheField>
    <cacheField name="+4 Level" numFmtId="0">
      <sharedItems containsMixedTypes="1" containsNumber="1" containsInteger="1" minValue="0" maxValue="9"/>
    </cacheField>
    <cacheField name="+4 (Easy)" numFmtId="0">
      <sharedItems containsMixedTypes="1" containsNumber="1" containsInteger="1" minValue="0" maxValue="550"/>
    </cacheField>
    <cacheField name="+4 (Medium)" numFmtId="0">
      <sharedItems containsMixedTypes="1" containsNumber="1" containsInteger="1" minValue="0" maxValue="1100"/>
    </cacheField>
    <cacheField name="+4 (Hard)" numFmtId="0">
      <sharedItems containsMixedTypes="1" containsNumber="1" containsInteger="1" minValue="0" maxValue="1600"/>
    </cacheField>
    <cacheField name="+4 (Deadly)" numFmtId="0">
      <sharedItems containsMixedTypes="1" containsNumber="1" containsInteger="1" minValue="0" maxValue="2400"/>
    </cacheField>
    <cacheField name="+4 Easy" numFmtId="0">
      <sharedItems containsMixedTypes="1" containsNumber="1" minValue="0" maxValue="1000"/>
    </cacheField>
    <cacheField name="+4 Medium" numFmtId="0">
      <sharedItems containsMixedTypes="1" containsNumber="1" minValue="0" maxValue="2000"/>
    </cacheField>
    <cacheField name="+4 Hard" numFmtId="0">
      <sharedItems containsMixedTypes="1" containsNumber="1" minValue="0" maxValue="3000"/>
    </cacheField>
    <cacheField name="+4 Deadly" numFmtId="0">
      <sharedItems containsMixedTypes="1" containsNumber="1" minValue="0" maxValue="4400"/>
    </cacheField>
    <cacheField name="+4 Easy Deviation" numFmtId="0">
      <sharedItems containsMixedTypes="1" containsNumber="1" minValue="-1" maxValue="0"/>
    </cacheField>
    <cacheField name="+4 Medium Deviation" numFmtId="0">
      <sharedItems containsMixedTypes="1" containsNumber="1" minValue="-1" maxValue="0"/>
    </cacheField>
    <cacheField name="+4 Hard Deviation" numFmtId="0">
      <sharedItems containsMixedTypes="1" containsNumber="1" minValue="-1" maxValue="0"/>
    </cacheField>
    <cacheField name="+4 Deadly Deviation" numFmtId="0">
      <sharedItems containsMixedTypes="1" containsNumber="1" minValue="-1" maxValue="0"/>
    </cacheField>
    <cacheField name="+4 Average Deviation" numFmtId="0">
      <sharedItems containsMixedTypes="1" containsNumber="1" minValue="-1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s v="Base Party (Zero Comparison)"/>
    <s v="Player 1"/>
    <n v="1"/>
    <n v="25"/>
    <n v="50"/>
    <n v="75"/>
    <n v="100"/>
    <x v="0"/>
    <s v="Med"/>
    <s v="Single"/>
    <s v="1"/>
    <n v="100"/>
    <n v="200"/>
    <n v="300"/>
    <n v="400"/>
    <n v="0"/>
    <n v="0"/>
    <n v="0"/>
    <n v="0"/>
    <n v="0"/>
    <n v="2"/>
    <n v="50"/>
    <n v="100"/>
    <n v="150"/>
    <n v="200"/>
    <n v="200"/>
    <n v="400"/>
    <n v="600"/>
    <n v="800"/>
    <n v="0"/>
    <n v="0"/>
    <n v="0"/>
    <n v="0"/>
    <n v="0"/>
    <n v="3"/>
    <n v="75"/>
    <n v="150"/>
    <n v="225"/>
    <n v="400"/>
    <n v="300"/>
    <n v="600"/>
    <n v="900"/>
    <n v="1600"/>
    <n v="0"/>
    <n v="0"/>
    <n v="0"/>
    <n v="0"/>
    <n v="0"/>
    <n v="4"/>
    <n v="125"/>
    <n v="250"/>
    <n v="375"/>
    <n v="500"/>
    <n v="500"/>
    <n v="1000"/>
    <n v="1500"/>
    <n v="2000"/>
    <n v="0"/>
    <n v="0"/>
    <n v="0"/>
    <n v="0"/>
    <n v="0"/>
    <n v="5"/>
    <n v="250"/>
    <n v="500"/>
    <n v="750"/>
    <n v="1100"/>
    <n v="1000"/>
    <n v="2000"/>
    <n v="3000"/>
    <n v="4400"/>
    <n v="0"/>
    <n v="0"/>
    <n v="0"/>
    <n v="0"/>
    <n v="0"/>
  </r>
  <r>
    <m/>
    <s v="Player 2"/>
    <n v="1"/>
    <n v="25"/>
    <n v="50"/>
    <n v="75"/>
    <n v="100"/>
    <x v="0"/>
    <s v="Med"/>
    <s v="Pair"/>
    <s v="2"/>
    <n v="66.666666666666671"/>
    <n v="133.33333333333334"/>
    <n v="200"/>
    <n v="266.66666666666669"/>
    <n v="0"/>
    <n v="0"/>
    <n v="0"/>
    <n v="0"/>
    <n v="0"/>
    <n v="2"/>
    <n v="50"/>
    <n v="100"/>
    <n v="150"/>
    <n v="200"/>
    <n v="133.33333333333334"/>
    <n v="266.66666666666669"/>
    <n v="400"/>
    <n v="533.33333333333337"/>
    <n v="0"/>
    <n v="0"/>
    <n v="0"/>
    <n v="0"/>
    <n v="0"/>
    <n v="3"/>
    <n v="75"/>
    <n v="150"/>
    <n v="225"/>
    <n v="400"/>
    <n v="200"/>
    <n v="400"/>
    <n v="600"/>
    <n v="1066.6666666666667"/>
    <n v="0"/>
    <n v="0"/>
    <n v="0"/>
    <n v="0"/>
    <n v="0"/>
    <n v="4"/>
    <n v="125"/>
    <n v="250"/>
    <n v="375"/>
    <n v="500"/>
    <n v="333.33333333333331"/>
    <n v="666.66666666666663"/>
    <n v="1000"/>
    <n v="1333.3333333333333"/>
    <n v="0"/>
    <n v="0"/>
    <n v="0"/>
    <n v="0"/>
    <n v="0"/>
    <n v="5"/>
    <n v="250"/>
    <n v="500"/>
    <n v="750"/>
    <n v="1100"/>
    <n v="666.66666666666663"/>
    <n v="1333.3333333333333"/>
    <n v="2000"/>
    <n v="2933.3333333333335"/>
    <n v="0"/>
    <n v="0"/>
    <n v="0"/>
    <n v="0"/>
    <n v="0"/>
  </r>
  <r>
    <m/>
    <s v="Player 3"/>
    <n v="1"/>
    <n v="25"/>
    <n v="50"/>
    <n v="75"/>
    <n v="100"/>
    <x v="0"/>
    <s v="Med"/>
    <s v="Group"/>
    <s v="3-6"/>
    <n v="50"/>
    <n v="100"/>
    <n v="150"/>
    <n v="200"/>
    <n v="0"/>
    <n v="0"/>
    <n v="0"/>
    <n v="0"/>
    <n v="0"/>
    <n v="2"/>
    <n v="50"/>
    <n v="100"/>
    <n v="150"/>
    <n v="200"/>
    <n v="100"/>
    <n v="200"/>
    <n v="300"/>
    <n v="400"/>
    <n v="0"/>
    <n v="0"/>
    <n v="0"/>
    <n v="0"/>
    <n v="0"/>
    <n v="3"/>
    <n v="75"/>
    <n v="150"/>
    <n v="225"/>
    <n v="400"/>
    <n v="150"/>
    <n v="300"/>
    <n v="450"/>
    <n v="800"/>
    <n v="0"/>
    <n v="0"/>
    <n v="0"/>
    <n v="0"/>
    <n v="0"/>
    <n v="4"/>
    <n v="125"/>
    <n v="250"/>
    <n v="375"/>
    <n v="500"/>
    <n v="250"/>
    <n v="500"/>
    <n v="750"/>
    <n v="1000"/>
    <n v="0"/>
    <n v="0"/>
    <n v="0"/>
    <n v="0"/>
    <n v="0"/>
    <n v="5"/>
    <n v="250"/>
    <n v="500"/>
    <n v="750"/>
    <n v="1100"/>
    <n v="500"/>
    <n v="1000"/>
    <n v="1500"/>
    <n v="2200"/>
    <n v="0"/>
    <n v="0"/>
    <n v="0"/>
    <n v="0"/>
    <n v="0"/>
  </r>
  <r>
    <m/>
    <s v="Player 4"/>
    <n v="1"/>
    <n v="25"/>
    <n v="50"/>
    <n v="75"/>
    <n v="100"/>
    <x v="0"/>
    <s v="Med"/>
    <s v="Gang"/>
    <s v="7-10"/>
    <n v="40"/>
    <n v="80"/>
    <n v="120"/>
    <n v="160"/>
    <n v="0"/>
    <n v="0"/>
    <n v="0"/>
    <n v="0"/>
    <n v="0"/>
    <n v="2"/>
    <n v="50"/>
    <n v="100"/>
    <n v="150"/>
    <n v="200"/>
    <n v="80"/>
    <n v="160"/>
    <n v="240"/>
    <n v="320"/>
    <n v="0"/>
    <n v="0"/>
    <n v="0"/>
    <n v="0"/>
    <n v="0"/>
    <n v="3"/>
    <n v="75"/>
    <n v="150"/>
    <n v="225"/>
    <n v="400"/>
    <n v="120"/>
    <n v="240"/>
    <n v="360"/>
    <n v="640"/>
    <n v="0"/>
    <n v="0"/>
    <n v="0"/>
    <n v="0"/>
    <n v="0"/>
    <n v="4"/>
    <n v="125"/>
    <n v="250"/>
    <n v="375"/>
    <n v="500"/>
    <n v="200"/>
    <n v="400"/>
    <n v="600"/>
    <n v="800"/>
    <n v="0"/>
    <n v="0"/>
    <n v="0"/>
    <n v="0"/>
    <n v="0"/>
    <n v="5"/>
    <n v="250"/>
    <n v="500"/>
    <n v="750"/>
    <n v="1100"/>
    <n v="400"/>
    <n v="800"/>
    <n v="1200"/>
    <n v="1760"/>
    <n v="0"/>
    <n v="0"/>
    <n v="0"/>
    <n v="0"/>
    <n v="0"/>
  </r>
  <r>
    <m/>
    <m/>
    <m/>
    <n v="0"/>
    <n v="0"/>
    <n v="0"/>
    <n v="0"/>
    <x v="0"/>
    <s v="Med"/>
    <s v="Mob"/>
    <s v="11-14"/>
    <n v="33.333333333333336"/>
    <n v="66.666666666666671"/>
    <n v="100"/>
    <n v="133.33333333333334"/>
    <n v="0"/>
    <n v="0"/>
    <n v="0"/>
    <n v="0"/>
    <n v="0"/>
    <n v="0"/>
    <n v="0"/>
    <n v="0"/>
    <n v="0"/>
    <n v="0"/>
    <n v="66.666666666666671"/>
    <n v="133.33333333333334"/>
    <n v="200"/>
    <n v="266.66666666666669"/>
    <n v="0"/>
    <n v="0"/>
    <n v="0"/>
    <n v="0"/>
    <n v="0"/>
    <n v="0"/>
    <n v="0"/>
    <n v="0"/>
    <n v="0"/>
    <n v="0"/>
    <n v="100"/>
    <n v="200"/>
    <n v="300"/>
    <n v="533.33333333333337"/>
    <n v="0"/>
    <n v="0"/>
    <n v="0"/>
    <n v="0"/>
    <n v="0"/>
    <n v="0"/>
    <n v="0"/>
    <n v="0"/>
    <n v="0"/>
    <n v="0"/>
    <n v="166.66666666666666"/>
    <n v="333.33333333333331"/>
    <n v="500"/>
    <n v="666.66666666666663"/>
    <n v="0"/>
    <n v="0"/>
    <n v="0"/>
    <n v="0"/>
    <n v="0"/>
    <n v="0"/>
    <n v="0"/>
    <n v="0"/>
    <n v="0"/>
    <n v="0"/>
    <n v="333.33333333333331"/>
    <n v="666.66666666666663"/>
    <n v="1000"/>
    <n v="1466.6666666666667"/>
    <n v="0"/>
    <n v="0"/>
    <n v="0"/>
    <n v="0"/>
    <n v="0"/>
  </r>
  <r>
    <m/>
    <m/>
    <m/>
    <n v="0"/>
    <n v="0"/>
    <n v="0"/>
    <n v="0"/>
    <x v="0"/>
    <s v="Med"/>
    <s v="Horde"/>
    <s v="15+"/>
    <n v="25"/>
    <n v="50"/>
    <n v="75"/>
    <n v="100"/>
    <n v="0"/>
    <n v="0"/>
    <n v="0"/>
    <n v="0"/>
    <n v="0"/>
    <n v="0"/>
    <n v="0"/>
    <n v="0"/>
    <n v="0"/>
    <n v="0"/>
    <n v="50"/>
    <n v="100"/>
    <n v="150"/>
    <n v="200"/>
    <n v="0"/>
    <n v="0"/>
    <n v="0"/>
    <n v="0"/>
    <n v="0"/>
    <n v="0"/>
    <n v="0"/>
    <n v="0"/>
    <n v="0"/>
    <n v="0"/>
    <n v="75"/>
    <n v="150"/>
    <n v="225"/>
    <n v="400"/>
    <n v="0"/>
    <n v="0"/>
    <n v="0"/>
    <n v="0"/>
    <n v="0"/>
    <n v="0"/>
    <n v="0"/>
    <n v="0"/>
    <n v="0"/>
    <n v="0"/>
    <n v="125"/>
    <n v="250"/>
    <n v="375"/>
    <n v="500"/>
    <n v="0"/>
    <n v="0"/>
    <n v="0"/>
    <n v="0"/>
    <n v="0"/>
    <n v="0"/>
    <n v="0"/>
    <n v="0"/>
    <n v="0"/>
    <n v="0"/>
    <n v="250"/>
    <n v="500"/>
    <n v="750"/>
    <n v="1100"/>
    <n v="0"/>
    <n v="0"/>
    <n v="0"/>
    <n v="0"/>
    <n v="0"/>
  </r>
  <r>
    <m/>
    <m/>
    <m/>
    <n v="0"/>
    <n v="0"/>
    <n v="0"/>
    <n v="0"/>
    <x v="0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0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n v="5"/>
    <s v="Player 1"/>
    <n v="5"/>
    <n v="250"/>
    <n v="500"/>
    <n v="750"/>
    <n v="1100"/>
    <x v="2"/>
    <s v="Small"/>
    <s v="Single"/>
    <s v="1"/>
    <n v="166.66666666666666"/>
    <n v="333.33333333333331"/>
    <n v="500"/>
    <n v="733.33333333333337"/>
    <n v="0.66666666666666652"/>
    <n v="0.66666666666666652"/>
    <n v="0.66666666666666663"/>
    <n v="0.83333333333333348"/>
    <n v="0.70833333333333326"/>
    <n v="6"/>
    <n v="300"/>
    <n v="600"/>
    <n v="900"/>
    <n v="1400"/>
    <n v="200"/>
    <n v="400"/>
    <n v="600"/>
    <n v="933.33333333333337"/>
    <n v="0"/>
    <n v="0"/>
    <n v="0"/>
    <n v="0.16666666666666671"/>
    <n v="4.1666666666666678E-2"/>
    <n v="7"/>
    <n v="350"/>
    <n v="750"/>
    <n v="1100"/>
    <n v="1700"/>
    <n v="233.33333333333334"/>
    <n v="500"/>
    <n v="733.33333333333337"/>
    <n v="1133.3333333333333"/>
    <n v="-0.22222222222222218"/>
    <n v="-0.16666666666666666"/>
    <n v="-0.18518518518518515"/>
    <n v="-0.29166666666666674"/>
    <n v="-0.21643518518518517"/>
    <n v="8"/>
    <n v="450"/>
    <n v="900"/>
    <n v="1400"/>
    <n v="2100"/>
    <n v="300"/>
    <n v="600"/>
    <n v="933.33333333333337"/>
    <n v="1400"/>
    <n v="-0.4"/>
    <n v="-0.4"/>
    <n v="-0.37777777777777777"/>
    <n v="-0.3"/>
    <n v="-0.36944444444444446"/>
    <n v="9"/>
    <n v="550"/>
    <n v="1100"/>
    <n v="1600"/>
    <n v="2400"/>
    <n v="366.66666666666669"/>
    <n v="733.33333333333337"/>
    <n v="1066.6666666666667"/>
    <n v="1600"/>
    <n v="-0.6333333333333333"/>
    <n v="-0.6333333333333333"/>
    <n v="-0.64444444444444438"/>
    <n v="-0.63636363636363635"/>
    <n v="-0.63686868686868681"/>
  </r>
  <r>
    <m/>
    <m/>
    <m/>
    <n v="0"/>
    <n v="0"/>
    <n v="0"/>
    <n v="0"/>
    <x v="2"/>
    <s v="Small"/>
    <s v="Pair"/>
    <s v="2"/>
    <n v="125"/>
    <n v="250"/>
    <n v="375"/>
    <n v="550"/>
    <n v="0.87499999999999989"/>
    <n v="0.87499999999999989"/>
    <n v="0.875"/>
    <n v="1.0624999999999998"/>
    <n v="0.921875"/>
    <n v="0"/>
    <n v="0"/>
    <n v="0"/>
    <n v="0"/>
    <n v="0"/>
    <n v="150"/>
    <n v="300"/>
    <n v="450"/>
    <n v="700"/>
    <n v="0.12499999999999992"/>
    <n v="0.12499999999999992"/>
    <n v="0.125"/>
    <n v="0.31249999999999989"/>
    <n v="0.17187499999999994"/>
    <n v="0"/>
    <n v="0"/>
    <n v="0"/>
    <n v="0"/>
    <n v="0"/>
    <n v="175"/>
    <n v="375"/>
    <n v="550"/>
    <n v="850"/>
    <n v="-0.125"/>
    <n v="-6.25E-2"/>
    <n v="-8.3333333333333329E-2"/>
    <n v="-0.20312500000000006"/>
    <n v="-0.11848958333333334"/>
    <n v="0"/>
    <n v="0"/>
    <n v="0"/>
    <n v="0"/>
    <n v="0"/>
    <n v="225"/>
    <n v="450"/>
    <n v="700"/>
    <n v="1050"/>
    <n v="-0.32499999999999996"/>
    <n v="-0.32499999999999996"/>
    <n v="-0.3"/>
    <n v="-0.21249999999999997"/>
    <n v="-0.29062499999999997"/>
    <n v="0"/>
    <n v="0"/>
    <n v="0"/>
    <n v="0"/>
    <n v="0"/>
    <n v="275"/>
    <n v="550"/>
    <n v="800"/>
    <n v="1200"/>
    <n v="-0.58750000000000002"/>
    <n v="-0.58750000000000002"/>
    <n v="-0.6"/>
    <n v="-0.59090909090909094"/>
    <n v="-0.59147727272727268"/>
  </r>
  <r>
    <m/>
    <m/>
    <m/>
    <n v="0"/>
    <n v="0"/>
    <n v="0"/>
    <n v="0"/>
    <x v="2"/>
    <s v="Small"/>
    <s v="Group"/>
    <s v="3-6"/>
    <n v="100"/>
    <n v="200"/>
    <n v="300"/>
    <n v="440"/>
    <n v="1"/>
    <n v="1"/>
    <n v="1"/>
    <n v="1.2"/>
    <n v="1.05"/>
    <n v="0"/>
    <n v="0"/>
    <n v="0"/>
    <n v="0"/>
    <n v="0"/>
    <n v="120"/>
    <n v="240"/>
    <n v="360"/>
    <n v="560"/>
    <n v="0.2"/>
    <n v="0.2"/>
    <n v="0.2"/>
    <n v="0.4"/>
    <n v="0.25"/>
    <n v="0"/>
    <n v="0"/>
    <n v="0"/>
    <n v="0"/>
    <n v="0"/>
    <n v="140"/>
    <n v="300"/>
    <n v="440"/>
    <n v="680"/>
    <n v="-6.6666666666666666E-2"/>
    <n v="0"/>
    <n v="-2.2222222222222223E-2"/>
    <n v="-0.15"/>
    <n v="-5.9722222222222218E-2"/>
    <n v="0"/>
    <n v="0"/>
    <n v="0"/>
    <n v="0"/>
    <n v="0"/>
    <n v="180"/>
    <n v="360"/>
    <n v="560"/>
    <n v="840"/>
    <n v="-0.28000000000000003"/>
    <n v="-0.28000000000000003"/>
    <n v="-0.25333333333333335"/>
    <n v="-0.16"/>
    <n v="-0.24333333333333337"/>
    <n v="0"/>
    <n v="0"/>
    <n v="0"/>
    <n v="0"/>
    <n v="0"/>
    <n v="220"/>
    <n v="440"/>
    <n v="640"/>
    <n v="960"/>
    <n v="-0.56000000000000005"/>
    <n v="-0.56000000000000005"/>
    <n v="-0.57333333333333336"/>
    <n v="-0.5636363636363636"/>
    <n v="-0.56424242424242421"/>
  </r>
  <r>
    <m/>
    <m/>
    <m/>
    <n v="0"/>
    <n v="0"/>
    <n v="0"/>
    <n v="0"/>
    <x v="2"/>
    <s v="Small"/>
    <s v="Gang"/>
    <s v="7-10"/>
    <n v="83.333333333333329"/>
    <n v="166.66666666666666"/>
    <n v="250"/>
    <n v="366.66666666666669"/>
    <n v="1.0833333333333333"/>
    <n v="1.0833333333333333"/>
    <n v="1.0833333333333333"/>
    <n v="1.2916666666666667"/>
    <n v="1.1354166666666667"/>
    <n v="0"/>
    <n v="0"/>
    <n v="0"/>
    <n v="0"/>
    <n v="0"/>
    <n v="100"/>
    <n v="200"/>
    <n v="300"/>
    <n v="466.66666666666669"/>
    <n v="0.25"/>
    <n v="0.25"/>
    <n v="0.25"/>
    <n v="0.45833333333333337"/>
    <n v="0.30208333333333337"/>
    <n v="0"/>
    <n v="0"/>
    <n v="0"/>
    <n v="0"/>
    <n v="0"/>
    <n v="116.66666666666667"/>
    <n v="250"/>
    <n v="366.66666666666669"/>
    <n v="566.66666666666663"/>
    <n v="-2.7777777777777738E-2"/>
    <n v="4.1666666666666664E-2"/>
    <n v="1.851851851851857E-2"/>
    <n v="-0.1145833333333334"/>
    <n v="-2.0543981481481476E-2"/>
    <n v="0"/>
    <n v="0"/>
    <n v="0"/>
    <n v="0"/>
    <n v="0"/>
    <n v="150"/>
    <n v="300"/>
    <n v="466.66666666666669"/>
    <n v="700"/>
    <n v="-0.25"/>
    <n v="-0.25"/>
    <n v="-0.22222222222222218"/>
    <n v="-0.125"/>
    <n v="-0.21180555555555555"/>
    <n v="0"/>
    <n v="0"/>
    <n v="0"/>
    <n v="0"/>
    <n v="0"/>
    <n v="183.33333333333334"/>
    <n v="366.66666666666669"/>
    <n v="533.33333333333337"/>
    <n v="800"/>
    <n v="-0.54166666666666663"/>
    <n v="-0.54166666666666663"/>
    <n v="-0.55555555555555547"/>
    <n v="-0.54545454545454541"/>
    <n v="-0.54608585858585856"/>
  </r>
  <r>
    <m/>
    <m/>
    <m/>
    <n v="0"/>
    <n v="0"/>
    <n v="0"/>
    <n v="0"/>
    <x v="2"/>
    <s v="Small"/>
    <s v="Mob"/>
    <s v="11-14"/>
    <n v="62.5"/>
    <n v="125"/>
    <n v="187.5"/>
    <n v="275"/>
    <n v="0.87499999999999989"/>
    <n v="0.87499999999999989"/>
    <n v="0.875"/>
    <n v="1.0624999999999998"/>
    <n v="0.921875"/>
    <n v="0"/>
    <n v="0"/>
    <n v="0"/>
    <n v="0"/>
    <n v="0"/>
    <n v="75"/>
    <n v="150"/>
    <n v="225"/>
    <n v="350"/>
    <n v="0.12499999999999992"/>
    <n v="0.12499999999999992"/>
    <n v="0.125"/>
    <n v="0.31249999999999989"/>
    <n v="0.17187499999999994"/>
    <n v="0"/>
    <n v="0"/>
    <n v="0"/>
    <n v="0"/>
    <n v="0"/>
    <n v="87.5"/>
    <n v="187.5"/>
    <n v="275"/>
    <n v="425"/>
    <n v="-0.125"/>
    <n v="-6.25E-2"/>
    <n v="-8.3333333333333329E-2"/>
    <n v="-0.20312500000000006"/>
    <n v="-0.11848958333333334"/>
    <n v="0"/>
    <n v="0"/>
    <n v="0"/>
    <n v="0"/>
    <n v="0"/>
    <n v="112.5"/>
    <n v="225"/>
    <n v="350"/>
    <n v="525"/>
    <n v="-0.32499999999999996"/>
    <n v="-0.32499999999999996"/>
    <n v="-0.3"/>
    <n v="-0.21249999999999997"/>
    <n v="-0.29062499999999997"/>
    <n v="0"/>
    <n v="0"/>
    <n v="0"/>
    <n v="0"/>
    <n v="0"/>
    <n v="137.5"/>
    <n v="275"/>
    <n v="400"/>
    <n v="600"/>
    <n v="-0.58750000000000002"/>
    <n v="-0.58750000000000002"/>
    <n v="-0.6"/>
    <n v="-0.59090909090909094"/>
    <n v="-0.59147727272727268"/>
  </r>
  <r>
    <m/>
    <m/>
    <m/>
    <n v="0"/>
    <n v="0"/>
    <n v="0"/>
    <n v="0"/>
    <x v="2"/>
    <s v="Small"/>
    <s v="Horde"/>
    <s v="15+"/>
    <n v="50"/>
    <n v="100"/>
    <n v="150"/>
    <n v="220"/>
    <n v="1"/>
    <n v="1"/>
    <n v="1"/>
    <n v="1.2"/>
    <n v="1.05"/>
    <n v="0"/>
    <n v="0"/>
    <n v="0"/>
    <n v="0"/>
    <n v="0"/>
    <n v="60"/>
    <n v="120"/>
    <n v="180"/>
    <n v="280"/>
    <n v="0.2"/>
    <n v="0.2"/>
    <n v="0.2"/>
    <n v="0.4"/>
    <n v="0.25"/>
    <n v="0"/>
    <n v="0"/>
    <n v="0"/>
    <n v="0"/>
    <n v="0"/>
    <n v="70"/>
    <n v="150"/>
    <n v="220"/>
    <n v="340"/>
    <n v="-6.6666666666666666E-2"/>
    <n v="0"/>
    <n v="-2.2222222222222223E-2"/>
    <n v="-0.15"/>
    <n v="-5.9722222222222218E-2"/>
    <n v="0"/>
    <n v="0"/>
    <n v="0"/>
    <n v="0"/>
    <n v="0"/>
    <n v="90"/>
    <n v="180"/>
    <n v="280"/>
    <n v="420"/>
    <n v="-0.28000000000000003"/>
    <n v="-0.28000000000000003"/>
    <n v="-0.25333333333333335"/>
    <n v="-0.16"/>
    <n v="-0.24333333333333337"/>
    <n v="0"/>
    <n v="0"/>
    <n v="0"/>
    <n v="0"/>
    <n v="0"/>
    <n v="110"/>
    <n v="220"/>
    <n v="320"/>
    <n v="480"/>
    <n v="-0.56000000000000005"/>
    <n v="-0.56000000000000005"/>
    <n v="-0.57333333333333336"/>
    <n v="-0.5636363636363636"/>
    <n v="-0.56424242424242421"/>
  </r>
  <r>
    <m/>
    <m/>
    <m/>
    <n v="0"/>
    <n v="0"/>
    <n v="0"/>
    <n v="0"/>
    <x v="2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2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n v="4"/>
    <s v="Player 1"/>
    <n v="4"/>
    <n v="125"/>
    <n v="250"/>
    <n v="375"/>
    <n v="500"/>
    <x v="3"/>
    <s v="Small"/>
    <s v="Single"/>
    <s v="1"/>
    <n v="83.333333333333329"/>
    <n v="166.66666666666666"/>
    <n v="250"/>
    <n v="333.33333333333331"/>
    <n v="-0.16666666666666671"/>
    <n v="-0.16666666666666671"/>
    <n v="-0.16666666666666666"/>
    <n v="-0.16666666666666671"/>
    <n v="-0.16666666666666671"/>
    <n v="5"/>
    <n v="250"/>
    <n v="500"/>
    <n v="750"/>
    <n v="1100"/>
    <n v="166.66666666666666"/>
    <n v="333.33333333333331"/>
    <n v="500"/>
    <n v="733.33333333333337"/>
    <n v="-0.16666666666666671"/>
    <n v="-0.16666666666666671"/>
    <n v="-0.16666666666666666"/>
    <n v="-8.3333333333333287E-2"/>
    <n v="-0.14583333333333334"/>
    <n v="6"/>
    <n v="300"/>
    <n v="600"/>
    <n v="900"/>
    <n v="1400"/>
    <n v="200"/>
    <n v="400"/>
    <n v="600"/>
    <n v="933.33333333333337"/>
    <n v="-0.33333333333333331"/>
    <n v="-0.33333333333333331"/>
    <n v="-0.33333333333333331"/>
    <n v="-0.41666666666666663"/>
    <n v="-0.35416666666666663"/>
    <n v="7"/>
    <n v="350"/>
    <n v="750"/>
    <n v="1100"/>
    <n v="1700"/>
    <n v="233.33333333333334"/>
    <n v="500"/>
    <n v="733.33333333333337"/>
    <n v="1133.3333333333333"/>
    <n v="-0.53333333333333321"/>
    <n v="-0.5"/>
    <n v="-0.51111111111111107"/>
    <n v="-0.43333333333333335"/>
    <n v="-0.49444444444444441"/>
    <n v="8"/>
    <n v="450"/>
    <n v="900"/>
    <n v="1400"/>
    <n v="2100"/>
    <n v="300"/>
    <n v="600"/>
    <n v="933.33333333333337"/>
    <n v="1400"/>
    <n v="-0.7"/>
    <n v="-0.7"/>
    <n v="-0.68888888888888888"/>
    <n v="-0.68181818181818177"/>
    <n v="-0.69267676767676756"/>
  </r>
  <r>
    <m/>
    <m/>
    <m/>
    <n v="0"/>
    <n v="0"/>
    <n v="0"/>
    <n v="0"/>
    <x v="3"/>
    <s v="Small"/>
    <s v="Pair"/>
    <s v="2"/>
    <n v="62.5"/>
    <n v="125"/>
    <n v="187.5"/>
    <n v="250"/>
    <n v="-6.2500000000000069E-2"/>
    <n v="-6.2500000000000069E-2"/>
    <n v="-6.25E-2"/>
    <n v="-6.2500000000000069E-2"/>
    <n v="-6.2500000000000056E-2"/>
    <n v="0"/>
    <n v="0"/>
    <n v="0"/>
    <n v="0"/>
    <n v="0"/>
    <n v="125"/>
    <n v="250"/>
    <n v="375"/>
    <n v="550"/>
    <n v="-6.2500000000000069E-2"/>
    <n v="-6.2500000000000069E-2"/>
    <n v="-6.25E-2"/>
    <n v="3.1249999999999927E-2"/>
    <n v="-3.9062500000000056E-2"/>
    <n v="0"/>
    <n v="0"/>
    <n v="0"/>
    <n v="0"/>
    <n v="0"/>
    <n v="150"/>
    <n v="300"/>
    <n v="450"/>
    <n v="700"/>
    <n v="-0.25"/>
    <n v="-0.25"/>
    <n v="-0.25"/>
    <n v="-0.34375000000000006"/>
    <n v="-0.2734375"/>
    <n v="0"/>
    <n v="0"/>
    <n v="0"/>
    <n v="0"/>
    <n v="0"/>
    <n v="175"/>
    <n v="375"/>
    <n v="550"/>
    <n v="850"/>
    <n v="-0.47499999999999998"/>
    <n v="-0.43749999999999994"/>
    <n v="-0.45"/>
    <n v="-0.36249999999999999"/>
    <n v="-0.43124999999999997"/>
    <n v="0"/>
    <n v="0"/>
    <n v="0"/>
    <n v="0"/>
    <n v="0"/>
    <n v="225"/>
    <n v="450"/>
    <n v="700"/>
    <n v="1050"/>
    <n v="-0.66249999999999998"/>
    <n v="-0.66249999999999998"/>
    <n v="-0.65"/>
    <n v="-0.64204545454545459"/>
    <n v="-0.65426136363636367"/>
  </r>
  <r>
    <m/>
    <m/>
    <m/>
    <n v="0"/>
    <n v="0"/>
    <n v="0"/>
    <n v="0"/>
    <x v="3"/>
    <s v="Small"/>
    <s v="Group"/>
    <s v="3-6"/>
    <n v="50"/>
    <n v="100"/>
    <n v="150"/>
    <n v="200"/>
    <n v="0"/>
    <n v="0"/>
    <n v="0"/>
    <n v="0"/>
    <n v="0"/>
    <n v="0"/>
    <n v="0"/>
    <n v="0"/>
    <n v="0"/>
    <n v="0"/>
    <n v="100"/>
    <n v="200"/>
    <n v="300"/>
    <n v="440"/>
    <n v="0"/>
    <n v="0"/>
    <n v="0"/>
    <n v="0.1"/>
    <n v="2.5000000000000001E-2"/>
    <n v="0"/>
    <n v="0"/>
    <n v="0"/>
    <n v="0"/>
    <n v="0"/>
    <n v="120"/>
    <n v="240"/>
    <n v="360"/>
    <n v="560"/>
    <n v="-0.2"/>
    <n v="-0.2"/>
    <n v="-0.2"/>
    <n v="-0.3"/>
    <n v="-0.22500000000000003"/>
    <n v="0"/>
    <n v="0"/>
    <n v="0"/>
    <n v="0"/>
    <n v="0"/>
    <n v="140"/>
    <n v="300"/>
    <n v="440"/>
    <n v="680"/>
    <n v="-0.44"/>
    <n v="-0.4"/>
    <n v="-0.41333333333333333"/>
    <n v="-0.32"/>
    <n v="-0.39333333333333337"/>
    <n v="0"/>
    <n v="0"/>
    <n v="0"/>
    <n v="0"/>
    <n v="0"/>
    <n v="180"/>
    <n v="360"/>
    <n v="560"/>
    <n v="840"/>
    <n v="-0.64"/>
    <n v="-0.64"/>
    <n v="-0.62666666666666671"/>
    <n v="-0.61818181818181817"/>
    <n v="-0.63121212121212122"/>
  </r>
  <r>
    <m/>
    <m/>
    <m/>
    <n v="0"/>
    <n v="0"/>
    <n v="0"/>
    <n v="0"/>
    <x v="3"/>
    <s v="Small"/>
    <s v="Gang"/>
    <s v="7-10"/>
    <n v="41.666666666666664"/>
    <n v="83.333333333333329"/>
    <n v="125"/>
    <n v="166.66666666666666"/>
    <n v="4.1666666666666609E-2"/>
    <n v="4.1666666666666609E-2"/>
    <n v="4.1666666666666664E-2"/>
    <n v="4.1666666666666609E-2"/>
    <n v="4.1666666666666623E-2"/>
    <n v="0"/>
    <n v="0"/>
    <n v="0"/>
    <n v="0"/>
    <n v="0"/>
    <n v="83.333333333333329"/>
    <n v="166.66666666666666"/>
    <n v="250"/>
    <n v="366.66666666666669"/>
    <n v="4.1666666666666609E-2"/>
    <n v="4.1666666666666609E-2"/>
    <n v="4.1666666666666664E-2"/>
    <n v="0.1458333333333334"/>
    <n v="6.7708333333333315E-2"/>
    <n v="0"/>
    <n v="0"/>
    <n v="0"/>
    <n v="0"/>
    <n v="0"/>
    <n v="100"/>
    <n v="200"/>
    <n v="300"/>
    <n v="466.66666666666669"/>
    <n v="-0.16666666666666666"/>
    <n v="-0.16666666666666666"/>
    <n v="-0.16666666666666666"/>
    <n v="-0.27083333333333331"/>
    <n v="-0.19270833333333331"/>
    <n v="0"/>
    <n v="0"/>
    <n v="0"/>
    <n v="0"/>
    <n v="0"/>
    <n v="116.66666666666667"/>
    <n v="250"/>
    <n v="366.66666666666669"/>
    <n v="566.66666666666663"/>
    <n v="-0.41666666666666663"/>
    <n v="-0.375"/>
    <n v="-0.38888888888888884"/>
    <n v="-0.29166666666666674"/>
    <n v="-0.36805555555555552"/>
    <n v="0"/>
    <n v="0"/>
    <n v="0"/>
    <n v="0"/>
    <n v="0"/>
    <n v="150"/>
    <n v="300"/>
    <n v="466.66666666666669"/>
    <n v="700"/>
    <n v="-0.625"/>
    <n v="-0.625"/>
    <n v="-0.61111111111111105"/>
    <n v="-0.60227272727272729"/>
    <n v="-0.61584595959595956"/>
  </r>
  <r>
    <m/>
    <m/>
    <m/>
    <n v="0"/>
    <n v="0"/>
    <n v="0"/>
    <n v="0"/>
    <x v="3"/>
    <s v="Small"/>
    <s v="Mob"/>
    <s v="11-14"/>
    <n v="31.25"/>
    <n v="62.5"/>
    <n v="93.75"/>
    <n v="125"/>
    <n v="-6.2500000000000069E-2"/>
    <n v="-6.2500000000000069E-2"/>
    <n v="-6.25E-2"/>
    <n v="-6.2500000000000069E-2"/>
    <n v="-6.2500000000000056E-2"/>
    <n v="0"/>
    <n v="0"/>
    <n v="0"/>
    <n v="0"/>
    <n v="0"/>
    <n v="62.5"/>
    <n v="125"/>
    <n v="187.5"/>
    <n v="275"/>
    <n v="-6.2500000000000069E-2"/>
    <n v="-6.2500000000000069E-2"/>
    <n v="-6.25E-2"/>
    <n v="3.1249999999999927E-2"/>
    <n v="-3.9062500000000056E-2"/>
    <n v="0"/>
    <n v="0"/>
    <n v="0"/>
    <n v="0"/>
    <n v="0"/>
    <n v="75"/>
    <n v="150"/>
    <n v="225"/>
    <n v="350"/>
    <n v="-0.25"/>
    <n v="-0.25"/>
    <n v="-0.25"/>
    <n v="-0.34375000000000006"/>
    <n v="-0.2734375"/>
    <n v="0"/>
    <n v="0"/>
    <n v="0"/>
    <n v="0"/>
    <n v="0"/>
    <n v="87.5"/>
    <n v="187.5"/>
    <n v="275"/>
    <n v="425"/>
    <n v="-0.47499999999999998"/>
    <n v="-0.43749999999999994"/>
    <n v="-0.45"/>
    <n v="-0.36249999999999999"/>
    <n v="-0.43124999999999997"/>
    <n v="0"/>
    <n v="0"/>
    <n v="0"/>
    <n v="0"/>
    <n v="0"/>
    <n v="112.5"/>
    <n v="225"/>
    <n v="350"/>
    <n v="525"/>
    <n v="-0.66249999999999998"/>
    <n v="-0.66249999999999998"/>
    <n v="-0.65"/>
    <n v="-0.64204545454545459"/>
    <n v="-0.65426136363636367"/>
  </r>
  <r>
    <m/>
    <m/>
    <m/>
    <n v="0"/>
    <n v="0"/>
    <n v="0"/>
    <n v="0"/>
    <x v="3"/>
    <s v="Small"/>
    <s v="Horde"/>
    <s v="15+"/>
    <n v="25"/>
    <n v="50"/>
    <n v="75"/>
    <n v="100"/>
    <n v="0"/>
    <n v="0"/>
    <n v="0"/>
    <n v="0"/>
    <n v="0"/>
    <n v="0"/>
    <n v="0"/>
    <n v="0"/>
    <n v="0"/>
    <n v="0"/>
    <n v="50"/>
    <n v="100"/>
    <n v="150"/>
    <n v="220"/>
    <n v="0"/>
    <n v="0"/>
    <n v="0"/>
    <n v="0.1"/>
    <n v="2.5000000000000001E-2"/>
    <n v="0"/>
    <n v="0"/>
    <n v="0"/>
    <n v="0"/>
    <n v="0"/>
    <n v="60"/>
    <n v="120"/>
    <n v="180"/>
    <n v="280"/>
    <n v="-0.2"/>
    <n v="-0.2"/>
    <n v="-0.2"/>
    <n v="-0.3"/>
    <n v="-0.22500000000000003"/>
    <n v="0"/>
    <n v="0"/>
    <n v="0"/>
    <n v="0"/>
    <n v="0"/>
    <n v="70"/>
    <n v="150"/>
    <n v="220"/>
    <n v="340"/>
    <n v="-0.44"/>
    <n v="-0.4"/>
    <n v="-0.41333333333333333"/>
    <n v="-0.32"/>
    <n v="-0.39333333333333337"/>
    <n v="0"/>
    <n v="0"/>
    <n v="0"/>
    <n v="0"/>
    <n v="0"/>
    <n v="90"/>
    <n v="180"/>
    <n v="280"/>
    <n v="420"/>
    <n v="-0.64"/>
    <n v="-0.64"/>
    <n v="-0.62666666666666671"/>
    <n v="-0.61818181818181817"/>
    <n v="-0.63121212121212122"/>
  </r>
  <r>
    <m/>
    <m/>
    <m/>
    <n v="0"/>
    <n v="0"/>
    <n v="0"/>
    <n v="0"/>
    <x v="3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3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s v="3, 3"/>
    <s v="P1"/>
    <n v="3"/>
    <n v="75"/>
    <n v="150"/>
    <n v="225"/>
    <n v="400"/>
    <x v="4"/>
    <s v="Small"/>
    <s v="Single"/>
    <s v="1"/>
    <n v="100"/>
    <n v="200"/>
    <n v="300"/>
    <n v="533.33333333333337"/>
    <n v="0"/>
    <n v="0"/>
    <n v="0"/>
    <n v="0.33333333333333343"/>
    <n v="8.3333333333333356E-2"/>
    <n v="4"/>
    <n v="125"/>
    <n v="250"/>
    <n v="375"/>
    <n v="500"/>
    <n v="166.66666666666666"/>
    <n v="333.33333333333331"/>
    <n v="500"/>
    <n v="666.66666666666663"/>
    <n v="-0.16666666666666671"/>
    <n v="-0.16666666666666671"/>
    <n v="-0.16666666666666666"/>
    <n v="-0.16666666666666671"/>
    <n v="-0.16666666666666671"/>
    <n v="5"/>
    <n v="250"/>
    <n v="500"/>
    <n v="750"/>
    <n v="1100"/>
    <n v="333.33333333333331"/>
    <n v="666.66666666666663"/>
    <n v="1000"/>
    <n v="1466.6666666666667"/>
    <n v="0.11111111111111105"/>
    <n v="0.11111111111111105"/>
    <n v="0.1111111111111111"/>
    <n v="-8.3333333333333287E-2"/>
    <n v="6.2499999999999979E-2"/>
    <n v="6"/>
    <n v="300"/>
    <n v="600"/>
    <n v="900"/>
    <n v="1400"/>
    <n v="400"/>
    <n v="800"/>
    <n v="1200"/>
    <n v="1866.6666666666667"/>
    <n v="-0.2"/>
    <n v="-0.2"/>
    <n v="-0.2"/>
    <n v="-6.6666666666666624E-2"/>
    <n v="-0.16666666666666669"/>
    <n v="7"/>
    <n v="350"/>
    <n v="750"/>
    <n v="1100"/>
    <n v="1700"/>
    <n v="466.66666666666669"/>
    <n v="1000"/>
    <n v="1466.6666666666667"/>
    <n v="2266.6666666666665"/>
    <n v="-0.53333333333333321"/>
    <n v="-0.5"/>
    <n v="-0.51111111111111107"/>
    <n v="-0.48484848484848486"/>
    <n v="-0.50732323232323229"/>
  </r>
  <r>
    <m/>
    <s v="P2"/>
    <n v="3"/>
    <n v="75"/>
    <n v="150"/>
    <n v="225"/>
    <n v="400"/>
    <x v="4"/>
    <s v="Small"/>
    <s v="Pair"/>
    <s v="2"/>
    <n v="75"/>
    <n v="150"/>
    <n v="225"/>
    <n v="400"/>
    <n v="0.12499999999999992"/>
    <n v="0.12499999999999992"/>
    <n v="0.125"/>
    <n v="0.49999999999999989"/>
    <n v="0.21874999999999994"/>
    <n v="4"/>
    <n v="125"/>
    <n v="250"/>
    <n v="375"/>
    <n v="500"/>
    <n v="125"/>
    <n v="250"/>
    <n v="375"/>
    <n v="500"/>
    <n v="-6.2500000000000069E-2"/>
    <n v="-6.2500000000000069E-2"/>
    <n v="-6.25E-2"/>
    <n v="-6.2500000000000069E-2"/>
    <n v="-6.2500000000000056E-2"/>
    <n v="5"/>
    <n v="250"/>
    <n v="500"/>
    <n v="750"/>
    <n v="1100"/>
    <n v="250"/>
    <n v="500"/>
    <n v="750"/>
    <n v="1100"/>
    <n v="0.25"/>
    <n v="0.25"/>
    <n v="0.25"/>
    <n v="3.1249999999999927E-2"/>
    <n v="0.19531249999999997"/>
    <n v="6"/>
    <n v="300"/>
    <n v="600"/>
    <n v="900"/>
    <n v="1400"/>
    <n v="300"/>
    <n v="600"/>
    <n v="900"/>
    <n v="1400"/>
    <n v="-9.999999999999995E-2"/>
    <n v="-9.999999999999995E-2"/>
    <n v="-0.1"/>
    <n v="5.0000000000000058E-2"/>
    <n v="-6.2499999999999972E-2"/>
    <n v="7"/>
    <n v="350"/>
    <n v="750"/>
    <n v="1100"/>
    <n v="1700"/>
    <n v="350"/>
    <n v="750"/>
    <n v="1100"/>
    <n v="1700"/>
    <n v="-0.47499999999999998"/>
    <n v="-0.43749999999999994"/>
    <n v="-0.45"/>
    <n v="-0.42045454545454547"/>
    <n v="-0.44573863636363631"/>
  </r>
  <r>
    <m/>
    <m/>
    <m/>
    <n v="0"/>
    <n v="0"/>
    <n v="0"/>
    <n v="0"/>
    <x v="4"/>
    <s v="Small"/>
    <s v="Group"/>
    <s v="3-6"/>
    <n v="60"/>
    <n v="120"/>
    <n v="180"/>
    <n v="320"/>
    <n v="0.2"/>
    <n v="0.2"/>
    <n v="0.2"/>
    <n v="0.6"/>
    <n v="0.30000000000000004"/>
    <n v="0"/>
    <n v="0"/>
    <n v="0"/>
    <n v="0"/>
    <n v="0"/>
    <n v="100"/>
    <n v="200"/>
    <n v="300"/>
    <n v="400"/>
    <n v="0"/>
    <n v="0"/>
    <n v="0"/>
    <n v="0"/>
    <n v="0"/>
    <n v="0"/>
    <n v="0"/>
    <n v="0"/>
    <n v="0"/>
    <n v="0"/>
    <n v="200"/>
    <n v="400"/>
    <n v="600"/>
    <n v="880"/>
    <n v="0.33333333333333331"/>
    <n v="0.33333333333333331"/>
    <n v="0.33333333333333331"/>
    <n v="0.1"/>
    <n v="0.27500000000000002"/>
    <n v="0"/>
    <n v="0"/>
    <n v="0"/>
    <n v="0"/>
    <n v="0"/>
    <n v="240"/>
    <n v="480"/>
    <n v="720"/>
    <n v="1120"/>
    <n v="-0.04"/>
    <n v="-0.04"/>
    <n v="-0.04"/>
    <n v="0.12"/>
    <n v="0"/>
    <n v="0"/>
    <n v="0"/>
    <n v="0"/>
    <n v="0"/>
    <n v="0"/>
    <n v="280"/>
    <n v="600"/>
    <n v="880"/>
    <n v="1360"/>
    <n v="-0.44"/>
    <n v="-0.4"/>
    <n v="-0.41333333333333333"/>
    <n v="-0.38181818181818183"/>
    <n v="-0.40878787878787881"/>
  </r>
  <r>
    <m/>
    <m/>
    <m/>
    <n v="0"/>
    <n v="0"/>
    <n v="0"/>
    <n v="0"/>
    <x v="4"/>
    <s v="Small"/>
    <s v="Gang"/>
    <s v="7-10"/>
    <n v="50"/>
    <n v="100"/>
    <n v="150"/>
    <n v="266.66666666666669"/>
    <n v="0.25"/>
    <n v="0.25"/>
    <n v="0.25"/>
    <n v="0.66666666666666674"/>
    <n v="0.35416666666666669"/>
    <n v="0"/>
    <n v="0"/>
    <n v="0"/>
    <n v="0"/>
    <n v="0"/>
    <n v="83.333333333333329"/>
    <n v="166.66666666666666"/>
    <n v="250"/>
    <n v="333.33333333333331"/>
    <n v="4.1666666666666609E-2"/>
    <n v="4.1666666666666609E-2"/>
    <n v="4.1666666666666664E-2"/>
    <n v="4.1666666666666609E-2"/>
    <n v="4.1666666666666623E-2"/>
    <n v="0"/>
    <n v="0"/>
    <n v="0"/>
    <n v="0"/>
    <n v="0"/>
    <n v="166.66666666666666"/>
    <n v="333.33333333333331"/>
    <n v="500"/>
    <n v="733.33333333333337"/>
    <n v="0.38888888888888878"/>
    <n v="0.38888888888888878"/>
    <n v="0.3888888888888889"/>
    <n v="0.1458333333333334"/>
    <n v="0.328125"/>
    <n v="0"/>
    <n v="0"/>
    <n v="0"/>
    <n v="0"/>
    <n v="0"/>
    <n v="200"/>
    <n v="400"/>
    <n v="600"/>
    <n v="933.33333333333337"/>
    <n v="0"/>
    <n v="0"/>
    <n v="0"/>
    <n v="0.16666666666666671"/>
    <n v="4.1666666666666678E-2"/>
    <n v="0"/>
    <n v="0"/>
    <n v="0"/>
    <n v="0"/>
    <n v="0"/>
    <n v="233.33333333333334"/>
    <n v="500"/>
    <n v="733.33333333333337"/>
    <n v="1133.3333333333333"/>
    <n v="-0.41666666666666663"/>
    <n v="-0.375"/>
    <n v="-0.38888888888888884"/>
    <n v="-0.35606060606060608"/>
    <n v="-0.38415404040404033"/>
  </r>
  <r>
    <m/>
    <m/>
    <m/>
    <n v="0"/>
    <n v="0"/>
    <n v="0"/>
    <n v="0"/>
    <x v="4"/>
    <s v="Small"/>
    <s v="Mob"/>
    <s v="11-14"/>
    <n v="37.5"/>
    <n v="75"/>
    <n v="112.5"/>
    <n v="200"/>
    <n v="0.12499999999999992"/>
    <n v="0.12499999999999992"/>
    <n v="0.125"/>
    <n v="0.49999999999999989"/>
    <n v="0.21874999999999994"/>
    <n v="0"/>
    <n v="0"/>
    <n v="0"/>
    <n v="0"/>
    <n v="0"/>
    <n v="62.5"/>
    <n v="125"/>
    <n v="187.5"/>
    <n v="250"/>
    <n v="-6.2500000000000069E-2"/>
    <n v="-6.2500000000000069E-2"/>
    <n v="-6.25E-2"/>
    <n v="-6.2500000000000069E-2"/>
    <n v="-6.2500000000000056E-2"/>
    <n v="0"/>
    <n v="0"/>
    <n v="0"/>
    <n v="0"/>
    <n v="0"/>
    <n v="125"/>
    <n v="250"/>
    <n v="375"/>
    <n v="550"/>
    <n v="0.25"/>
    <n v="0.25"/>
    <n v="0.25"/>
    <n v="3.1249999999999927E-2"/>
    <n v="0.19531249999999997"/>
    <n v="0"/>
    <n v="0"/>
    <n v="0"/>
    <n v="0"/>
    <n v="0"/>
    <n v="150"/>
    <n v="300"/>
    <n v="450"/>
    <n v="700"/>
    <n v="-9.999999999999995E-2"/>
    <n v="-9.999999999999995E-2"/>
    <n v="-0.1"/>
    <n v="5.0000000000000058E-2"/>
    <n v="-6.2499999999999972E-2"/>
    <n v="0"/>
    <n v="0"/>
    <n v="0"/>
    <n v="0"/>
    <n v="0"/>
    <n v="175"/>
    <n v="375"/>
    <n v="550"/>
    <n v="850"/>
    <n v="-0.47499999999999998"/>
    <n v="-0.43749999999999994"/>
    <n v="-0.45"/>
    <n v="-0.42045454545454547"/>
    <n v="-0.44573863636363631"/>
  </r>
  <r>
    <m/>
    <m/>
    <m/>
    <n v="0"/>
    <n v="0"/>
    <n v="0"/>
    <n v="0"/>
    <x v="4"/>
    <s v="Small"/>
    <s v="Horde"/>
    <s v="15+"/>
    <n v="30"/>
    <n v="60"/>
    <n v="90"/>
    <n v="160"/>
    <n v="0.2"/>
    <n v="0.2"/>
    <n v="0.2"/>
    <n v="0.6"/>
    <n v="0.30000000000000004"/>
    <n v="0"/>
    <n v="0"/>
    <n v="0"/>
    <n v="0"/>
    <n v="0"/>
    <n v="50"/>
    <n v="100"/>
    <n v="150"/>
    <n v="200"/>
    <n v="0"/>
    <n v="0"/>
    <n v="0"/>
    <n v="0"/>
    <n v="0"/>
    <n v="0"/>
    <n v="0"/>
    <n v="0"/>
    <n v="0"/>
    <n v="0"/>
    <n v="100"/>
    <n v="200"/>
    <n v="300"/>
    <n v="440"/>
    <n v="0.33333333333333331"/>
    <n v="0.33333333333333331"/>
    <n v="0.33333333333333331"/>
    <n v="0.1"/>
    <n v="0.27500000000000002"/>
    <n v="0"/>
    <n v="0"/>
    <n v="0"/>
    <n v="0"/>
    <n v="0"/>
    <n v="120"/>
    <n v="240"/>
    <n v="360"/>
    <n v="560"/>
    <n v="-0.04"/>
    <n v="-0.04"/>
    <n v="-0.04"/>
    <n v="0.12"/>
    <n v="0"/>
    <n v="0"/>
    <n v="0"/>
    <n v="0"/>
    <n v="0"/>
    <n v="0"/>
    <n v="140"/>
    <n v="300"/>
    <n v="440"/>
    <n v="680"/>
    <n v="-0.44"/>
    <n v="-0.4"/>
    <n v="-0.41333333333333333"/>
    <n v="-0.38181818181818183"/>
    <n v="-0.40878787878787881"/>
  </r>
  <r>
    <m/>
    <m/>
    <m/>
    <n v="0"/>
    <n v="0"/>
    <n v="0"/>
    <n v="0"/>
    <x v="4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4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s v="2, 2, 2"/>
    <n v="1"/>
    <n v="2"/>
    <n v="50"/>
    <n v="100"/>
    <n v="150"/>
    <n v="200"/>
    <x v="5"/>
    <s v="Med"/>
    <s v="Single"/>
    <s v="1"/>
    <n v="150"/>
    <n v="300"/>
    <n v="450"/>
    <n v="600"/>
    <n v="0.5"/>
    <n v="0.5"/>
    <n v="0.5"/>
    <n v="0.5"/>
    <n v="0.5"/>
    <n v="3"/>
    <n v="75"/>
    <n v="150"/>
    <n v="225"/>
    <n v="400"/>
    <n v="225"/>
    <n v="450"/>
    <n v="675"/>
    <n v="1200"/>
    <n v="0.125"/>
    <n v="0.125"/>
    <n v="0.125"/>
    <n v="0.5"/>
    <n v="0.21875"/>
    <n v="4"/>
    <n v="125"/>
    <n v="250"/>
    <n v="375"/>
    <n v="500"/>
    <n v="375"/>
    <n v="750"/>
    <n v="1125"/>
    <n v="1500"/>
    <n v="0.25"/>
    <n v="0.25"/>
    <n v="0.25"/>
    <n v="-6.25E-2"/>
    <n v="0.171875"/>
    <n v="5"/>
    <n v="250"/>
    <n v="500"/>
    <n v="750"/>
    <n v="1100"/>
    <n v="750"/>
    <n v="1500"/>
    <n v="2250"/>
    <n v="3300"/>
    <n v="0.5"/>
    <n v="0.5"/>
    <n v="0.5"/>
    <n v="0.65"/>
    <n v="0.53749999999999998"/>
    <n v="6"/>
    <n v="300"/>
    <n v="600"/>
    <n v="900"/>
    <n v="1400"/>
    <n v="900"/>
    <n v="1800"/>
    <n v="2700"/>
    <n v="4200"/>
    <n v="-0.1"/>
    <n v="-0.1"/>
    <n v="-0.1"/>
    <n v="-4.5454545454545456E-2"/>
    <n v="-8.6363636363636379E-2"/>
  </r>
  <r>
    <m/>
    <n v="2"/>
    <n v="2"/>
    <n v="50"/>
    <n v="100"/>
    <n v="150"/>
    <n v="200"/>
    <x v="5"/>
    <s v="Med"/>
    <s v="Pair"/>
    <s v="2"/>
    <n v="100"/>
    <n v="200"/>
    <n v="300"/>
    <n v="400"/>
    <n v="0.49999999999999989"/>
    <n v="0.49999999999999989"/>
    <n v="0.5"/>
    <n v="0.49999999999999989"/>
    <n v="0.49999999999999989"/>
    <n v="3"/>
    <n v="75"/>
    <n v="150"/>
    <n v="225"/>
    <n v="400"/>
    <n v="150"/>
    <n v="300"/>
    <n v="450"/>
    <n v="800"/>
    <n v="0.12499999999999992"/>
    <n v="0.12499999999999992"/>
    <n v="0.125"/>
    <n v="0.49999999999999989"/>
    <n v="0.21874999999999994"/>
    <n v="4"/>
    <n v="125"/>
    <n v="250"/>
    <n v="375"/>
    <n v="500"/>
    <n v="250"/>
    <n v="500"/>
    <n v="750"/>
    <n v="1000"/>
    <n v="0.25"/>
    <n v="0.25"/>
    <n v="0.25"/>
    <n v="-6.2500000000000069E-2"/>
    <n v="0.17187499999999997"/>
    <n v="5"/>
    <n v="250"/>
    <n v="500"/>
    <n v="750"/>
    <n v="1100"/>
    <n v="500"/>
    <n v="1000"/>
    <n v="1500"/>
    <n v="2200"/>
    <n v="0.50000000000000011"/>
    <n v="0.50000000000000011"/>
    <n v="0.5"/>
    <n v="0.65000000000000013"/>
    <n v="0.53750000000000009"/>
    <n v="6"/>
    <n v="300"/>
    <n v="600"/>
    <n v="900"/>
    <n v="1400"/>
    <n v="600"/>
    <n v="1200"/>
    <n v="1800"/>
    <n v="2800"/>
    <n v="-9.999999999999995E-2"/>
    <n v="-9.999999999999995E-2"/>
    <n v="-0.1"/>
    <n v="-4.5454545454545504E-2"/>
    <n v="-8.6363636363636365E-2"/>
  </r>
  <r>
    <m/>
    <n v="3"/>
    <n v="2"/>
    <n v="50"/>
    <n v="100"/>
    <n v="150"/>
    <n v="200"/>
    <x v="5"/>
    <s v="Med"/>
    <s v="Group"/>
    <s v="3-6"/>
    <n v="75"/>
    <n v="150"/>
    <n v="225"/>
    <n v="300"/>
    <n v="0.5"/>
    <n v="0.5"/>
    <n v="0.5"/>
    <n v="0.5"/>
    <n v="0.5"/>
    <n v="3"/>
    <n v="75"/>
    <n v="150"/>
    <n v="225"/>
    <n v="400"/>
    <n v="112.5"/>
    <n v="225"/>
    <n v="337.5"/>
    <n v="600"/>
    <n v="0.125"/>
    <n v="0.125"/>
    <n v="0.125"/>
    <n v="0.5"/>
    <n v="0.21875"/>
    <n v="4"/>
    <n v="125"/>
    <n v="250"/>
    <n v="375"/>
    <n v="500"/>
    <n v="187.5"/>
    <n v="375"/>
    <n v="562.5"/>
    <n v="750"/>
    <n v="0.25"/>
    <n v="0.25"/>
    <n v="0.25"/>
    <n v="-6.25E-2"/>
    <n v="0.171875"/>
    <n v="5"/>
    <n v="250"/>
    <n v="500"/>
    <n v="750"/>
    <n v="1100"/>
    <n v="375"/>
    <n v="750"/>
    <n v="1125"/>
    <n v="1650"/>
    <n v="0.5"/>
    <n v="0.5"/>
    <n v="0.5"/>
    <n v="0.65"/>
    <n v="0.53749999999999998"/>
    <n v="6"/>
    <n v="300"/>
    <n v="600"/>
    <n v="900"/>
    <n v="1400"/>
    <n v="450"/>
    <n v="900"/>
    <n v="1350"/>
    <n v="2100"/>
    <n v="-0.1"/>
    <n v="-0.1"/>
    <n v="-0.1"/>
    <n v="-4.5454545454545456E-2"/>
    <n v="-8.6363636363636379E-2"/>
  </r>
  <r>
    <m/>
    <m/>
    <m/>
    <n v="0"/>
    <n v="0"/>
    <n v="0"/>
    <n v="0"/>
    <x v="5"/>
    <s v="Med"/>
    <s v="Gang"/>
    <s v="7-10"/>
    <n v="60"/>
    <n v="120"/>
    <n v="180"/>
    <n v="240"/>
    <n v="0.5"/>
    <n v="0.5"/>
    <n v="0.5"/>
    <n v="0.5"/>
    <n v="0.5"/>
    <n v="0"/>
    <n v="0"/>
    <n v="0"/>
    <n v="0"/>
    <n v="0"/>
    <n v="90"/>
    <n v="180"/>
    <n v="270"/>
    <n v="480"/>
    <n v="0.125"/>
    <n v="0.125"/>
    <n v="0.125"/>
    <n v="0.5"/>
    <n v="0.21875"/>
    <n v="0"/>
    <n v="0"/>
    <n v="0"/>
    <n v="0"/>
    <n v="0"/>
    <n v="150"/>
    <n v="300"/>
    <n v="450"/>
    <n v="600"/>
    <n v="0.25"/>
    <n v="0.25"/>
    <n v="0.25"/>
    <n v="-6.25E-2"/>
    <n v="0.171875"/>
    <n v="0"/>
    <n v="0"/>
    <n v="0"/>
    <n v="0"/>
    <n v="0"/>
    <n v="300"/>
    <n v="600"/>
    <n v="900"/>
    <n v="1320"/>
    <n v="0.5"/>
    <n v="0.5"/>
    <n v="0.5"/>
    <n v="0.65"/>
    <n v="0.53749999999999998"/>
    <n v="0"/>
    <n v="0"/>
    <n v="0"/>
    <n v="0"/>
    <n v="0"/>
    <n v="360"/>
    <n v="720"/>
    <n v="1080"/>
    <n v="1680"/>
    <n v="-0.1"/>
    <n v="-0.1"/>
    <n v="-0.1"/>
    <n v="-4.5454545454545456E-2"/>
    <n v="-8.6363636363636379E-2"/>
  </r>
  <r>
    <m/>
    <m/>
    <m/>
    <n v="0"/>
    <n v="0"/>
    <n v="0"/>
    <n v="0"/>
    <x v="5"/>
    <s v="Med"/>
    <s v="Mob"/>
    <s v="11-14"/>
    <n v="50"/>
    <n v="100"/>
    <n v="150"/>
    <n v="200"/>
    <n v="0.49999999999999989"/>
    <n v="0.49999999999999989"/>
    <n v="0.5"/>
    <n v="0.49999999999999989"/>
    <n v="0.49999999999999989"/>
    <n v="0"/>
    <n v="0"/>
    <n v="0"/>
    <n v="0"/>
    <n v="0"/>
    <n v="75"/>
    <n v="150"/>
    <n v="225"/>
    <n v="400"/>
    <n v="0.12499999999999992"/>
    <n v="0.12499999999999992"/>
    <n v="0.125"/>
    <n v="0.49999999999999989"/>
    <n v="0.21874999999999994"/>
    <n v="0"/>
    <n v="0"/>
    <n v="0"/>
    <n v="0"/>
    <n v="0"/>
    <n v="125"/>
    <n v="250"/>
    <n v="375"/>
    <n v="500"/>
    <n v="0.25"/>
    <n v="0.25"/>
    <n v="0.25"/>
    <n v="-6.2500000000000069E-2"/>
    <n v="0.17187499999999997"/>
    <n v="0"/>
    <n v="0"/>
    <n v="0"/>
    <n v="0"/>
    <n v="0"/>
    <n v="250"/>
    <n v="500"/>
    <n v="750"/>
    <n v="1100"/>
    <n v="0.50000000000000011"/>
    <n v="0.50000000000000011"/>
    <n v="0.5"/>
    <n v="0.65000000000000013"/>
    <n v="0.53750000000000009"/>
    <n v="0"/>
    <n v="0"/>
    <n v="0"/>
    <n v="0"/>
    <n v="0"/>
    <n v="300"/>
    <n v="600"/>
    <n v="900"/>
    <n v="1400"/>
    <n v="-9.999999999999995E-2"/>
    <n v="-9.999999999999995E-2"/>
    <n v="-0.1"/>
    <n v="-4.5454545454545504E-2"/>
    <n v="-8.6363636363636365E-2"/>
  </r>
  <r>
    <m/>
    <m/>
    <m/>
    <n v="0"/>
    <n v="0"/>
    <n v="0"/>
    <n v="0"/>
    <x v="5"/>
    <s v="Med"/>
    <s v="Horde"/>
    <s v="15+"/>
    <n v="37.5"/>
    <n v="75"/>
    <n v="112.5"/>
    <n v="150"/>
    <n v="0.5"/>
    <n v="0.5"/>
    <n v="0.5"/>
    <n v="0.5"/>
    <n v="0.5"/>
    <n v="0"/>
    <n v="0"/>
    <n v="0"/>
    <n v="0"/>
    <n v="0"/>
    <n v="56.25"/>
    <n v="112.5"/>
    <n v="168.75"/>
    <n v="300"/>
    <n v="0.125"/>
    <n v="0.125"/>
    <n v="0.125"/>
    <n v="0.5"/>
    <n v="0.21875"/>
    <n v="0"/>
    <n v="0"/>
    <n v="0"/>
    <n v="0"/>
    <n v="0"/>
    <n v="93.75"/>
    <n v="187.5"/>
    <n v="281.25"/>
    <n v="375"/>
    <n v="0.25"/>
    <n v="0.25"/>
    <n v="0.25"/>
    <n v="-6.25E-2"/>
    <n v="0.171875"/>
    <n v="0"/>
    <n v="0"/>
    <n v="0"/>
    <n v="0"/>
    <n v="0"/>
    <n v="187.5"/>
    <n v="375"/>
    <n v="562.5"/>
    <n v="825"/>
    <n v="0.5"/>
    <n v="0.5"/>
    <n v="0.5"/>
    <n v="0.65"/>
    <n v="0.53749999999999998"/>
    <n v="0"/>
    <n v="0"/>
    <n v="0"/>
    <n v="0"/>
    <n v="0"/>
    <n v="225"/>
    <n v="450"/>
    <n v="675"/>
    <n v="1050"/>
    <n v="-0.1"/>
    <n v="-0.1"/>
    <n v="-0.1"/>
    <n v="-4.5454545454545456E-2"/>
    <n v="-8.6363636363636379E-2"/>
  </r>
  <r>
    <m/>
    <m/>
    <m/>
    <n v="0"/>
    <n v="0"/>
    <n v="0"/>
    <n v="0"/>
    <x v="5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5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s v="2, 2"/>
    <s v="A"/>
    <n v="2"/>
    <n v="50"/>
    <n v="100"/>
    <n v="150"/>
    <n v="200"/>
    <x v="6"/>
    <s v="Small"/>
    <s v="Single"/>
    <s v="1"/>
    <n v="66.666666666666671"/>
    <n v="133.33333333333334"/>
    <n v="200"/>
    <n v="266.66666666666669"/>
    <n v="-0.33333333333333326"/>
    <n v="-0.33333333333333326"/>
    <n v="-0.33333333333333331"/>
    <n v="-0.33333333333333326"/>
    <n v="-0.33333333333333326"/>
    <n v="3"/>
    <n v="75"/>
    <n v="150"/>
    <n v="225"/>
    <n v="400"/>
    <n v="100"/>
    <n v="200"/>
    <n v="300"/>
    <n v="533.33333333333337"/>
    <n v="-0.5"/>
    <n v="-0.5"/>
    <n v="-0.5"/>
    <n v="-0.33333333333333326"/>
    <n v="-0.45833333333333331"/>
    <n v="4"/>
    <n v="125"/>
    <n v="250"/>
    <n v="375"/>
    <n v="500"/>
    <n v="166.66666666666666"/>
    <n v="333.33333333333331"/>
    <n v="500"/>
    <n v="666.66666666666663"/>
    <n v="-0.44444444444444448"/>
    <n v="-0.44444444444444448"/>
    <n v="-0.44444444444444442"/>
    <n v="-0.58333333333333337"/>
    <n v="-0.47916666666666674"/>
    <n v="5"/>
    <n v="250"/>
    <n v="500"/>
    <n v="750"/>
    <n v="1100"/>
    <n v="333.33333333333331"/>
    <n v="666.66666666666663"/>
    <n v="1000"/>
    <n v="1466.6666666666667"/>
    <n v="-0.33333333333333337"/>
    <n v="-0.33333333333333337"/>
    <n v="-0.33333333333333331"/>
    <n v="-0.26666666666666661"/>
    <n v="-0.31666666666666665"/>
    <n v="6"/>
    <n v="300"/>
    <n v="600"/>
    <n v="900"/>
    <n v="1400"/>
    <n v="400"/>
    <n v="800"/>
    <n v="1200"/>
    <n v="1866.6666666666667"/>
    <n v="-0.6"/>
    <n v="-0.6"/>
    <n v="-0.6"/>
    <n v="-0.57575757575757569"/>
    <n v="-0.59393939393939388"/>
  </r>
  <r>
    <m/>
    <s v="B"/>
    <n v="2"/>
    <n v="50"/>
    <n v="100"/>
    <n v="150"/>
    <n v="200"/>
    <x v="6"/>
    <s v="Small"/>
    <s v="Pair"/>
    <s v="2"/>
    <n v="50"/>
    <n v="100"/>
    <n v="150"/>
    <n v="200"/>
    <n v="-0.25000000000000006"/>
    <n v="-0.25000000000000006"/>
    <n v="-0.25"/>
    <n v="-0.25000000000000006"/>
    <n v="-0.25000000000000006"/>
    <n v="3"/>
    <n v="75"/>
    <n v="150"/>
    <n v="225"/>
    <n v="400"/>
    <n v="75"/>
    <n v="150"/>
    <n v="225"/>
    <n v="400"/>
    <n v="-0.43750000000000006"/>
    <n v="-0.43750000000000006"/>
    <n v="-0.4375"/>
    <n v="-0.25000000000000006"/>
    <n v="-0.390625"/>
    <n v="4"/>
    <n v="125"/>
    <n v="250"/>
    <n v="375"/>
    <n v="500"/>
    <n v="125"/>
    <n v="250"/>
    <n v="375"/>
    <n v="500"/>
    <n v="-0.375"/>
    <n v="-0.375"/>
    <n v="-0.375"/>
    <n v="-0.53125"/>
    <n v="-0.4140625"/>
    <n v="5"/>
    <n v="250"/>
    <n v="500"/>
    <n v="750"/>
    <n v="1100"/>
    <n v="250"/>
    <n v="500"/>
    <n v="750"/>
    <n v="1100"/>
    <n v="-0.24999999999999994"/>
    <n v="-0.24999999999999994"/>
    <n v="-0.25"/>
    <n v="-0.17499999999999996"/>
    <n v="-0.23124999999999996"/>
    <n v="6"/>
    <n v="300"/>
    <n v="600"/>
    <n v="900"/>
    <n v="1400"/>
    <n v="300"/>
    <n v="600"/>
    <n v="900"/>
    <n v="1400"/>
    <n v="-0.54999999999999993"/>
    <n v="-0.54999999999999993"/>
    <n v="-0.55000000000000004"/>
    <n v="-0.52272727272727271"/>
    <n v="-0.54318181818181821"/>
  </r>
  <r>
    <m/>
    <m/>
    <m/>
    <n v="0"/>
    <n v="0"/>
    <n v="0"/>
    <n v="0"/>
    <x v="6"/>
    <s v="Small"/>
    <s v="Group"/>
    <s v="3-6"/>
    <n v="40"/>
    <n v="80"/>
    <n v="120"/>
    <n v="160"/>
    <n v="-0.2"/>
    <n v="-0.2"/>
    <n v="-0.2"/>
    <n v="-0.2"/>
    <n v="-0.2"/>
    <n v="0"/>
    <n v="0"/>
    <n v="0"/>
    <n v="0"/>
    <n v="0"/>
    <n v="60"/>
    <n v="120"/>
    <n v="180"/>
    <n v="320"/>
    <n v="-0.4"/>
    <n v="-0.4"/>
    <n v="-0.4"/>
    <n v="-0.2"/>
    <n v="-0.35000000000000003"/>
    <n v="0"/>
    <n v="0"/>
    <n v="0"/>
    <n v="0"/>
    <n v="0"/>
    <n v="100"/>
    <n v="200"/>
    <n v="300"/>
    <n v="400"/>
    <n v="-0.33333333333333331"/>
    <n v="-0.33333333333333331"/>
    <n v="-0.33333333333333331"/>
    <n v="-0.5"/>
    <n v="-0.375"/>
    <n v="0"/>
    <n v="0"/>
    <n v="0"/>
    <n v="0"/>
    <n v="0"/>
    <n v="200"/>
    <n v="400"/>
    <n v="600"/>
    <n v="880"/>
    <n v="-0.2"/>
    <n v="-0.2"/>
    <n v="-0.2"/>
    <n v="-0.12"/>
    <n v="-0.18000000000000002"/>
    <n v="0"/>
    <n v="0"/>
    <n v="0"/>
    <n v="0"/>
    <n v="0"/>
    <n v="240"/>
    <n v="480"/>
    <n v="720"/>
    <n v="1120"/>
    <n v="-0.52"/>
    <n v="-0.52"/>
    <n v="-0.52"/>
    <n v="-0.49090909090909091"/>
    <n v="-0.5127272727272727"/>
  </r>
  <r>
    <m/>
    <m/>
    <m/>
    <n v="0"/>
    <n v="0"/>
    <n v="0"/>
    <n v="0"/>
    <x v="6"/>
    <s v="Small"/>
    <s v="Gang"/>
    <s v="7-10"/>
    <n v="33.333333333333336"/>
    <n v="66.666666666666671"/>
    <n v="100"/>
    <n v="133.33333333333334"/>
    <n v="-0.1666666666666666"/>
    <n v="-0.1666666666666666"/>
    <n v="-0.16666666666666666"/>
    <n v="-0.1666666666666666"/>
    <n v="-0.16666666666666663"/>
    <n v="0"/>
    <n v="0"/>
    <n v="0"/>
    <n v="0"/>
    <n v="0"/>
    <n v="50"/>
    <n v="100"/>
    <n v="150"/>
    <n v="266.66666666666669"/>
    <n v="-0.375"/>
    <n v="-0.375"/>
    <n v="-0.375"/>
    <n v="-0.1666666666666666"/>
    <n v="-0.32291666666666663"/>
    <n v="0"/>
    <n v="0"/>
    <n v="0"/>
    <n v="0"/>
    <n v="0"/>
    <n v="83.333333333333329"/>
    <n v="166.66666666666666"/>
    <n v="250"/>
    <n v="333.33333333333331"/>
    <n v="-0.30555555555555558"/>
    <n v="-0.30555555555555558"/>
    <n v="-0.30555555555555558"/>
    <n v="-0.47916666666666669"/>
    <n v="-0.34895833333333337"/>
    <n v="0"/>
    <n v="0"/>
    <n v="0"/>
    <n v="0"/>
    <n v="0"/>
    <n v="166.66666666666666"/>
    <n v="333.33333333333331"/>
    <n v="500"/>
    <n v="733.33333333333337"/>
    <n v="-0.16666666666666671"/>
    <n v="-0.16666666666666671"/>
    <n v="-0.16666666666666666"/>
    <n v="-8.3333333333333287E-2"/>
    <n v="-0.14583333333333334"/>
    <n v="0"/>
    <n v="0"/>
    <n v="0"/>
    <n v="0"/>
    <n v="0"/>
    <n v="200"/>
    <n v="400"/>
    <n v="600"/>
    <n v="933.33333333333337"/>
    <n v="-0.5"/>
    <n v="-0.5"/>
    <n v="-0.5"/>
    <n v="-0.46969696969696967"/>
    <n v="-0.49242424242424243"/>
  </r>
  <r>
    <m/>
    <m/>
    <m/>
    <n v="0"/>
    <n v="0"/>
    <n v="0"/>
    <n v="0"/>
    <x v="6"/>
    <s v="Small"/>
    <s v="Mob"/>
    <s v="11-14"/>
    <n v="25"/>
    <n v="50"/>
    <n v="75"/>
    <n v="100"/>
    <n v="-0.25000000000000006"/>
    <n v="-0.25000000000000006"/>
    <n v="-0.25"/>
    <n v="-0.25000000000000006"/>
    <n v="-0.25000000000000006"/>
    <n v="0"/>
    <n v="0"/>
    <n v="0"/>
    <n v="0"/>
    <n v="0"/>
    <n v="37.5"/>
    <n v="75"/>
    <n v="112.5"/>
    <n v="200"/>
    <n v="-0.43750000000000006"/>
    <n v="-0.43750000000000006"/>
    <n v="-0.4375"/>
    <n v="-0.25000000000000006"/>
    <n v="-0.390625"/>
    <n v="0"/>
    <n v="0"/>
    <n v="0"/>
    <n v="0"/>
    <n v="0"/>
    <n v="62.5"/>
    <n v="125"/>
    <n v="187.5"/>
    <n v="250"/>
    <n v="-0.375"/>
    <n v="-0.375"/>
    <n v="-0.375"/>
    <n v="-0.53125"/>
    <n v="-0.4140625"/>
    <n v="0"/>
    <n v="0"/>
    <n v="0"/>
    <n v="0"/>
    <n v="0"/>
    <n v="125"/>
    <n v="250"/>
    <n v="375"/>
    <n v="550"/>
    <n v="-0.24999999999999994"/>
    <n v="-0.24999999999999994"/>
    <n v="-0.25"/>
    <n v="-0.17499999999999996"/>
    <n v="-0.23124999999999996"/>
    <n v="0"/>
    <n v="0"/>
    <n v="0"/>
    <n v="0"/>
    <n v="0"/>
    <n v="150"/>
    <n v="300"/>
    <n v="450"/>
    <n v="700"/>
    <n v="-0.54999999999999993"/>
    <n v="-0.54999999999999993"/>
    <n v="-0.55000000000000004"/>
    <n v="-0.52272727272727271"/>
    <n v="-0.54318181818181821"/>
  </r>
  <r>
    <m/>
    <m/>
    <m/>
    <n v="0"/>
    <n v="0"/>
    <n v="0"/>
    <n v="0"/>
    <x v="6"/>
    <s v="Small"/>
    <s v="Horde"/>
    <s v="15+"/>
    <n v="20"/>
    <n v="40"/>
    <n v="60"/>
    <n v="80"/>
    <n v="-0.2"/>
    <n v="-0.2"/>
    <n v="-0.2"/>
    <n v="-0.2"/>
    <n v="-0.2"/>
    <n v="0"/>
    <n v="0"/>
    <n v="0"/>
    <n v="0"/>
    <n v="0"/>
    <n v="30"/>
    <n v="60"/>
    <n v="90"/>
    <n v="160"/>
    <n v="-0.4"/>
    <n v="-0.4"/>
    <n v="-0.4"/>
    <n v="-0.2"/>
    <n v="-0.35000000000000003"/>
    <n v="0"/>
    <n v="0"/>
    <n v="0"/>
    <n v="0"/>
    <n v="0"/>
    <n v="50"/>
    <n v="100"/>
    <n v="150"/>
    <n v="200"/>
    <n v="-0.33333333333333331"/>
    <n v="-0.33333333333333331"/>
    <n v="-0.33333333333333331"/>
    <n v="-0.5"/>
    <n v="-0.375"/>
    <n v="0"/>
    <n v="0"/>
    <n v="0"/>
    <n v="0"/>
    <n v="0"/>
    <n v="100"/>
    <n v="200"/>
    <n v="300"/>
    <n v="440"/>
    <n v="-0.2"/>
    <n v="-0.2"/>
    <n v="-0.2"/>
    <n v="-0.12"/>
    <n v="-0.18000000000000002"/>
    <n v="0"/>
    <n v="0"/>
    <n v="0"/>
    <n v="0"/>
    <n v="0"/>
    <n v="120"/>
    <n v="240"/>
    <n v="360"/>
    <n v="560"/>
    <n v="-0.52"/>
    <n v="-0.52"/>
    <n v="-0.52"/>
    <n v="-0.49090909090909091"/>
    <n v="-0.5127272727272727"/>
  </r>
  <r>
    <m/>
    <m/>
    <m/>
    <n v="0"/>
    <n v="0"/>
    <n v="0"/>
    <n v="0"/>
    <x v="6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6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s v="1, 1, 1, 1"/>
    <s v="e"/>
    <n v="1"/>
    <n v="25"/>
    <n v="50"/>
    <n v="75"/>
    <n v="100"/>
    <x v="7"/>
    <s v="Med"/>
    <s v="Single"/>
    <s v="1"/>
    <n v="100"/>
    <n v="200"/>
    <n v="300"/>
    <n v="400"/>
    <n v="0"/>
    <n v="0"/>
    <n v="0"/>
    <n v="0"/>
    <n v="0"/>
    <n v="2"/>
    <n v="50"/>
    <n v="100"/>
    <n v="150"/>
    <n v="200"/>
    <n v="200"/>
    <n v="400"/>
    <n v="600"/>
    <n v="800"/>
    <n v="0"/>
    <n v="0"/>
    <n v="0"/>
    <n v="0"/>
    <n v="0"/>
    <n v="3"/>
    <n v="75"/>
    <n v="150"/>
    <n v="225"/>
    <n v="400"/>
    <n v="300"/>
    <n v="600"/>
    <n v="900"/>
    <n v="1600"/>
    <n v="0"/>
    <n v="0"/>
    <n v="0"/>
    <n v="0"/>
    <n v="0"/>
    <n v="4"/>
    <n v="125"/>
    <n v="250"/>
    <n v="375"/>
    <n v="500"/>
    <n v="500"/>
    <n v="1000"/>
    <n v="1500"/>
    <n v="2000"/>
    <n v="0"/>
    <n v="0"/>
    <n v="0"/>
    <n v="0"/>
    <n v="0"/>
    <n v="5"/>
    <n v="250"/>
    <n v="500"/>
    <n v="750"/>
    <n v="1100"/>
    <n v="1000"/>
    <n v="2000"/>
    <n v="3000"/>
    <n v="4400"/>
    <n v="0"/>
    <n v="0"/>
    <n v="0"/>
    <n v="0"/>
    <n v="0"/>
  </r>
  <r>
    <m/>
    <s v="d"/>
    <n v="1"/>
    <n v="25"/>
    <n v="50"/>
    <n v="75"/>
    <n v="100"/>
    <x v="7"/>
    <s v="Med"/>
    <s v="Pair"/>
    <s v="2"/>
    <n v="66.666666666666671"/>
    <n v="133.33333333333334"/>
    <n v="200"/>
    <n v="266.66666666666669"/>
    <n v="0"/>
    <n v="0"/>
    <n v="0"/>
    <n v="0"/>
    <n v="0"/>
    <n v="2"/>
    <n v="50"/>
    <n v="100"/>
    <n v="150"/>
    <n v="200"/>
    <n v="133.33333333333334"/>
    <n v="266.66666666666669"/>
    <n v="400"/>
    <n v="533.33333333333337"/>
    <n v="0"/>
    <n v="0"/>
    <n v="0"/>
    <n v="0"/>
    <n v="0"/>
    <n v="3"/>
    <n v="75"/>
    <n v="150"/>
    <n v="225"/>
    <n v="400"/>
    <n v="200"/>
    <n v="400"/>
    <n v="600"/>
    <n v="1066.6666666666667"/>
    <n v="0"/>
    <n v="0"/>
    <n v="0"/>
    <n v="0"/>
    <n v="0"/>
    <n v="4"/>
    <n v="125"/>
    <n v="250"/>
    <n v="375"/>
    <n v="500"/>
    <n v="333.33333333333331"/>
    <n v="666.66666666666663"/>
    <n v="1000"/>
    <n v="1333.3333333333333"/>
    <n v="0"/>
    <n v="0"/>
    <n v="0"/>
    <n v="0"/>
    <n v="0"/>
    <n v="5"/>
    <n v="250"/>
    <n v="500"/>
    <n v="750"/>
    <n v="1100"/>
    <n v="666.66666666666663"/>
    <n v="1333.3333333333333"/>
    <n v="2000"/>
    <n v="2933.3333333333335"/>
    <n v="0"/>
    <n v="0"/>
    <n v="0"/>
    <n v="0"/>
    <n v="0"/>
  </r>
  <r>
    <m/>
    <s v="f"/>
    <n v="1"/>
    <n v="25"/>
    <n v="50"/>
    <n v="75"/>
    <n v="100"/>
    <x v="7"/>
    <s v="Med"/>
    <s v="Group"/>
    <s v="3-6"/>
    <n v="50"/>
    <n v="100"/>
    <n v="150"/>
    <n v="200"/>
    <n v="0"/>
    <n v="0"/>
    <n v="0"/>
    <n v="0"/>
    <n v="0"/>
    <n v="2"/>
    <n v="50"/>
    <n v="100"/>
    <n v="150"/>
    <n v="200"/>
    <n v="100"/>
    <n v="200"/>
    <n v="300"/>
    <n v="400"/>
    <n v="0"/>
    <n v="0"/>
    <n v="0"/>
    <n v="0"/>
    <n v="0"/>
    <n v="3"/>
    <n v="75"/>
    <n v="150"/>
    <n v="225"/>
    <n v="400"/>
    <n v="150"/>
    <n v="300"/>
    <n v="450"/>
    <n v="800"/>
    <n v="0"/>
    <n v="0"/>
    <n v="0"/>
    <n v="0"/>
    <n v="0"/>
    <n v="4"/>
    <n v="125"/>
    <n v="250"/>
    <n v="375"/>
    <n v="500"/>
    <n v="250"/>
    <n v="500"/>
    <n v="750"/>
    <n v="1000"/>
    <n v="0"/>
    <n v="0"/>
    <n v="0"/>
    <n v="0"/>
    <n v="0"/>
    <n v="5"/>
    <n v="250"/>
    <n v="500"/>
    <n v="750"/>
    <n v="1100"/>
    <n v="500"/>
    <n v="1000"/>
    <n v="1500"/>
    <n v="2200"/>
    <n v="0"/>
    <n v="0"/>
    <n v="0"/>
    <n v="0"/>
    <n v="0"/>
  </r>
  <r>
    <m/>
    <s v="g"/>
    <n v="1"/>
    <n v="25"/>
    <n v="50"/>
    <n v="75"/>
    <n v="100"/>
    <x v="7"/>
    <s v="Med"/>
    <s v="Gang"/>
    <s v="7-10"/>
    <n v="40"/>
    <n v="80"/>
    <n v="120"/>
    <n v="160"/>
    <n v="0"/>
    <n v="0"/>
    <n v="0"/>
    <n v="0"/>
    <n v="0"/>
    <n v="2"/>
    <n v="50"/>
    <n v="100"/>
    <n v="150"/>
    <n v="200"/>
    <n v="80"/>
    <n v="160"/>
    <n v="240"/>
    <n v="320"/>
    <n v="0"/>
    <n v="0"/>
    <n v="0"/>
    <n v="0"/>
    <n v="0"/>
    <n v="3"/>
    <n v="75"/>
    <n v="150"/>
    <n v="225"/>
    <n v="400"/>
    <n v="120"/>
    <n v="240"/>
    <n v="360"/>
    <n v="640"/>
    <n v="0"/>
    <n v="0"/>
    <n v="0"/>
    <n v="0"/>
    <n v="0"/>
    <n v="4"/>
    <n v="125"/>
    <n v="250"/>
    <n v="375"/>
    <n v="500"/>
    <n v="200"/>
    <n v="400"/>
    <n v="600"/>
    <n v="800"/>
    <n v="0"/>
    <n v="0"/>
    <n v="0"/>
    <n v="0"/>
    <n v="0"/>
    <n v="5"/>
    <n v="250"/>
    <n v="500"/>
    <n v="750"/>
    <n v="1100"/>
    <n v="400"/>
    <n v="800"/>
    <n v="1200"/>
    <n v="1760"/>
    <n v="0"/>
    <n v="0"/>
    <n v="0"/>
    <n v="0"/>
    <n v="0"/>
  </r>
  <r>
    <m/>
    <m/>
    <m/>
    <n v="0"/>
    <n v="0"/>
    <n v="0"/>
    <n v="0"/>
    <x v="7"/>
    <s v="Med"/>
    <s v="Mob"/>
    <s v="11-14"/>
    <n v="33.333333333333336"/>
    <n v="66.666666666666671"/>
    <n v="100"/>
    <n v="133.33333333333334"/>
    <n v="0"/>
    <n v="0"/>
    <n v="0"/>
    <n v="0"/>
    <n v="0"/>
    <n v="0"/>
    <n v="0"/>
    <n v="0"/>
    <n v="0"/>
    <n v="0"/>
    <n v="66.666666666666671"/>
    <n v="133.33333333333334"/>
    <n v="200"/>
    <n v="266.66666666666669"/>
    <n v="0"/>
    <n v="0"/>
    <n v="0"/>
    <n v="0"/>
    <n v="0"/>
    <n v="0"/>
    <n v="0"/>
    <n v="0"/>
    <n v="0"/>
    <n v="0"/>
    <n v="100"/>
    <n v="200"/>
    <n v="300"/>
    <n v="533.33333333333337"/>
    <n v="0"/>
    <n v="0"/>
    <n v="0"/>
    <n v="0"/>
    <n v="0"/>
    <n v="0"/>
    <n v="0"/>
    <n v="0"/>
    <n v="0"/>
    <n v="0"/>
    <n v="166.66666666666666"/>
    <n v="333.33333333333331"/>
    <n v="500"/>
    <n v="666.66666666666663"/>
    <n v="0"/>
    <n v="0"/>
    <n v="0"/>
    <n v="0"/>
    <n v="0"/>
    <n v="0"/>
    <n v="0"/>
    <n v="0"/>
    <n v="0"/>
    <n v="0"/>
    <n v="333.33333333333331"/>
    <n v="666.66666666666663"/>
    <n v="1000"/>
    <n v="1466.6666666666667"/>
    <n v="0"/>
    <n v="0"/>
    <n v="0"/>
    <n v="0"/>
    <n v="0"/>
  </r>
  <r>
    <m/>
    <m/>
    <m/>
    <n v="0"/>
    <n v="0"/>
    <n v="0"/>
    <n v="0"/>
    <x v="7"/>
    <s v="Med"/>
    <s v="Horde"/>
    <s v="15+"/>
    <n v="25"/>
    <n v="50"/>
    <n v="75"/>
    <n v="100"/>
    <n v="0"/>
    <n v="0"/>
    <n v="0"/>
    <n v="0"/>
    <n v="0"/>
    <n v="0"/>
    <n v="0"/>
    <n v="0"/>
    <n v="0"/>
    <n v="0"/>
    <n v="50"/>
    <n v="100"/>
    <n v="150"/>
    <n v="200"/>
    <n v="0"/>
    <n v="0"/>
    <n v="0"/>
    <n v="0"/>
    <n v="0"/>
    <n v="0"/>
    <n v="0"/>
    <n v="0"/>
    <n v="0"/>
    <n v="0"/>
    <n v="75"/>
    <n v="150"/>
    <n v="225"/>
    <n v="400"/>
    <n v="0"/>
    <n v="0"/>
    <n v="0"/>
    <n v="0"/>
    <n v="0"/>
    <n v="0"/>
    <n v="0"/>
    <n v="0"/>
    <n v="0"/>
    <n v="0"/>
    <n v="125"/>
    <n v="250"/>
    <n v="375"/>
    <n v="500"/>
    <n v="0"/>
    <n v="0"/>
    <n v="0"/>
    <n v="0"/>
    <n v="0"/>
    <n v="0"/>
    <n v="0"/>
    <n v="0"/>
    <n v="0"/>
    <n v="0"/>
    <n v="250"/>
    <n v="500"/>
    <n v="750"/>
    <n v="1100"/>
    <n v="0"/>
    <n v="0"/>
    <n v="0"/>
    <n v="0"/>
    <n v="0"/>
  </r>
  <r>
    <m/>
    <m/>
    <m/>
    <n v="0"/>
    <n v="0"/>
    <n v="0"/>
    <n v="0"/>
    <x v="7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7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m/>
    <m/>
    <m/>
    <n v="0"/>
    <n v="0"/>
    <n v="0"/>
    <n v="0"/>
    <x v="8"/>
    <s v="Small"/>
    <s v="Single"/>
    <s v="1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</r>
  <r>
    <m/>
    <m/>
    <m/>
    <n v="0"/>
    <n v="0"/>
    <n v="0"/>
    <n v="0"/>
    <x v="8"/>
    <s v="Small"/>
    <s v="Pair"/>
    <s v="2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</r>
  <r>
    <m/>
    <m/>
    <m/>
    <n v="0"/>
    <n v="0"/>
    <n v="0"/>
    <n v="0"/>
    <x v="8"/>
    <s v="Small"/>
    <s v="Group"/>
    <s v="3-6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</r>
  <r>
    <m/>
    <m/>
    <m/>
    <n v="0"/>
    <n v="0"/>
    <n v="0"/>
    <n v="0"/>
    <x v="8"/>
    <s v="Small"/>
    <s v="Gang"/>
    <s v="7-1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</r>
  <r>
    <m/>
    <m/>
    <m/>
    <n v="0"/>
    <n v="0"/>
    <n v="0"/>
    <n v="0"/>
    <x v="8"/>
    <s v="Small"/>
    <s v="Mob"/>
    <s v="11-14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</r>
  <r>
    <m/>
    <m/>
    <m/>
    <n v="0"/>
    <n v="0"/>
    <n v="0"/>
    <n v="0"/>
    <x v="8"/>
    <s v="Small"/>
    <s v="Horde"/>
    <s v="15+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</r>
  <r>
    <m/>
    <m/>
    <m/>
    <n v="0"/>
    <n v="0"/>
    <n v="0"/>
    <n v="0"/>
    <x v="8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8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s v="2, 2, 1"/>
    <s v="f"/>
    <n v="2"/>
    <n v="50"/>
    <n v="100"/>
    <n v="150"/>
    <n v="200"/>
    <x v="9"/>
    <s v="Med"/>
    <s v="Single"/>
    <s v="1"/>
    <n v="125"/>
    <n v="250"/>
    <n v="375"/>
    <n v="500"/>
    <n v="0.25"/>
    <n v="0.25"/>
    <n v="0.25"/>
    <n v="0.25"/>
    <n v="0.25"/>
    <n v="3"/>
    <n v="75"/>
    <n v="150"/>
    <n v="225"/>
    <n v="400"/>
    <n v="200"/>
    <n v="400"/>
    <n v="600"/>
    <n v="1000"/>
    <n v="0"/>
    <n v="0"/>
    <n v="0"/>
    <n v="0.25"/>
    <n v="6.25E-2"/>
    <n v="4"/>
    <n v="125"/>
    <n v="250"/>
    <n v="375"/>
    <n v="500"/>
    <n v="325"/>
    <n v="650"/>
    <n v="975"/>
    <n v="1400"/>
    <n v="8.3333333333333329E-2"/>
    <n v="8.3333333333333329E-2"/>
    <n v="8.3333333333333329E-2"/>
    <n v="-0.125"/>
    <n v="3.125E-2"/>
    <n v="5"/>
    <n v="250"/>
    <n v="500"/>
    <n v="750"/>
    <n v="1100"/>
    <n v="625"/>
    <n v="1250"/>
    <n v="1875"/>
    <n v="2700"/>
    <n v="0.25"/>
    <n v="0.25"/>
    <n v="0.25"/>
    <n v="0.35"/>
    <n v="0.27500000000000002"/>
    <n v="6"/>
    <n v="300"/>
    <n v="600"/>
    <n v="900"/>
    <n v="1400"/>
    <n v="850"/>
    <n v="1700"/>
    <n v="2550"/>
    <n v="3900"/>
    <n v="-0.15"/>
    <n v="-0.15"/>
    <n v="-0.15"/>
    <n v="-0.11363636363636363"/>
    <n v="-0.1409090909090909"/>
  </r>
  <r>
    <m/>
    <s v="e"/>
    <n v="2"/>
    <n v="50"/>
    <n v="100"/>
    <n v="150"/>
    <n v="200"/>
    <x v="9"/>
    <s v="Med"/>
    <s v="Pair"/>
    <s v="2"/>
    <n v="83.333333333333329"/>
    <n v="166.66666666666666"/>
    <n v="250"/>
    <n v="333.33333333333331"/>
    <n v="0.24999999999999983"/>
    <n v="0.24999999999999983"/>
    <n v="0.25"/>
    <n v="0.24999999999999983"/>
    <n v="0.24999999999999989"/>
    <n v="3"/>
    <n v="75"/>
    <n v="150"/>
    <n v="225"/>
    <n v="400"/>
    <n v="133.33333333333334"/>
    <n v="266.66666666666669"/>
    <n v="400"/>
    <n v="666.66666666666663"/>
    <n v="0"/>
    <n v="0"/>
    <n v="0"/>
    <n v="0.24999999999999983"/>
    <n v="6.2499999999999958E-2"/>
    <n v="4"/>
    <n v="125"/>
    <n v="250"/>
    <n v="375"/>
    <n v="500"/>
    <n v="216.66666666666666"/>
    <n v="433.33333333333331"/>
    <n v="650"/>
    <n v="933.33333333333337"/>
    <n v="8.3333333333333287E-2"/>
    <n v="8.3333333333333287E-2"/>
    <n v="8.3333333333333329E-2"/>
    <n v="-0.12500000000000003"/>
    <n v="3.1249999999999965E-2"/>
    <n v="5"/>
    <n v="250"/>
    <n v="500"/>
    <n v="750"/>
    <n v="1100"/>
    <n v="416.66666666666669"/>
    <n v="833.33333333333337"/>
    <n v="1250"/>
    <n v="1800"/>
    <n v="0.25000000000000011"/>
    <n v="0.25000000000000011"/>
    <n v="0.25"/>
    <n v="0.35000000000000009"/>
    <n v="0.27500000000000008"/>
    <n v="6"/>
    <n v="300"/>
    <n v="600"/>
    <n v="900"/>
    <n v="1400"/>
    <n v="566.66666666666663"/>
    <n v="1133.3333333333333"/>
    <n v="1700"/>
    <n v="2600"/>
    <n v="-0.15000000000000002"/>
    <n v="-0.15000000000000002"/>
    <n v="-0.15"/>
    <n v="-0.11363636363636369"/>
    <n v="-0.14090909090909093"/>
  </r>
  <r>
    <m/>
    <s v="d"/>
    <n v="1"/>
    <n v="25"/>
    <n v="50"/>
    <n v="75"/>
    <n v="100"/>
    <x v="9"/>
    <s v="Med"/>
    <s v="Group"/>
    <s v="3-6"/>
    <n v="62.5"/>
    <n v="125"/>
    <n v="187.5"/>
    <n v="250"/>
    <n v="0.25"/>
    <n v="0.25"/>
    <n v="0.25"/>
    <n v="0.25"/>
    <n v="0.25"/>
    <n v="2"/>
    <n v="50"/>
    <n v="100"/>
    <n v="150"/>
    <n v="200"/>
    <n v="100"/>
    <n v="200"/>
    <n v="300"/>
    <n v="500"/>
    <n v="0"/>
    <n v="0"/>
    <n v="0"/>
    <n v="0.25"/>
    <n v="6.25E-2"/>
    <n v="3"/>
    <n v="75"/>
    <n v="150"/>
    <n v="225"/>
    <n v="400"/>
    <n v="162.5"/>
    <n v="325"/>
    <n v="487.5"/>
    <n v="700"/>
    <n v="8.3333333333333329E-2"/>
    <n v="8.3333333333333329E-2"/>
    <n v="8.3333333333333329E-2"/>
    <n v="-0.125"/>
    <n v="3.125E-2"/>
    <n v="4"/>
    <n v="125"/>
    <n v="250"/>
    <n v="375"/>
    <n v="500"/>
    <n v="312.5"/>
    <n v="625"/>
    <n v="937.5"/>
    <n v="1350"/>
    <n v="0.25"/>
    <n v="0.25"/>
    <n v="0.25"/>
    <n v="0.35"/>
    <n v="0.27500000000000002"/>
    <n v="5"/>
    <n v="250"/>
    <n v="500"/>
    <n v="750"/>
    <n v="1100"/>
    <n v="425"/>
    <n v="850"/>
    <n v="1275"/>
    <n v="1950"/>
    <n v="-0.15"/>
    <n v="-0.15"/>
    <n v="-0.15"/>
    <n v="-0.11363636363636363"/>
    <n v="-0.1409090909090909"/>
  </r>
  <r>
    <m/>
    <m/>
    <m/>
    <n v="0"/>
    <n v="0"/>
    <n v="0"/>
    <n v="0"/>
    <x v="9"/>
    <s v="Med"/>
    <s v="Gang"/>
    <s v="7-10"/>
    <n v="50"/>
    <n v="100"/>
    <n v="150"/>
    <n v="200"/>
    <n v="0.25"/>
    <n v="0.25"/>
    <n v="0.25"/>
    <n v="0.25"/>
    <n v="0.25"/>
    <n v="0"/>
    <n v="0"/>
    <n v="0"/>
    <n v="0"/>
    <n v="0"/>
    <n v="80"/>
    <n v="160"/>
    <n v="240"/>
    <n v="400"/>
    <n v="0"/>
    <n v="0"/>
    <n v="0"/>
    <n v="0.25"/>
    <n v="6.25E-2"/>
    <n v="0"/>
    <n v="0"/>
    <n v="0"/>
    <n v="0"/>
    <n v="0"/>
    <n v="130"/>
    <n v="260"/>
    <n v="390"/>
    <n v="560"/>
    <n v="8.3333333333333329E-2"/>
    <n v="8.3333333333333329E-2"/>
    <n v="8.3333333333333329E-2"/>
    <n v="-0.125"/>
    <n v="3.125E-2"/>
    <n v="0"/>
    <n v="0"/>
    <n v="0"/>
    <n v="0"/>
    <n v="0"/>
    <n v="250"/>
    <n v="500"/>
    <n v="750"/>
    <n v="1080"/>
    <n v="0.25"/>
    <n v="0.25"/>
    <n v="0.25"/>
    <n v="0.35"/>
    <n v="0.27500000000000002"/>
    <n v="0"/>
    <n v="0"/>
    <n v="0"/>
    <n v="0"/>
    <n v="0"/>
    <n v="340"/>
    <n v="680"/>
    <n v="1020"/>
    <n v="1560"/>
    <n v="-0.15"/>
    <n v="-0.15"/>
    <n v="-0.15"/>
    <n v="-0.11363636363636363"/>
    <n v="-0.1409090909090909"/>
  </r>
  <r>
    <m/>
    <m/>
    <m/>
    <n v="0"/>
    <n v="0"/>
    <n v="0"/>
    <n v="0"/>
    <x v="9"/>
    <s v="Med"/>
    <s v="Mob"/>
    <s v="11-14"/>
    <n v="41.666666666666664"/>
    <n v="83.333333333333329"/>
    <n v="125"/>
    <n v="166.66666666666666"/>
    <n v="0.24999999999999983"/>
    <n v="0.24999999999999983"/>
    <n v="0.25"/>
    <n v="0.24999999999999983"/>
    <n v="0.24999999999999989"/>
    <n v="0"/>
    <n v="0"/>
    <n v="0"/>
    <n v="0"/>
    <n v="0"/>
    <n v="66.666666666666671"/>
    <n v="133.33333333333334"/>
    <n v="200"/>
    <n v="333.33333333333331"/>
    <n v="0"/>
    <n v="0"/>
    <n v="0"/>
    <n v="0.24999999999999983"/>
    <n v="6.2499999999999958E-2"/>
    <n v="0"/>
    <n v="0"/>
    <n v="0"/>
    <n v="0"/>
    <n v="0"/>
    <n v="108.33333333333333"/>
    <n v="216.66666666666666"/>
    <n v="325"/>
    <n v="466.66666666666669"/>
    <n v="8.3333333333333287E-2"/>
    <n v="8.3333333333333287E-2"/>
    <n v="8.3333333333333329E-2"/>
    <n v="-0.12500000000000003"/>
    <n v="3.1249999999999965E-2"/>
    <n v="0"/>
    <n v="0"/>
    <n v="0"/>
    <n v="0"/>
    <n v="0"/>
    <n v="208.33333333333334"/>
    <n v="416.66666666666669"/>
    <n v="625"/>
    <n v="900"/>
    <n v="0.25000000000000011"/>
    <n v="0.25000000000000011"/>
    <n v="0.25"/>
    <n v="0.35000000000000009"/>
    <n v="0.27500000000000008"/>
    <n v="0"/>
    <n v="0"/>
    <n v="0"/>
    <n v="0"/>
    <n v="0"/>
    <n v="283.33333333333331"/>
    <n v="566.66666666666663"/>
    <n v="850"/>
    <n v="1300"/>
    <n v="-0.15000000000000002"/>
    <n v="-0.15000000000000002"/>
    <n v="-0.15"/>
    <n v="-0.11363636363636369"/>
    <n v="-0.14090909090909093"/>
  </r>
  <r>
    <m/>
    <m/>
    <m/>
    <n v="0"/>
    <n v="0"/>
    <n v="0"/>
    <n v="0"/>
    <x v="9"/>
    <s v="Med"/>
    <s v="Horde"/>
    <s v="15+"/>
    <n v="31.25"/>
    <n v="62.5"/>
    <n v="93.75"/>
    <n v="125"/>
    <n v="0.25"/>
    <n v="0.25"/>
    <n v="0.25"/>
    <n v="0.25"/>
    <n v="0.25"/>
    <n v="0"/>
    <n v="0"/>
    <n v="0"/>
    <n v="0"/>
    <n v="0"/>
    <n v="50"/>
    <n v="100"/>
    <n v="150"/>
    <n v="250"/>
    <n v="0"/>
    <n v="0"/>
    <n v="0"/>
    <n v="0.25"/>
    <n v="6.25E-2"/>
    <n v="0"/>
    <n v="0"/>
    <n v="0"/>
    <n v="0"/>
    <n v="0"/>
    <n v="81.25"/>
    <n v="162.5"/>
    <n v="243.75"/>
    <n v="350"/>
    <n v="8.3333333333333329E-2"/>
    <n v="8.3333333333333329E-2"/>
    <n v="8.3333333333333329E-2"/>
    <n v="-0.125"/>
    <n v="3.125E-2"/>
    <n v="0"/>
    <n v="0"/>
    <n v="0"/>
    <n v="0"/>
    <n v="0"/>
    <n v="156.25"/>
    <n v="312.5"/>
    <n v="468.75"/>
    <n v="675"/>
    <n v="0.25"/>
    <n v="0.25"/>
    <n v="0.25"/>
    <n v="0.35"/>
    <n v="0.27500000000000002"/>
    <n v="0"/>
    <n v="0"/>
    <n v="0"/>
    <n v="0"/>
    <n v="0"/>
    <n v="212.5"/>
    <n v="425"/>
    <n v="637.5"/>
    <n v="975"/>
    <n v="-0.15"/>
    <n v="-0.15"/>
    <n v="-0.15"/>
    <n v="-0.11363636363636363"/>
    <n v="-0.1409090909090909"/>
  </r>
  <r>
    <m/>
    <m/>
    <m/>
    <n v="0"/>
    <n v="0"/>
    <n v="0"/>
    <n v="0"/>
    <x v="9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9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s v="2, 1, 1"/>
    <s v="f"/>
    <n v="2"/>
    <n v="50"/>
    <n v="100"/>
    <n v="150"/>
    <n v="200"/>
    <x v="10"/>
    <s v="Med"/>
    <s v="Single"/>
    <s v="1"/>
    <n v="100"/>
    <n v="200"/>
    <n v="300"/>
    <n v="400"/>
    <n v="0"/>
    <n v="0"/>
    <n v="0"/>
    <n v="0"/>
    <n v="0"/>
    <n v="3"/>
    <n v="75"/>
    <n v="150"/>
    <n v="225"/>
    <n v="400"/>
    <n v="175"/>
    <n v="350"/>
    <n v="525"/>
    <n v="800"/>
    <n v="-0.125"/>
    <n v="-0.125"/>
    <n v="-0.125"/>
    <n v="0"/>
    <n v="-9.375E-2"/>
    <n v="4"/>
    <n v="125"/>
    <n v="250"/>
    <n v="375"/>
    <n v="500"/>
    <n v="275"/>
    <n v="550"/>
    <n v="825"/>
    <n v="1300"/>
    <n v="-8.3333333333333329E-2"/>
    <n v="-8.3333333333333329E-2"/>
    <n v="-8.3333333333333329E-2"/>
    <n v="-0.1875"/>
    <n v="-0.109375"/>
    <n v="5"/>
    <n v="250"/>
    <n v="500"/>
    <n v="750"/>
    <n v="1100"/>
    <n v="500"/>
    <n v="1000"/>
    <n v="1500"/>
    <n v="2100"/>
    <n v="0"/>
    <n v="0"/>
    <n v="0"/>
    <n v="0.05"/>
    <n v="1.2500000000000001E-2"/>
    <n v="6"/>
    <n v="300"/>
    <n v="600"/>
    <n v="900"/>
    <n v="1400"/>
    <n v="800"/>
    <n v="1600"/>
    <n v="2400"/>
    <n v="3600"/>
    <n v="-0.2"/>
    <n v="-0.2"/>
    <n v="-0.2"/>
    <n v="-0.18181818181818182"/>
    <n v="-0.19545454545454549"/>
  </r>
  <r>
    <m/>
    <s v="d"/>
    <n v="1"/>
    <n v="25"/>
    <n v="50"/>
    <n v="75"/>
    <n v="100"/>
    <x v="10"/>
    <s v="Med"/>
    <s v="Pair"/>
    <s v="2"/>
    <n v="66.666666666666671"/>
    <n v="133.33333333333334"/>
    <n v="200"/>
    <n v="266.66666666666669"/>
    <n v="0"/>
    <n v="0"/>
    <n v="0"/>
    <n v="0"/>
    <n v="0"/>
    <n v="2"/>
    <n v="50"/>
    <n v="100"/>
    <n v="150"/>
    <n v="200"/>
    <n v="116.66666666666667"/>
    <n v="233.33333333333334"/>
    <n v="350"/>
    <n v="533.33333333333337"/>
    <n v="-0.12500000000000003"/>
    <n v="-0.12500000000000003"/>
    <n v="-0.125"/>
    <n v="0"/>
    <n v="-9.3750000000000014E-2"/>
    <n v="3"/>
    <n v="75"/>
    <n v="150"/>
    <n v="225"/>
    <n v="400"/>
    <n v="183.33333333333334"/>
    <n v="366.66666666666669"/>
    <n v="550"/>
    <n v="866.66666666666663"/>
    <n v="-8.3333333333333287E-2"/>
    <n v="-8.3333333333333287E-2"/>
    <n v="-8.3333333333333329E-2"/>
    <n v="-0.18750000000000008"/>
    <n v="-0.109375"/>
    <n v="4"/>
    <n v="125"/>
    <n v="250"/>
    <n v="375"/>
    <n v="500"/>
    <n v="333.33333333333331"/>
    <n v="666.66666666666663"/>
    <n v="1000"/>
    <n v="1400"/>
    <n v="0"/>
    <n v="0"/>
    <n v="0"/>
    <n v="5.0000000000000058E-2"/>
    <n v="1.2500000000000015E-2"/>
    <n v="5"/>
    <n v="250"/>
    <n v="500"/>
    <n v="750"/>
    <n v="1100"/>
    <n v="533.33333333333337"/>
    <n v="1066.6666666666667"/>
    <n v="1600"/>
    <n v="2400"/>
    <n v="-0.1999999999999999"/>
    <n v="-0.1999999999999999"/>
    <n v="-0.2"/>
    <n v="-0.18181818181818185"/>
    <n v="-0.19545454545454544"/>
  </r>
  <r>
    <m/>
    <s v="A"/>
    <n v="1"/>
    <n v="25"/>
    <n v="50"/>
    <n v="75"/>
    <n v="100"/>
    <x v="10"/>
    <s v="Med"/>
    <s v="Group"/>
    <s v="3-6"/>
    <n v="50"/>
    <n v="100"/>
    <n v="150"/>
    <n v="200"/>
    <n v="0"/>
    <n v="0"/>
    <n v="0"/>
    <n v="0"/>
    <n v="0"/>
    <n v="2"/>
    <n v="50"/>
    <n v="100"/>
    <n v="150"/>
    <n v="200"/>
    <n v="87.5"/>
    <n v="175"/>
    <n v="262.5"/>
    <n v="400"/>
    <n v="-0.125"/>
    <n v="-0.125"/>
    <n v="-0.125"/>
    <n v="0"/>
    <n v="-9.375E-2"/>
    <n v="3"/>
    <n v="75"/>
    <n v="150"/>
    <n v="225"/>
    <n v="400"/>
    <n v="137.5"/>
    <n v="275"/>
    <n v="412.5"/>
    <n v="650"/>
    <n v="-8.3333333333333329E-2"/>
    <n v="-8.3333333333333329E-2"/>
    <n v="-8.3333333333333329E-2"/>
    <n v="-0.1875"/>
    <n v="-0.109375"/>
    <n v="4"/>
    <n v="125"/>
    <n v="250"/>
    <n v="375"/>
    <n v="500"/>
    <n v="250"/>
    <n v="500"/>
    <n v="750"/>
    <n v="1050"/>
    <n v="0"/>
    <n v="0"/>
    <n v="0"/>
    <n v="0.05"/>
    <n v="1.2500000000000001E-2"/>
    <n v="5"/>
    <n v="250"/>
    <n v="500"/>
    <n v="750"/>
    <n v="1100"/>
    <n v="400"/>
    <n v="800"/>
    <n v="1200"/>
    <n v="1800"/>
    <n v="-0.2"/>
    <n v="-0.2"/>
    <n v="-0.2"/>
    <n v="-0.18181818181818182"/>
    <n v="-0.19545454545454549"/>
  </r>
  <r>
    <m/>
    <m/>
    <m/>
    <n v="0"/>
    <n v="0"/>
    <n v="0"/>
    <n v="0"/>
    <x v="10"/>
    <s v="Med"/>
    <s v="Gang"/>
    <s v="7-10"/>
    <n v="40"/>
    <n v="80"/>
    <n v="120"/>
    <n v="160"/>
    <n v="0"/>
    <n v="0"/>
    <n v="0"/>
    <n v="0"/>
    <n v="0"/>
    <n v="0"/>
    <n v="0"/>
    <n v="0"/>
    <n v="0"/>
    <n v="0"/>
    <n v="70"/>
    <n v="140"/>
    <n v="210"/>
    <n v="320"/>
    <n v="-0.125"/>
    <n v="-0.125"/>
    <n v="-0.125"/>
    <n v="0"/>
    <n v="-9.375E-2"/>
    <n v="0"/>
    <n v="0"/>
    <n v="0"/>
    <n v="0"/>
    <n v="0"/>
    <n v="110"/>
    <n v="220"/>
    <n v="330"/>
    <n v="520"/>
    <n v="-8.3333333333333329E-2"/>
    <n v="-8.3333333333333329E-2"/>
    <n v="-8.3333333333333329E-2"/>
    <n v="-0.1875"/>
    <n v="-0.109375"/>
    <n v="0"/>
    <n v="0"/>
    <n v="0"/>
    <n v="0"/>
    <n v="0"/>
    <n v="200"/>
    <n v="400"/>
    <n v="600"/>
    <n v="840"/>
    <n v="0"/>
    <n v="0"/>
    <n v="0"/>
    <n v="0.05"/>
    <n v="1.2500000000000001E-2"/>
    <n v="0"/>
    <n v="0"/>
    <n v="0"/>
    <n v="0"/>
    <n v="0"/>
    <n v="320"/>
    <n v="640"/>
    <n v="960"/>
    <n v="1440"/>
    <n v="-0.2"/>
    <n v="-0.2"/>
    <n v="-0.2"/>
    <n v="-0.18181818181818182"/>
    <n v="-0.19545454545454549"/>
  </r>
  <r>
    <m/>
    <m/>
    <m/>
    <n v="0"/>
    <n v="0"/>
    <n v="0"/>
    <n v="0"/>
    <x v="10"/>
    <s v="Med"/>
    <s v="Mob"/>
    <s v="11-14"/>
    <n v="33.333333333333336"/>
    <n v="66.666666666666671"/>
    <n v="100"/>
    <n v="133.33333333333334"/>
    <n v="0"/>
    <n v="0"/>
    <n v="0"/>
    <n v="0"/>
    <n v="0"/>
    <n v="0"/>
    <n v="0"/>
    <n v="0"/>
    <n v="0"/>
    <n v="0"/>
    <n v="58.333333333333336"/>
    <n v="116.66666666666667"/>
    <n v="175"/>
    <n v="266.66666666666669"/>
    <n v="-0.12500000000000003"/>
    <n v="-0.12500000000000003"/>
    <n v="-0.125"/>
    <n v="0"/>
    <n v="-9.3750000000000014E-2"/>
    <n v="0"/>
    <n v="0"/>
    <n v="0"/>
    <n v="0"/>
    <n v="0"/>
    <n v="91.666666666666671"/>
    <n v="183.33333333333334"/>
    <n v="275"/>
    <n v="433.33333333333331"/>
    <n v="-8.3333333333333287E-2"/>
    <n v="-8.3333333333333287E-2"/>
    <n v="-8.3333333333333329E-2"/>
    <n v="-0.18750000000000008"/>
    <n v="-0.109375"/>
    <n v="0"/>
    <n v="0"/>
    <n v="0"/>
    <n v="0"/>
    <n v="0"/>
    <n v="166.66666666666666"/>
    <n v="333.33333333333331"/>
    <n v="500"/>
    <n v="700"/>
    <n v="0"/>
    <n v="0"/>
    <n v="0"/>
    <n v="5.0000000000000058E-2"/>
    <n v="1.2500000000000015E-2"/>
    <n v="0"/>
    <n v="0"/>
    <n v="0"/>
    <n v="0"/>
    <n v="0"/>
    <n v="266.66666666666669"/>
    <n v="533.33333333333337"/>
    <n v="800"/>
    <n v="1200"/>
    <n v="-0.1999999999999999"/>
    <n v="-0.1999999999999999"/>
    <n v="-0.2"/>
    <n v="-0.18181818181818185"/>
    <n v="-0.19545454545454544"/>
  </r>
  <r>
    <m/>
    <m/>
    <m/>
    <n v="0"/>
    <n v="0"/>
    <n v="0"/>
    <n v="0"/>
    <x v="10"/>
    <s v="Med"/>
    <s v="Horde"/>
    <s v="15+"/>
    <n v="25"/>
    <n v="50"/>
    <n v="75"/>
    <n v="100"/>
    <n v="0"/>
    <n v="0"/>
    <n v="0"/>
    <n v="0"/>
    <n v="0"/>
    <n v="0"/>
    <n v="0"/>
    <n v="0"/>
    <n v="0"/>
    <n v="0"/>
    <n v="43.75"/>
    <n v="87.5"/>
    <n v="131.25"/>
    <n v="200"/>
    <n v="-0.125"/>
    <n v="-0.125"/>
    <n v="-0.125"/>
    <n v="0"/>
    <n v="-9.375E-2"/>
    <n v="0"/>
    <n v="0"/>
    <n v="0"/>
    <n v="0"/>
    <n v="0"/>
    <n v="68.75"/>
    <n v="137.5"/>
    <n v="206.25"/>
    <n v="325"/>
    <n v="-8.3333333333333329E-2"/>
    <n v="-8.3333333333333329E-2"/>
    <n v="-8.3333333333333329E-2"/>
    <n v="-0.1875"/>
    <n v="-0.109375"/>
    <n v="0"/>
    <n v="0"/>
    <n v="0"/>
    <n v="0"/>
    <n v="0"/>
    <n v="125"/>
    <n v="250"/>
    <n v="375"/>
    <n v="525"/>
    <n v="0"/>
    <n v="0"/>
    <n v="0"/>
    <n v="0.05"/>
    <n v="1.2500000000000001E-2"/>
    <n v="0"/>
    <n v="0"/>
    <n v="0"/>
    <n v="0"/>
    <n v="0"/>
    <n v="200"/>
    <n v="400"/>
    <n v="600"/>
    <n v="900"/>
    <n v="-0.2"/>
    <n v="-0.2"/>
    <n v="-0.2"/>
    <n v="-0.18181818181818182"/>
    <n v="-0.19545454545454549"/>
  </r>
  <r>
    <m/>
    <m/>
    <m/>
    <n v="0"/>
    <n v="0"/>
    <n v="0"/>
    <n v="0"/>
    <x v="10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10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2E3A39-D7F5-4AB7-986E-040B6DB50CFF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 rowHeaderCaption="Party Name">
  <location ref="B2:I11" firstHeaderRow="0" firstDataRow="1" firstDataCol="1"/>
  <pivotFields count="76">
    <pivotField subtotalTop="0" showAll="0"/>
    <pivotField subtotalTop="0" showAll="0"/>
    <pivotField dataField="1" subtotalTop="0" showAll="0"/>
    <pivotField subtotalTop="0" showAll="0"/>
    <pivotField subtotalTop="0" showAll="0"/>
    <pivotField subtotalTop="0" showAll="0"/>
    <pivotField subtotalTop="0" showAll="0"/>
    <pivotField axis="axisRow" showAll="0" measureFilter="1" sortType="descending">
      <items count="12">
        <item x="1"/>
        <item x="0"/>
        <item x="8"/>
        <item x="2"/>
        <item x="3"/>
        <item x="4"/>
        <item x="5"/>
        <item x="6"/>
        <item x="7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ubtotalTop="0" showAll="0"/>
    <pivotField subtotalTop="0" showAll="0"/>
    <pivotField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7"/>
  </rowFields>
  <rowItems count="9">
    <i>
      <x v="3"/>
    </i>
    <i>
      <x v="6"/>
    </i>
    <i>
      <x v="9"/>
    </i>
    <i>
      <x v="5"/>
    </i>
    <i>
      <x v="8"/>
    </i>
    <i>
      <x v="10"/>
    </i>
    <i>
      <x v="1"/>
    </i>
    <i>
      <x v="4"/>
    </i>
    <i>
      <x v="7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Number of Members" fld="2" subtotal="count" baseField="0" baseItem="0"/>
    <dataField name="Total Starting Level" fld="2" baseField="1" baseItem="0"/>
    <dataField name="Relative Starting Difficulty" fld="19" subtotal="average" baseField="1" baseItem="0" numFmtId="9"/>
    <dataField name="Difficulty for +1 Levels" fld="33" subtotal="average" baseField="1" baseItem="0" numFmtId="9"/>
    <dataField name="Difficulty for +2 Levels" fld="47" subtotal="average" baseField="1" baseItem="0" numFmtId="9"/>
    <dataField name="Difficulty for +3 Levels" fld="61" subtotal="average" baseField="1" baseItem="0" numFmtId="9"/>
    <dataField name="Difficulty for +4 Levels" fld="75" subtotal="average" baseField="7" baseItem="3" numFmtId="9"/>
  </dataFields>
  <formats count="42">
    <format dxfId="1095">
      <pivotArea field="7" type="button" dataOnly="0" labelOnly="1" outline="0" axis="axisRow" fieldPosition="0"/>
    </format>
    <format dxfId="10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3">
      <pivotArea type="all" dataOnly="0" outline="0" fieldPosition="0"/>
    </format>
    <format dxfId="1092">
      <pivotArea outline="0" collapsedLevelsAreSubtotals="1" fieldPosition="0"/>
    </format>
    <format dxfId="1091">
      <pivotArea field="7" type="button" dataOnly="0" labelOnly="1" outline="0" axis="axisRow" fieldPosition="0"/>
    </format>
    <format dxfId="1090">
      <pivotArea dataOnly="0" labelOnly="1" fieldPosition="0">
        <references count="1">
          <reference field="7" count="0"/>
        </references>
      </pivotArea>
    </format>
    <format dxfId="1089">
      <pivotArea dataOnly="0" labelOnly="1" grandRow="1" outline="0" fieldPosition="0"/>
    </format>
    <format dxfId="10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7">
      <pivotArea type="all" dataOnly="0" outline="0" fieldPosition="0"/>
    </format>
    <format dxfId="1086">
      <pivotArea outline="0" collapsedLevelsAreSubtotals="1" fieldPosition="0"/>
    </format>
    <format dxfId="1085">
      <pivotArea field="7" type="button" dataOnly="0" labelOnly="1" outline="0" axis="axisRow" fieldPosition="0"/>
    </format>
    <format dxfId="1084">
      <pivotArea dataOnly="0" labelOnly="1" fieldPosition="0">
        <references count="1">
          <reference field="7" count="0"/>
        </references>
      </pivotArea>
    </format>
    <format dxfId="1083">
      <pivotArea dataOnly="0" labelOnly="1" grandRow="1" outline="0" fieldPosition="0"/>
    </format>
    <format dxfId="10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1">
      <pivotArea type="all" dataOnly="0" outline="0" fieldPosition="0"/>
    </format>
    <format dxfId="1080">
      <pivotArea outline="0" collapsedLevelsAreSubtotals="1" fieldPosition="0"/>
    </format>
    <format dxfId="1079">
      <pivotArea field="7" type="button" dataOnly="0" labelOnly="1" outline="0" axis="axisRow" fieldPosition="0"/>
    </format>
    <format dxfId="1078">
      <pivotArea dataOnly="0" labelOnly="1" fieldPosition="0">
        <references count="1">
          <reference field="7" count="0"/>
        </references>
      </pivotArea>
    </format>
    <format dxfId="1077">
      <pivotArea dataOnly="0" labelOnly="1" grandRow="1" outline="0" fieldPosition="0"/>
    </format>
    <format dxfId="10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7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7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6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68">
      <pivotArea field="7" type="button" dataOnly="0" labelOnly="1" outline="0" axis="axisRow" fieldPosition="0"/>
    </format>
    <format dxfId="106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066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1065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106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62">
      <pivotArea type="all" dataOnly="0" outline="0" fieldPosition="0"/>
    </format>
    <format dxfId="1061">
      <pivotArea outline="0" collapsedLevelsAreSubtotals="1" fieldPosition="0"/>
    </format>
    <format dxfId="1060">
      <pivotArea field="7" type="button" dataOnly="0" labelOnly="1" outline="0" axis="axisRow" fieldPosition="0"/>
    </format>
    <format dxfId="1059">
      <pivotArea dataOnly="0" labelOnly="1" fieldPosition="0">
        <references count="1">
          <reference field="7" count="1">
            <x v="1"/>
          </reference>
        </references>
      </pivotArea>
    </format>
    <format dxfId="105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057">
      <pivotArea collapsedLevelsAreSubtotals="1" fieldPosition="0">
        <references count="2">
          <reference field="4294967294" count="1" selected="0">
            <x v="6"/>
          </reference>
          <reference field="7" count="1">
            <x v="3"/>
          </reference>
        </references>
      </pivotArea>
    </format>
    <format dxfId="1056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055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054">
      <pivotArea dataOnly="0" labelOnly="1" outline="0" fieldPosition="0">
        <references count="1">
          <reference field="4294967294" count="1">
            <x v="6"/>
          </reference>
        </references>
      </pivotArea>
    </format>
  </formats>
  <conditionalFormats count="1">
    <conditionalFormat priority="128">
      <pivotAreas count="1">
        <pivotArea type="data" outline="0" collapsedLevelsAreSubtotals="1" fieldPosition="0">
          <references count="1">
            <reference field="4294967294" count="5" selected="0">
              <x v="2"/>
              <x v="3"/>
              <x v="4"/>
              <x v="5"/>
              <x v="6"/>
            </reference>
          </references>
        </pivotArea>
      </pivotAreas>
    </conditionalFormat>
  </conditionalFormats>
  <pivotTableStyleInfo name="PivotTable Style 1" showRowHeaders="1" showColHeaders="1" showRowStripes="0" showColStripes="0" showLastColumn="1"/>
  <filters count="1">
    <filter fld="7" type="valueNotEqual" evalOrder="-1" id="3" iMeasureFld="1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FAF28F-2AE1-4D39-B043-F76158E361DD}" name="Encounter_Mod" displayName="Encounter_Mod" ref="K5:O11" totalsRowShown="0" headerRowDxfId="1177" dataDxfId="1175" headerRowBorderDxfId="1176">
  <tableColumns count="5">
    <tableColumn id="1" xr3:uid="{EEE9A1EB-2528-4283-A066-72C483D4C1F3}" name="Count" dataDxfId="1174"/>
    <tableColumn id="2" xr3:uid="{C29B9AE2-6764-4595-B18C-5CC165D06096}" name="Type" dataDxfId="1173"/>
    <tableColumn id="3" xr3:uid="{95F110DB-02A6-4B3C-8841-DFC4E7A371E7}" name="Small" dataDxfId="1172"/>
    <tableColumn id="4" xr3:uid="{DA5ABF17-C7BA-43B3-ABD5-BC2110970105}" name="Med" dataDxfId="1171"/>
    <tableColumn id="5" xr3:uid="{BC3C2E95-610D-456F-9E36-7CB483A32837}" name="Large" dataDxfId="1170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ChallengeRating" displayName="ChallengeRating" ref="B3:D37" totalsRowShown="0" headerRowDxfId="1169" dataDxfId="1167" headerRowBorderDxfId="1168" tableBorderDxfId="1166">
  <tableColumns count="3">
    <tableColumn id="3" xr3:uid="{00000000-0010-0000-0400-000003000000}" name="Challenge Rating" dataDxfId="1165"/>
    <tableColumn id="4" xr3:uid="{00000000-0010-0000-0400-000004000000}" name="Prof. Bonus" dataDxfId="1164"/>
    <tableColumn id="9" xr3:uid="{00000000-0010-0000-0400-000009000000}" name="XP" dataDxfId="1163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Encounter_Diff" displayName="Encounter_Diff" ref="F3:J24" totalsRowShown="0" headerRowDxfId="1162" dataDxfId="1160" headerRowBorderDxfId="1161" tableBorderDxfId="1159">
  <tableColumns count="5">
    <tableColumn id="3" xr3:uid="{00000000-0010-0000-0300-000003000000}" name="Player Level" dataDxfId="1158"/>
    <tableColumn id="4" xr3:uid="{00000000-0010-0000-0300-000004000000}" name="Easy" dataDxfId="1157"/>
    <tableColumn id="5" xr3:uid="{00000000-0010-0000-0300-000005000000}" name="Medium" dataDxfId="1156"/>
    <tableColumn id="6" xr3:uid="{00000000-0010-0000-0300-000006000000}" name="Hard" dataDxfId="1155"/>
    <tableColumn id="9" xr3:uid="{00000000-0010-0000-0300-000009000000}" name="Deadly" dataDxfId="1154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Boost" displayName="Boost" ref="T3:AD4" totalsRowShown="0" headerRowDxfId="1153" dataDxfId="1151" headerRowBorderDxfId="1152" tableBorderDxfId="1150">
  <tableColumns count="11">
    <tableColumn id="1" xr3:uid="{00000000-0010-0000-0200-000001000000}" name="Initiative" dataDxfId="1149"/>
    <tableColumn id="2" xr3:uid="{00000000-0010-0000-0200-000002000000}" name="Stealth" dataDxfId="1148"/>
    <tableColumn id="3" xr3:uid="{00000000-0010-0000-0200-000003000000}" name="Passive Perception" dataDxfId="1147"/>
    <tableColumn id="4" xr3:uid="{00000000-0010-0000-0200-000004000000}" name="Attack Roll Bonus" dataDxfId="1146"/>
    <tableColumn id="5" xr3:uid="{00000000-0010-0000-0200-000005000000}" name="Armor Class" dataDxfId="1145"/>
    <tableColumn id="6" xr3:uid="{00000000-0010-0000-0200-000006000000}" name="Spell Attack Bonus" dataDxfId="1144"/>
    <tableColumn id="7" xr3:uid="{00000000-0010-0000-0200-000007000000}" name="Save DC" dataDxfId="1143"/>
    <tableColumn id="8" xr3:uid="{00000000-0010-0000-0200-000008000000}" name="Status/Notes" dataDxfId="1142"/>
    <tableColumn id="9" xr3:uid="{1055F7CE-9C80-49E1-A0E1-0820E987D4EF}" name="Temp HP" dataDxfId="1141"/>
    <tableColumn id="10" xr3:uid="{2CF207D6-32D1-472B-B764-643DD55AC32A}" name="Total HP (multiplier)" dataDxfId="1140"/>
    <tableColumn id="11" xr3:uid="{06131684-5422-4085-897F-F63924F71CF2}" name="Dmg Taken" dataDxfId="1139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49088E-0910-4EA8-B83E-B05F86BAF7A5}" name="OldEncounter" displayName="OldEncounter" ref="S8:AH9" totalsRowShown="0" headerRowDxfId="1138" dataDxfId="1137" tableBorderDxfId="1136">
  <autoFilter ref="S8:AH9" xr:uid="{BA5DB863-A61D-4499-9073-F0E0116E06CD}"/>
  <tableColumns count="16">
    <tableColumn id="1" xr3:uid="{B887203D-2414-469F-A064-DCD8B11F3C2F}" name="Init" dataDxfId="1135">
      <calculatedColumnFormula>IFERROR(INDEX(Database[Init],MATCH(OldEncounter[[#This Row],[Character/Creature]],Database[Character/Creature],0)) + RANDBETWEEN(1,20), "")</calculatedColumnFormula>
    </tableColumn>
    <tableColumn id="14" xr3:uid="{C881A005-A9E8-452B-B5FE-4BC53F19651E}" name="Party" dataDxfId="1134"/>
    <tableColumn id="2" xr3:uid="{C0580C0F-F8AD-401D-A5DB-FD9E155023A4}" name="Character/Creature" dataDxfId="1133"/>
    <tableColumn id="3" xr3:uid="{AB756DDA-613E-4EB2-8434-FE1CC989EB8B}" name="User" dataDxfId="1132">
      <calculatedColumnFormula>IFERROR(INDEX(Database[User],MATCH(OldEncounter[[#This Row],[Character/Creature]],Database[Character/Creature],0)), "")</calculatedColumnFormula>
    </tableColumn>
    <tableColumn id="13" xr3:uid="{3035D8E0-BAFA-4A55-B13E-DB7BA38801E8}" name="Stealth" dataDxfId="1131">
      <calculatedColumnFormula>IFERROR(INDEX(Database[Stealth],MATCH(OldEncounter[[#This Row],[Character/Creature]],Database[Character/Creature],0)) + RANDBETWEEN(1,20) + IF(ISBLANK(OldEncounter[[#This Row],[Party]]), Boost[Stealth], 0), "")</calculatedColumnFormula>
    </tableColumn>
    <tableColumn id="5" xr3:uid="{358271C3-7E83-4ECB-B89B-DDE752F74756}" name="Pass Perc" dataDxfId="1130">
      <calculatedColumnFormula>IFERROR(INDEX(Database[Pass Perc],MATCH(OldEncounter[[#This Row],[Character/Creature]],Database[Character/Creature],0)) + Boost[Passive Perception] + IF(ISBLANK(OldEncounter[[#This Row],[Party]]), Boost[Passive Perception], 0), "")</calculatedColumnFormula>
    </tableColumn>
    <tableColumn id="6" xr3:uid="{235AE314-F862-4DEF-836F-60708AB8AEE4}" name="AC" dataDxfId="1129">
      <calculatedColumnFormula>IFERROR(INDEX(Database[AC],MATCH(OldEncounter[[#This Row],[Character/Creature]],Database[Character/Creature],0))  + IF(ISBLANK(OldEncounter[[#This Row],[Party]]), Boost[Armor Class], 0), "")</calculatedColumnFormula>
    </tableColumn>
    <tableColumn id="7" xr3:uid="{38BA94C3-0BB7-4224-9D9C-56A66FA955B7}" name="Save DC" dataDxfId="1128">
      <calculatedColumnFormula>IFERROR(INDEX(Database[Save DC],MATCH(OldEncounter[[#This Row],[Character/Creature]],Database[Character/Creature],0)) + IF(ISBLANK(OldEncounter[[#This Row],[Party]]), Boost[Save DC], 0), "")</calculatedColumnFormula>
    </tableColumn>
    <tableColumn id="8" xr3:uid="{93254248-472E-476B-8808-C7B48DF6FC7A}" name="Status/Notes" dataDxfId="1127">
      <calculatedColumnFormula>IFERROR(INDEX(Database[Status/Notes],MATCH(OldEncounter[[#This Row],[Character/Creature]],Database[Character/Creature],0)), "")</calculatedColumnFormula>
    </tableColumn>
    <tableColumn id="12" xr3:uid="{DB6F8E9B-DD45-4382-9450-9FD601057FA5}" name="Temp HP" dataDxfId="1126">
      <calculatedColumnFormula>IFERROR(INDEX(Database[Temp HP],MATCH(OldEncounter[[#This Row],[Character/Creature]],Database[Character/Creature],0)) + IF(ISBLANK(OldEncounter[[#This Row],[Party]]), Boost[Temp HP], 0), "")</calculatedColumnFormula>
    </tableColumn>
    <tableColumn id="9" xr3:uid="{B1D69BD9-72D3-434E-869C-847E019588FF}" name="Total HP" dataDxfId="1125">
      <calculatedColumnFormula>IFERROR(INDEX(Database[Base HP],MATCH(OldEncounter[[#This Row],[Character/Creature]],Database[Character/Creature],0)) * IF(ISBLANK(OldEncounter[[#This Row],[Party]]), Boost[Total HP (multiplier)], 1) + OldEncounter[[#This Row],[Temp HP]], "")</calculatedColumnFormula>
    </tableColumn>
    <tableColumn id="10" xr3:uid="{4F566159-655D-4333-9E2D-D35FF6035948}" name="Dmg Taken" dataDxfId="1124">
      <calculatedColumnFormula>IFERROR(INDEX(Database[Dmg Taken],MATCH(OldEncounter[[#This Row],[Character/Creature]],Database[Character/Creature],0)) + IF(ISBLANK(OldEncounter[[#This Row],[Party]]), Boost[Dmg Taken], 0), "")</calculatedColumnFormula>
    </tableColumn>
    <tableColumn id="11" xr3:uid="{42388E21-8B19-40E7-85D4-A63B0FEBB1A9}" name="Current HP" dataDxfId="1123">
      <calculatedColumnFormula>IFERROR(OldEncounter[[#This Row],[Total HP]]-OldEncounter[[#This Row],[Dmg Taken]], "")</calculatedColumnFormula>
    </tableColumn>
    <tableColumn id="15" xr3:uid="{AFB5C213-D13B-4F5E-BB35-DB026F437B73}" name="Lvl" dataDxfId="1122">
      <calculatedColumnFormula>IFERROR(INDEX(Database[Lvl],MATCH(OldEncounter[[#This Row],[Character/Creature]],Database[Character/Creature],0)), "")</calculatedColumnFormula>
    </tableColumn>
    <tableColumn id="16" xr3:uid="{8775117F-5AE7-4ADE-900F-E882812C050E}" name="CR" dataDxfId="1121">
      <calculatedColumnFormula>IFERROR(INDEX(Database[CR],MATCH(OldEncounter[[#This Row],[Character/Creature]],Database[Character/Creature],0)), "")</calculatedColumnFormula>
    </tableColumn>
    <tableColumn id="17" xr3:uid="{E2F58BD4-101D-40A8-9E05-EA66D7D9E418}" name="XP" dataDxfId="1120"/>
  </tableColumns>
  <tableStyleInfo name="TableStyleLight15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atabase" displayName="Database" ref="B3:V171" totalsRowShown="0" headerRowDxfId="1119" dataDxfId="1118">
  <autoFilter ref="B3:V171" xr:uid="{5E7D3A32-5D36-4861-BCEB-631001D1B5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sortState ref="B4:V171">
    <sortCondition ref="B4:B145"/>
    <sortCondition descending="1" sortBy="cellColor" ref="C4:C145" dxfId="1117"/>
    <sortCondition ref="C4:C145"/>
    <sortCondition ref="E4:E145"/>
  </sortState>
  <tableColumns count="21">
    <tableColumn id="20" xr3:uid="{B7A3FB44-6DF0-4C16-892E-1ABB84772F87}" name="Group" dataDxfId="1116"/>
    <tableColumn id="17" xr3:uid="{B2DF3E9C-7090-4A91-945E-85C1CB5CA7F5}" name="User" dataDxfId="1115"/>
    <tableColumn id="11" xr3:uid="{9019AE1A-FA69-4A0C-A1AC-5C93C6184780}" name="Character Level" dataDxfId="1114"/>
    <tableColumn id="19" xr3:uid="{74E1BF07-370E-4599-93C3-497D7B79E777}" name="Character/Creature" dataDxfId="1113"/>
    <tableColumn id="18" xr3:uid="{6BD41297-AB2F-487B-8A4A-38B708B90EFE}" name="Challenge Rating" dataDxfId="1112"/>
    <tableColumn id="1" xr3:uid="{00000000-0010-0000-0000-000001000000}" name="XP Award" dataDxfId="1111">
      <calculatedColumnFormula>IF(NOT( ISBLANK(Database[[#This Row],[Challenge Rating]])), LOOKUP(Database[Challenge Rating],ChallengeRating[Challenge Rating],ChallengeRating[XP]), "-")</calculatedColumnFormula>
    </tableColumn>
    <tableColumn id="21" xr3:uid="{DB8BB680-2F58-4316-95B1-10432C588F16}" name="Source" dataDxfId="1110"/>
    <tableColumn id="2" xr3:uid="{00000000-0010-0000-0000-000002000000}" name="Init" dataDxfId="1109"/>
    <tableColumn id="3" xr3:uid="{00000000-0010-0000-0000-000003000000}" name="Stealth" dataDxfId="1108"/>
    <tableColumn id="4" xr3:uid="{00000000-0010-0000-0000-000004000000}" name="Pass Perc" dataDxfId="1107"/>
    <tableColumn id="5" xr3:uid="{00000000-0010-0000-0000-000005000000}" name="Atk Roll" dataDxfId="1106"/>
    <tableColumn id="6" xr3:uid="{00000000-0010-0000-0000-000006000000}" name="AC" dataDxfId="1105"/>
    <tableColumn id="7" xr3:uid="{00000000-0010-0000-0000-000007000000}" name="Spell Atk" dataDxfId="1104"/>
    <tableColumn id="8" xr3:uid="{00000000-0010-0000-0000-000008000000}" name="Save DC" dataDxfId="1103"/>
    <tableColumn id="10" xr3:uid="{00000000-0010-0000-0000-00000A000000}" name="Status/Notes" dataDxfId="1102"/>
    <tableColumn id="14" xr3:uid="{00000000-0010-0000-0000-00000E000000}" name="Temp HP" dataDxfId="1101"/>
    <tableColumn id="15" xr3:uid="{2F7439FE-A133-44C3-BF69-F14AF953EF14}" name="Base HP" dataDxfId="1100"/>
    <tableColumn id="13" xr3:uid="{B3DD2B05-7108-4A63-AF47-11450D6DAEDE}" name="Dmg Taken" dataDxfId="1099"/>
    <tableColumn id="12" xr3:uid="{00000000-0010-0000-0000-00000C000000}" name="Current HP" dataDxfId="1098">
      <calculatedColumnFormula>Database[[#This Row],[Base HP]]+Database[[#This Row],[Temp HP]]-Database[[#This Row],[Dmg Taken]]</calculatedColumnFormula>
    </tableColumn>
    <tableColumn id="9" xr3:uid="{00000000-0010-0000-0000-000009000000}" name="Lvl" dataDxfId="1097">
      <calculatedColumnFormula array="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calculatedColumnFormula>
    </tableColumn>
    <tableColumn id="16" xr3:uid="{314EF34A-7EF2-40A2-9EB0-E7FED244C140}" name="CR" dataDxfId="1096">
      <calculatedColumnFormula array="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calculatedColumn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E08248F-5F6E-427E-A95E-3DCB54F99ECD}" name="PartyCompare_0" displayName="PartyCompare_0" ref="M3:CI11" totalsRowShown="0" headerRowDxfId="1053" dataDxfId="1052">
  <tableColumns count="75">
    <tableColumn id="1" xr3:uid="{8F59DD9F-0C23-464F-8FBB-6C4DA40BDCF9}" name="Party Member" dataDxfId="1051"/>
    <tableColumn id="2" xr3:uid="{56A3A670-406D-4B3B-96D5-04F8A42649CB}" name="Level" dataDxfId="1050"/>
    <tableColumn id="3" xr3:uid="{B2B9F784-C75F-46E0-B656-A3E2BC285F2D}" name="(Easy)" dataDxfId="1049">
      <calculatedColumnFormula>INDEX(Encounter_Diff[Easy], MATCH(PartyCompare_0[[#This Row],[Level]],Encounter_Diff[Player Level],0))</calculatedColumnFormula>
    </tableColumn>
    <tableColumn id="4" xr3:uid="{049E968D-C83E-47F7-960E-5470A42D99AF}" name="(Medium)" dataDxfId="1048">
      <calculatedColumnFormula>INDEX(Encounter_Diff[Medium], MATCH(PartyCompare_0[[#This Row],[Level]],Encounter_Diff[Player Level],0))</calculatedColumnFormula>
    </tableColumn>
    <tableColumn id="5" xr3:uid="{601CEFF7-8104-4A45-BA60-14685DF02C56}" name="(Hard)" dataDxfId="1047">
      <calculatedColumnFormula>INDEX(Encounter_Diff[Hard], MATCH(PartyCompare_0[[#This Row],[Level]],Encounter_Diff[Player Level],0))</calculatedColumnFormula>
    </tableColumn>
    <tableColumn id="6" xr3:uid="{4FC1EC6A-D1C5-4511-8F59-233B11C5ECD7}" name="(Deadly)" dataDxfId="1046">
      <calculatedColumnFormula>INDEX(Encounter_Diff[Deadly], MATCH(PartyCompare_0[[#This Row],[Level]],Encounter_Diff[Player Level],0))</calculatedColumnFormula>
    </tableColumn>
    <tableColumn id="76" xr3:uid="{32C20773-0242-4CD3-B3E6-3B308400A071}" name="Party Name" dataDxfId="1045"/>
    <tableColumn id="18" xr3:uid="{9031D522-6CC3-403D-9E5F-AF321D3A34BE}" name="Party Size" dataDxfId="1044">
      <calculatedColumnFormula>IF(COUNT(PartyCompare_0[Level])&lt;=2,"Small", IF(COUNT(PartyCompare_0[Level])&lt;=5,"Med", IF(COUNT(PartyCompare_0[Level])&lt;=8, "Large", "TOO BIG!")))</calculatedColumnFormula>
    </tableColumn>
    <tableColumn id="8" xr3:uid="{CA11CFBA-B1C1-42EB-BC43-BFC48C06AB8F}" name="Mob Size" dataDxfId="1043"/>
    <tableColumn id="61" xr3:uid="{7096CFF4-66BA-4958-AD1D-23A92E9F765D}" name="Mob Count" dataDxfId="1042"/>
    <tableColumn id="9" xr3:uid="{6F44CE39-15CC-48F2-B7F3-D010844F2E0E}" name="Easy" dataDxfId="1041"/>
    <tableColumn id="10" xr3:uid="{41971BFA-7E05-488B-B9A9-A86948FB397A}" name="Medium" dataDxfId="1040">
      <calculatedColumnFormula>SUM(PartyCompare_0[(Medium)])/INDEX(Encounter_Mod[[Small]:[Large]], MATCH(PartyCompare_0[[#This Row],[Mob Size]], Encounter_Mod[Type], 0), MATCH(PartyCompare_0[[#This Row],[Party Size]],Encounter_Mod[[#Headers],[Small]:[Large]],0))</calculatedColumnFormula>
    </tableColumn>
    <tableColumn id="11" xr3:uid="{0BD22BC0-0433-41EF-B124-E5000883A60F}" name="Hard" dataDxfId="1039">
      <calculatedColumnFormula>SUM(PartyCompare_0[(Hard)])/INDEX(Encounter_Mod[[Small]:[Large]], MATCH(PartyCompare_0[[#This Row],[Mob Size]], Encounter_Mod[Type], 0), MATCH(PartyCompare_0[[#This Row],[Party Size]],Encounter_Mod[[#Headers],[Small]:[Large]],0))</calculatedColumnFormula>
    </tableColumn>
    <tableColumn id="12" xr3:uid="{7DB61C24-94AC-4EC3-BBD8-71A4A6DE58D4}" name="Deadly" dataDxfId="1038">
      <calculatedColumnFormula>SUM(PartyCompare_0[(Deadly)])/INDEX(Encounter_Mod[[Small]:[Large]], MATCH(PartyCompare_0[[#This Row],[Mob Size]], Encounter_Mod[Type], 0), MATCH(PartyCompare_0[[#This Row],[Party Size]],Encounter_Mod[[#Headers],[Small]:[Large]],0))</calculatedColumnFormula>
    </tableColumn>
    <tableColumn id="13" xr3:uid="{34591B81-B52E-4EB7-8790-20C3A6C8860F}" name="Easy Deviation" dataDxfId="1037"/>
    <tableColumn id="14" xr3:uid="{115B550D-D4A0-49A8-B50E-623A64C20D7A}" name="Medium Deviation" dataDxfId="1036"/>
    <tableColumn id="15" xr3:uid="{7B71EAFE-7716-4E92-BC4A-534E68A89208}" name="Hard Deviation" dataDxfId="1035"/>
    <tableColumn id="16" xr3:uid="{F5E80ABD-EFC3-4E71-8184-7EA1F212D9C6}" name="Deadly Deviation" dataDxfId="1034"/>
    <tableColumn id="17" xr3:uid="{1745670F-31E2-4CD6-B421-B1EA0114D465}" name="Average Deviation" dataDxfId="1033"/>
    <tableColumn id="7" xr3:uid="{B00B7181-D1DF-43C8-B3EB-47D052A34BBF}" name="+1 Level" dataDxfId="1032">
      <calculatedColumnFormula>IF(ISNUMBER(PartyCompare_0[[#This Row],[Level]]), PartyCompare_0[[#This Row],[Level]]+1, PartyCompare_0[[#This Row],[Level]])</calculatedColumnFormula>
    </tableColumn>
    <tableColumn id="19" xr3:uid="{D0F22900-A106-47E1-95B1-583AB540BCB8}" name="+1 (Easy)" dataDxfId="1031">
      <calculatedColumnFormula>INDEX(Encounter_Diff[Easy], MATCH(PartyCompare_0[[#This Row],[+1 Level]],Encounter_Diff[Player Level],0))</calculatedColumnFormula>
    </tableColumn>
    <tableColumn id="20" xr3:uid="{C90FFC0B-3706-4935-8674-699F9FB84212}" name="+1 (Medium)" dataDxfId="1030">
      <calculatedColumnFormula>INDEX(Encounter_Diff[Medium], MATCH(PartyCompare_0[[#This Row],[+1 Level]],Encounter_Diff[Player Level],0))</calculatedColumnFormula>
    </tableColumn>
    <tableColumn id="21" xr3:uid="{ACEEFF3C-9972-400B-934A-080E91C85FBE}" name="+1 (Hard)" dataDxfId="1029">
      <calculatedColumnFormula>INDEX(Encounter_Diff[Hard], MATCH(PartyCompare_0[[#This Row],[+1 Level]],Encounter_Diff[Player Level],0))</calculatedColumnFormula>
    </tableColumn>
    <tableColumn id="22" xr3:uid="{5D70886C-4E4A-4525-9FA2-578A31E52F2D}" name="+1 (Deadly)" dataDxfId="1028">
      <calculatedColumnFormula>INDEX(Encounter_Diff[Deadly], MATCH(PartyCompare_0[[#This Row],[+1 Level]],Encounter_Diff[Player Level],0))</calculatedColumnFormula>
    </tableColumn>
    <tableColumn id="25" xr3:uid="{4FDB411C-C2DB-43E8-B4FC-5AA92EE6F80B}" name="+1 Easy" dataDxfId="1027"/>
    <tableColumn id="26" xr3:uid="{00496CAE-556F-45DE-AC44-399F3B4C73DA}" name="+1 Medium" dataDxfId="1026"/>
    <tableColumn id="27" xr3:uid="{C1D49EF1-183A-42E6-816F-8CF942C145F9}" name="+1 Hard" dataDxfId="1025"/>
    <tableColumn id="28" xr3:uid="{758B7855-4DA0-4BA9-BAC3-D749644C623E}" name="+1 Deadly" dataDxfId="1024"/>
    <tableColumn id="29" xr3:uid="{8D068858-B0BF-4B8B-8B28-471D3608353A}" name="+1 Easy Deviation" dataDxfId="1023"/>
    <tableColumn id="30" xr3:uid="{4FC22DD9-FCF1-494E-8446-0720848AE72D}" name="+1 Medium Deviation" dataDxfId="1022"/>
    <tableColumn id="31" xr3:uid="{040E024F-DFCE-4386-A663-6835ED83BF4F}" name="+1 Hard Deviation" dataDxfId="1021"/>
    <tableColumn id="32" xr3:uid="{139AABA7-11C0-4439-861A-9567A3B6398F}" name="+1 Deadly Deviation" dataDxfId="1020"/>
    <tableColumn id="33" xr3:uid="{43F3B4C5-E819-4ED0-B2DE-06232889917F}" name="+1 Average Deviation" dataDxfId="1019"/>
    <tableColumn id="59" xr3:uid="{3B02C252-82ED-4B79-B1AC-657D558B56EA}" name="+2 Level" dataDxfId="1018"/>
    <tableColumn id="58" xr3:uid="{112CA033-27D8-4A44-99DD-0731348D9ABF}" name="+2 (Easy)" dataDxfId="1017"/>
    <tableColumn id="57" xr3:uid="{A3CBADA3-F732-4F5A-BABB-5AFFE8C811DD}" name="+2 (Medium)" dataDxfId="1016"/>
    <tableColumn id="56" xr3:uid="{AA3F6B17-5235-4DB8-9759-7373D91862A0}" name="+2 (Hard)" dataDxfId="1015"/>
    <tableColumn id="55" xr3:uid="{D4ACB2D4-1176-4BAE-BC4A-42E2FE2BB9C6}" name="+2 (Deadly)" dataDxfId="1014"/>
    <tableColumn id="54" xr3:uid="{227217D9-4E02-4079-A8E9-EF6C077FD8CB}" name="+2 Easy" dataDxfId="1013"/>
    <tableColumn id="53" xr3:uid="{40E5B73C-F719-4331-835F-38E58AC42A1A}" name="+2 Medium" dataDxfId="1012"/>
    <tableColumn id="52" xr3:uid="{58FC248B-4277-4BA8-A38D-20061EC60F17}" name="+2 Hard" dataDxfId="1011"/>
    <tableColumn id="51" xr3:uid="{736EDAA5-C217-4438-89A5-3D7B180C7E22}" name="+2 Deadly" dataDxfId="1010"/>
    <tableColumn id="50" xr3:uid="{6D821F80-3442-4158-AB99-05F1B5D982CB}" name="+2 Easy Deviation" dataDxfId="1009"/>
    <tableColumn id="49" xr3:uid="{F1F05079-5048-4D06-9425-2C13A9D75252}" name="+2 Medium Deviation" dataDxfId="1008"/>
    <tableColumn id="48" xr3:uid="{4CEE0806-F812-40DF-A83B-8967586C1712}" name="+2 Hard Deviation" dataDxfId="1007"/>
    <tableColumn id="24" xr3:uid="{3FA4EB21-6EBF-48ED-8EFB-1E9280CFEDEA}" name="+2 Deadly Deviation" dataDxfId="1006"/>
    <tableColumn id="23" xr3:uid="{6EBB537A-049C-4E0C-9FCA-F1329048CB8B}" name="+2 Average Deviation" dataDxfId="1005"/>
    <tableColumn id="34" xr3:uid="{D1F15B2E-F6D3-40EC-AFD7-625B5A3535E2}" name="+3 Level" dataDxfId="1004">
      <calculatedColumnFormula>IF(ISNUMBER(PartyCompare_0[[#This Row],[Level]]), PartyCompare_0[[#This Row],[Level]]+3, PartyCompare_0[[#This Row],[Level]])</calculatedColumnFormula>
    </tableColumn>
    <tableColumn id="35" xr3:uid="{2CF6176F-671D-4BF5-AC7B-839C605EF042}" name="+3 (Easy)" dataDxfId="1003">
      <calculatedColumnFormula>INDEX(Encounter_Diff[Easy], MATCH(PartyCompare_0[[#This Row],[+3 Level]],Encounter_Diff[Player Level],0))</calculatedColumnFormula>
    </tableColumn>
    <tableColumn id="36" xr3:uid="{6E6919C4-9BA1-4C2A-A890-0D60C3B58B97}" name="+3 (Medium)" dataDxfId="1002">
      <calculatedColumnFormula>INDEX(Encounter_Diff[Medium], MATCH(PartyCompare_0[[#This Row],[+3 Level]],Encounter_Diff[Player Level],0))</calculatedColumnFormula>
    </tableColumn>
    <tableColumn id="37" xr3:uid="{A185280F-25BE-46CC-8BE5-C525675C40AF}" name="+3 (Hard)" dataDxfId="1001">
      <calculatedColumnFormula>INDEX(Encounter_Diff[Hard], MATCH(PartyCompare_0[[#This Row],[+3 Level]],Encounter_Diff[Player Level],0))</calculatedColumnFormula>
    </tableColumn>
    <tableColumn id="38" xr3:uid="{5574347F-B716-4CDC-B652-C3EADB333304}" name="+3 (Deadly)" dataDxfId="1000">
      <calculatedColumnFormula>INDEX(Encounter_Diff[Deadly], MATCH(PartyCompare_0[[#This Row],[+3 Level]],Encounter_Diff[Player Level],0))</calculatedColumnFormula>
    </tableColumn>
    <tableColumn id="39" xr3:uid="{893B7BA2-F4C5-4547-A9DA-1789246A9F30}" name="+3 Easy" dataDxfId="999"/>
    <tableColumn id="40" xr3:uid="{8F878B0C-4501-42EF-A3A4-E96EB6D57018}" name="+3 Medium" dataDxfId="998"/>
    <tableColumn id="41" xr3:uid="{85A7C85F-EDD5-49BD-8651-CE6075250D82}" name="+3 Hard" dataDxfId="997"/>
    <tableColumn id="42" xr3:uid="{99062F43-C51E-4AC8-B242-570580C88B4F}" name="+3 Deadly" dataDxfId="996"/>
    <tableColumn id="43" xr3:uid="{E7394C92-C5E4-4F85-B833-7FE1218C1297}" name="+3 Easy Deviation" dataDxfId="995"/>
    <tableColumn id="44" xr3:uid="{872728AC-FED4-4DE3-A097-863FFE0E0DA1}" name="+3 Medium Deviation" dataDxfId="994"/>
    <tableColumn id="45" xr3:uid="{D083A591-0320-4944-83D5-5C7FE79FD2EA}" name="+3 Hard Deviation" dataDxfId="993"/>
    <tableColumn id="46" xr3:uid="{3FB51281-8195-418A-9ED2-B2D11B676761}" name="+3 Deadly Deviation" dataDxfId="992"/>
    <tableColumn id="47" xr3:uid="{7F5291BB-CABD-49C1-BD2A-A6715E96A1ED}" name="+3 Average Deviation" dataDxfId="991"/>
    <tableColumn id="62" xr3:uid="{12DEB9C3-5048-4088-A593-61E55B3C847E}" name="+4 Level" dataDxfId="990">
      <calculatedColumnFormula>IF(ISNUMBER(PartyCompare_0[[#This Row],[Level]]), PartyCompare_0[[#This Row],[Level]]+4, PartyCompare_0[[#This Row],[Level]])</calculatedColumnFormula>
    </tableColumn>
    <tableColumn id="63" xr3:uid="{FC324C21-D9CD-4B3F-9278-2F054FF5D66D}" name="+4 (Easy)" dataDxfId="989">
      <calculatedColumnFormula>INDEX(Encounter_Diff[Easy], MATCH(PartyCompare_0[[#This Row],[+4 Level]],Encounter_Diff[Player Level],0))</calculatedColumnFormula>
    </tableColumn>
    <tableColumn id="64" xr3:uid="{0C5C0911-6B47-4D39-9B47-A2869C18FB67}" name="+4 (Medium)" dataDxfId="988">
      <calculatedColumnFormula>INDEX(Encounter_Diff[Medium], MATCH(PartyCompare_0[[#This Row],[+4 Level]],Encounter_Diff[Player Level],0))</calculatedColumnFormula>
    </tableColumn>
    <tableColumn id="65" xr3:uid="{C1F44AFE-4539-4D6A-8F09-1D32F2A2D36F}" name="+4 (Hard)" dataDxfId="987">
      <calculatedColumnFormula>INDEX(Encounter_Diff[Hard], MATCH(PartyCompare_0[[#This Row],[+4 Level]],Encounter_Diff[Player Level],0))</calculatedColumnFormula>
    </tableColumn>
    <tableColumn id="66" xr3:uid="{5FB9626A-2F7D-420B-A200-CF50EBEA15CD}" name="+4 (Deadly)" dataDxfId="986">
      <calculatedColumnFormula>INDEX(Encounter_Diff[Deadly], MATCH(PartyCompare_0[[#This Row],[+4 Level]],Encounter_Diff[Player Level],0))</calculatedColumnFormula>
    </tableColumn>
    <tableColumn id="67" xr3:uid="{67A9032E-4808-4C02-AB20-6316689EE62B}" name="+4 Easy" dataDxfId="985"/>
    <tableColumn id="68" xr3:uid="{E50A6988-ED91-4FF4-A043-AD84981A14BE}" name="+4 Medium" dataDxfId="984"/>
    <tableColumn id="69" xr3:uid="{F63A8748-AAE8-40B2-B6E3-7EBE54A7CAE1}" name="+4 Hard" dataDxfId="983"/>
    <tableColumn id="70" xr3:uid="{B97411F4-DE17-4709-A171-DBA73D2ACFB3}" name="+4 Deadly" dataDxfId="982"/>
    <tableColumn id="71" xr3:uid="{CA5C8CB8-9B39-4710-B53E-7F86851E859C}" name="+4 Easy Deviation" dataDxfId="981"/>
    <tableColumn id="72" xr3:uid="{3CF0315F-3685-4DFF-A5AD-A8054F5CFCCB}" name="+4 Medium Deviation" dataDxfId="980"/>
    <tableColumn id="73" xr3:uid="{5AFB2B2E-59D2-431E-AD4B-B223C95D7ADC}" name="+4 Hard Deviation" dataDxfId="979"/>
    <tableColumn id="74" xr3:uid="{4E5392EB-91AC-4A7E-A125-1C7928D1E13C}" name="+4 Deadly Deviation" dataDxfId="978"/>
    <tableColumn id="75" xr3:uid="{9E15E617-528E-4F25-8629-840A2F9B38CC}" name="+4 Average Deviation" dataDxfId="977"/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D84AD47-8D8A-4DDB-9267-2263BDF74D5F}" name="PartyCompare_1" displayName="PartyCompare_1" ref="M12:CI20" totalsRowShown="0" headerRowDxfId="976" dataDxfId="975">
  <tableColumns count="75">
    <tableColumn id="1" xr3:uid="{51AC23C6-CB40-472E-82C4-49AC88427279}" name="Party Member" dataDxfId="974"/>
    <tableColumn id="2" xr3:uid="{2F5C1BCD-CEEB-43ED-A7CE-EA7524379891}" name="Level" dataDxfId="973"/>
    <tableColumn id="3" xr3:uid="{5DCC4BCE-C391-448F-8FEA-6DC296D5FBAA}" name="(Easy)" dataDxfId="972">
      <calculatedColumnFormula>INDEX(Encounter_Diff[Easy], MATCH(PartyCompare_1[[#This Row],[Level]],Encounter_Diff[Player Level],0))</calculatedColumnFormula>
    </tableColumn>
    <tableColumn id="4" xr3:uid="{DBC04522-E210-44EF-BAD9-DCDAC9A2EF18}" name="(Medium)" dataDxfId="971">
      <calculatedColumnFormula>INDEX(Encounter_Diff[Medium], MATCH(PartyCompare_1[[#This Row],[Level]],Encounter_Diff[Player Level],0))</calculatedColumnFormula>
    </tableColumn>
    <tableColumn id="5" xr3:uid="{B15E6451-1C46-4C17-8F54-3E64B122AE51}" name="(Hard)" dataDxfId="970">
      <calculatedColumnFormula>INDEX(Encounter_Diff[Hard], MATCH(PartyCompare_1[[#This Row],[Level]],Encounter_Diff[Player Level],0))</calculatedColumnFormula>
    </tableColumn>
    <tableColumn id="6" xr3:uid="{1DABC3DF-F47B-4A24-9592-7A7C84DBE638}" name="(Deadly)" dataDxfId="969">
      <calculatedColumnFormula>INDEX(Encounter_Diff[Deadly], MATCH(PartyCompare_1[[#This Row],[Level]],Encounter_Diff[Player Level],0))</calculatedColumnFormula>
    </tableColumn>
    <tableColumn id="74" xr3:uid="{C578D10A-727A-4579-A0E8-E4FED7C87313}" name="Party Name" dataDxfId="968"/>
    <tableColumn id="18" xr3:uid="{89F67493-1E53-4CE4-A67F-144F2CFA2ECC}" name="Party Size" dataDxfId="967">
      <calculatedColumnFormula>IF(COUNT(PartyCompare_1[Level])&lt;=2,"Small", IF(COUNT(PartyCompare_1[Level])&lt;=5,"Med", IF(COUNT(PartyCompare_1[Level])&lt;=8, "Large", "TOO BIG!")))</calculatedColumnFormula>
    </tableColumn>
    <tableColumn id="8" xr3:uid="{D7D6A371-9971-41CB-8F49-87DF93F73F82}" name="Mob Size" dataDxfId="966"/>
    <tableColumn id="75" xr3:uid="{63A32643-2157-482D-8734-E9698C92E0EC}" name="Mob Count" dataDxfId="965"/>
    <tableColumn id="9" xr3:uid="{816C9F8B-AE69-417B-B5DB-5B1678DD35A1}" name="Easy" dataDxfId="964"/>
    <tableColumn id="10" xr3:uid="{EFFC232B-2903-43FE-9949-6E64A9DB8BBD}" name="Medium" dataDxfId="963">
      <calculatedColumnFormula>SUM(PartyCompare_1[(Medium)])/INDEX(Encounter_Mod[[Small]:[Large]], MATCH(PartyCompare_1[[#This Row],[Mob Size]], Encounter_Mod[Type], 0), MATCH(PartyCompare_1[[#This Row],[Party Size]],Encounter_Mod[[#Headers],[Small]:[Large]],0))</calculatedColumnFormula>
    </tableColumn>
    <tableColumn id="11" xr3:uid="{0FFFE5C4-C2D4-4161-8618-8314357E9AEC}" name="Hard" dataDxfId="962">
      <calculatedColumnFormula>SUM(PartyCompare_1[(Hard)])/INDEX(Encounter_Mod[[Small]:[Large]], MATCH(PartyCompare_1[[#This Row],[Mob Size]], Encounter_Mod[Type], 0), MATCH(PartyCompare_1[[#This Row],[Party Size]],Encounter_Mod[[#Headers],[Small]:[Large]],0))</calculatedColumnFormula>
    </tableColumn>
    <tableColumn id="12" xr3:uid="{FC81D3B0-D724-4781-A239-767B3DC33DD5}" name="Deadly" dataDxfId="961">
      <calculatedColumnFormula>SUM(PartyCompare_1[(Deadly)])/INDEX(Encounter_Mod[[Small]:[Large]], MATCH(PartyCompare_1[[#This Row],[Mob Size]], Encounter_Mod[Type], 0), MATCH(PartyCompare_1[[#This Row],[Party Size]],Encounter_Mod[[#Headers],[Small]:[Large]],0))</calculatedColumnFormula>
    </tableColumn>
    <tableColumn id="13" xr3:uid="{DAF45054-7949-4788-983A-FABDDF0BA538}" name="Easy Deviation" dataDxfId="960">
      <calculatedColumnFormula>(PartyCompare_1[[#This Row],[Easy]]-INDEX(PartyCompare_0[Easy], MATCH(PartyCompare_1[[#This Row],[Mob Size]],PartyCompare_0[Mob Size],0)))/INDEX(PartyCompare_0[Easy], MATCH(PartyCompare_1[[#This Row],[Mob Size]],PartyCompare_0[Mob Size],0))</calculatedColumnFormula>
    </tableColumn>
    <tableColumn id="14" xr3:uid="{5D6B237B-63F6-461E-8EE3-B9083591CA69}" name="Medium Deviation" dataDxfId="959">
      <calculatedColumnFormula>(PartyCompare_1[[#This Row],[Medium]]-INDEX(PartyCompare_0[Medium], MATCH(PartyCompare_1[[#This Row],[Mob Size]],PartyCompare_0[Mob Size],0)))/INDEX(PartyCompare_0[Medium], MATCH(PartyCompare_1[[#This Row],[Mob Size]],PartyCompare_0[Mob Size],0))</calculatedColumnFormula>
    </tableColumn>
    <tableColumn id="15" xr3:uid="{62F608A6-9BA2-4E74-AEBD-2FC967524177}" name="Hard Deviation" dataDxfId="958">
      <calculatedColumnFormula>(PartyCompare_1[[#This Row],[Hard]]-INDEX(PartyCompare_0[Hard], MATCH(PartyCompare_1[[#This Row],[Mob Size]],PartyCompare_0[Mob Size],0)))/INDEX(PartyCompare_0[Hard], MATCH(PartyCompare_1[[#This Row],[Mob Size]],PartyCompare_0[Mob Size],0))</calculatedColumnFormula>
    </tableColumn>
    <tableColumn id="16" xr3:uid="{9D08508D-AC71-4A13-97B7-6457B09DCC55}" name="Deadly Deviation" dataDxfId="957">
      <calculatedColumnFormula>(PartyCompare_1[[#This Row],[Deadly]]-INDEX(PartyCompare_0[Deadly], MATCH(PartyCompare_1[[#This Row],[Mob Size]],PartyCompare_0[Mob Size],0)))/INDEX(PartyCompare_0[Deadly], MATCH(PartyCompare_1[[#This Row],[Mob Size]],PartyCompare_0[Mob Size],0))</calculatedColumnFormula>
    </tableColumn>
    <tableColumn id="17" xr3:uid="{70FCEFE7-59DA-4901-B741-DA2419229829}" name="Average Deviation" dataDxfId="956"/>
    <tableColumn id="7" xr3:uid="{A12195CD-85F9-4FB4-A859-EE4273280EBF}" name="+1 Level" dataDxfId="955">
      <calculatedColumnFormula>IF(ISNUMBER(PartyCompare_1[[#This Row],[Level]]), PartyCompare_1[[#This Row],[Level]]+1, PartyCompare_1[[#This Row],[Level]])</calculatedColumnFormula>
    </tableColumn>
    <tableColumn id="19" xr3:uid="{AED46271-AA00-4636-BA4E-04B613DE3025}" name="+1 (Easy)" dataDxfId="954">
      <calculatedColumnFormula>INDEX(Encounter_Diff[Easy], MATCH(PartyCompare_1[[#This Row],[+1 Level]],Encounter_Diff[Player Level],0))</calculatedColumnFormula>
    </tableColumn>
    <tableColumn id="20" xr3:uid="{E68C32D2-88A5-4020-9EB1-645A6D9FC672}" name="+1 (Medium)" dataDxfId="953">
      <calculatedColumnFormula>INDEX(Encounter_Diff[Medium], MATCH(PartyCompare_1[[#This Row],[+1 Level]],Encounter_Diff[Player Level],0))</calculatedColumnFormula>
    </tableColumn>
    <tableColumn id="21" xr3:uid="{ADCE76B0-9DED-4639-94CD-B4A49C2E27FC}" name="+1 (Hard)" dataDxfId="952">
      <calculatedColumnFormula>INDEX(Encounter_Diff[Hard], MATCH(PartyCompare_1[[#This Row],[+1 Level]],Encounter_Diff[Player Level],0))</calculatedColumnFormula>
    </tableColumn>
    <tableColumn id="22" xr3:uid="{80DC89DF-BDA7-44BF-ACCD-FDAC6B6BFB4C}" name="+1 (Deadly)" dataDxfId="951">
      <calculatedColumnFormula>INDEX(Encounter_Diff[Deadly], MATCH(PartyCompare_1[[#This Row],[+1 Level]],Encounter_Diff[Player Level],0))</calculatedColumnFormula>
    </tableColumn>
    <tableColumn id="23" xr3:uid="{53C1B7A5-4C96-4C6B-8575-F7AFED308A9A}" name="+1 Easy" dataDxfId="950"/>
    <tableColumn id="24" xr3:uid="{EC3DEE85-1CD2-4D45-A54D-BFA36536FF01}" name="+1 Medium" dataDxfId="949"/>
    <tableColumn id="25" xr3:uid="{9AA27B3F-3963-4706-9056-5014E7C6A8B8}" name="+1 Hard" dataDxfId="948"/>
    <tableColumn id="26" xr3:uid="{FBE7A627-9846-4C47-873C-4FF870853F62}" name="+1 Deadly" dataDxfId="947"/>
    <tableColumn id="27" xr3:uid="{CAF4DA35-398C-42B3-BCE3-9D9C909A87D6}" name="+1 Easy Deviation" dataDxfId="946"/>
    <tableColumn id="28" xr3:uid="{28E4901F-C1C2-4B33-96AD-1DB39DF5AE6E}" name="+1 Medium Deviation" dataDxfId="945"/>
    <tableColumn id="29" xr3:uid="{11648B64-6EFC-4BC0-9DF3-BF790FD7904A}" name="+1 Hard Deviation" dataDxfId="944"/>
    <tableColumn id="30" xr3:uid="{34DB64DD-4565-4857-B5AD-6506BAF02F2E}" name="+1 Deadly Deviation" dataDxfId="943"/>
    <tableColumn id="31" xr3:uid="{6E28B368-91B8-4C80-9EB8-D6EA0E78B4CC}" name="+1 Average Deviation" dataDxfId="942"/>
    <tableColumn id="32" xr3:uid="{86E5F9A4-E58F-41CA-B93E-363446486F5A}" name="+2 Level" dataDxfId="941"/>
    <tableColumn id="33" xr3:uid="{49DD51F7-CF64-4121-B518-89C993B1C182}" name="+2 (Easy)" dataDxfId="940"/>
    <tableColumn id="34" xr3:uid="{6814FE33-9A4C-47A0-87B3-7A04DBA26DB9}" name="+2 (Medium)" dataDxfId="939"/>
    <tableColumn id="35" xr3:uid="{ECECA0F2-BE68-49AA-903C-B439C06CEF4B}" name="+2 (Hard)" dataDxfId="938"/>
    <tableColumn id="36" xr3:uid="{CBC58315-206E-4EC6-969E-9569B625B06C}" name="+2 (Deadly)" dataDxfId="937"/>
    <tableColumn id="37" xr3:uid="{36CAF23C-C6A4-4143-8D8F-B66E2E309506}" name="+2 Easy" dataDxfId="936"/>
    <tableColumn id="38" xr3:uid="{0DAA923C-5FEA-4AE9-8CDD-5D044DCFA060}" name="+2 Medium" dataDxfId="935"/>
    <tableColumn id="39" xr3:uid="{579AF983-4024-421C-8434-06A08AF9B209}" name="+2 Hard" dataDxfId="934"/>
    <tableColumn id="40" xr3:uid="{D152DE07-314C-4BE9-A376-D36DBE122799}" name="+2 Deadly" dataDxfId="933"/>
    <tableColumn id="41" xr3:uid="{211F5761-88D1-4A35-AAB1-D3707721FC5A}" name="+2 Easy Deviation" dataDxfId="932"/>
    <tableColumn id="42" xr3:uid="{B86865D2-F729-467F-9660-6E2E93835635}" name="+2 Medium Deviation" dataDxfId="931"/>
    <tableColumn id="43" xr3:uid="{02878201-DBD1-4C8F-BF8C-59CBABAD0FD9}" name="+2 Hard Deviation" dataDxfId="930"/>
    <tableColumn id="44" xr3:uid="{65C24BA6-0780-45EE-BC45-FAAA3CE1BC67}" name="+2 Deadly Deviation" dataDxfId="929"/>
    <tableColumn id="45" xr3:uid="{75421642-4231-445E-B7B7-856DC6476486}" name="+2 Average Deviation" dataDxfId="928"/>
    <tableColumn id="46" xr3:uid="{0AA75763-81D3-4CE9-8A2F-C3FBFBAE1B0C}" name="+3 Level" dataDxfId="927"/>
    <tableColumn id="47" xr3:uid="{7E0409F1-4833-4ECB-98F7-C7D9504E3184}" name="+3 (Easy)" dataDxfId="926"/>
    <tableColumn id="48" xr3:uid="{AC46ACB1-10F7-4F5C-BCFF-CEF2F22C1B76}" name="+3 (Medium)" dataDxfId="925"/>
    <tableColumn id="49" xr3:uid="{845ED376-E4CB-40C2-9212-2F1E5695D351}" name="+3 (Hard)" dataDxfId="924"/>
    <tableColumn id="50" xr3:uid="{1FECADC4-C4BA-4D47-AD8B-3DECF9B21B02}" name="+3 (Deadly)" dataDxfId="923"/>
    <tableColumn id="51" xr3:uid="{7B8CCA2A-1414-4F9B-B717-E84781E53823}" name="+3 Easy" dataDxfId="922"/>
    <tableColumn id="52" xr3:uid="{13B82E7C-F01B-48B6-AD90-079AEBCE4AF8}" name="+3 Medium" dataDxfId="921"/>
    <tableColumn id="53" xr3:uid="{F7B91FE8-529F-4BA4-ADF7-9870E862062F}" name="+3 Hard" dataDxfId="920"/>
    <tableColumn id="54" xr3:uid="{3DE7C5B0-9E3F-4DBB-A9E2-AC089E8A8C0B}" name="+3 Deadly" dataDxfId="919"/>
    <tableColumn id="55" xr3:uid="{31FEE9CE-F57A-4873-AC28-E17890D85B12}" name="+3 Easy Deviation" dataDxfId="918"/>
    <tableColumn id="56" xr3:uid="{3A82B7BE-BB6F-4722-92CB-3FD89E7593FA}" name="+3 Medium Deviation" dataDxfId="917"/>
    <tableColumn id="57" xr3:uid="{63456D2C-8BFF-46F2-B7A1-FAA3B8AD2B3F}" name="+3 Hard Deviation" dataDxfId="916"/>
    <tableColumn id="58" xr3:uid="{E3C4173B-974F-4B8F-AA64-C0F90B7343CA}" name="+3 Deadly Deviation" dataDxfId="915"/>
    <tableColumn id="59" xr3:uid="{4448DB3F-E5F9-4207-AE50-2E65C67FB824}" name="+3 Average Deviation" dataDxfId="914"/>
    <tableColumn id="60" xr3:uid="{1FE9BB37-E526-431C-97D7-7B0ECB6CA7C3}" name="+4 Level" dataDxfId="913"/>
    <tableColumn id="61" xr3:uid="{F4F588B9-C3A3-46AF-9BDB-B859E0E14BB1}" name="+4 (Easy)" dataDxfId="912"/>
    <tableColumn id="62" xr3:uid="{94992FA7-1360-4999-A991-8088D09D5C5E}" name="+4 (Medium)" dataDxfId="911"/>
    <tableColumn id="63" xr3:uid="{15D54A82-DC45-4F31-9871-3C3180F23D7E}" name="+4 (Hard)" dataDxfId="910"/>
    <tableColumn id="64" xr3:uid="{BA1532A7-9BA7-48CB-8C81-F8F4D4932A69}" name="+4 (Deadly)" dataDxfId="909"/>
    <tableColumn id="65" xr3:uid="{760450DF-ECB4-4C2F-B572-8EAE1BE72297}" name="+4 Easy" dataDxfId="908"/>
    <tableColumn id="66" xr3:uid="{6ED2178C-6694-47D2-8D9D-67883A581DAE}" name="+4 Medium" dataDxfId="907"/>
    <tableColumn id="67" xr3:uid="{6AAE681B-B17B-4BBC-91F0-0A075CDF9CC2}" name="+4 Hard" dataDxfId="906"/>
    <tableColumn id="68" xr3:uid="{BF884799-D428-4A3B-9A12-40FC70602115}" name="+4 Deadly" dataDxfId="905"/>
    <tableColumn id="69" xr3:uid="{69A2B994-F745-4670-9CC3-F72D6B20E013}" name="+4 Easy Deviation" dataDxfId="904"/>
    <tableColumn id="70" xr3:uid="{6174E575-C44B-4482-8076-03DB21F1246E}" name="+4 Medium Deviation" dataDxfId="903"/>
    <tableColumn id="71" xr3:uid="{2FAD9474-03F9-44CB-83CC-548A6AFF7466}" name="+4 Hard Deviation" dataDxfId="902"/>
    <tableColumn id="72" xr3:uid="{68FA46BB-ED3A-416D-A003-DBE0F66531DF}" name="+4 Deadly Deviation" dataDxfId="901"/>
    <tableColumn id="73" xr3:uid="{E17BE894-30D8-4CE1-863E-91E2C476CAEC}" name="+4 Average Deviation" dataDxfId="900"/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3495955-6D23-45F3-8E52-8E12E13AE1FF}" name="PartyCompare_2" displayName="PartyCompare_2" ref="M21:CI29" totalsRowShown="0" headerRowDxfId="899" dataDxfId="898">
  <tableColumns count="75">
    <tableColumn id="1" xr3:uid="{71E183D1-B060-457E-BD00-1C9155024D0C}" name="Party Member" dataDxfId="897"/>
    <tableColumn id="2" xr3:uid="{BF054F89-6450-4A63-9D7E-D5A0FE59BCB4}" name="Level" dataDxfId="896"/>
    <tableColumn id="3" xr3:uid="{E18D6C5B-4C8A-4F97-874B-0504626784AB}" name="(Easy)" dataDxfId="895">
      <calculatedColumnFormula>INDEX(Encounter_Diff[Easy], MATCH(PartyCompare_2[[#This Row],[Level]],Encounter_Diff[Player Level],0))</calculatedColumnFormula>
    </tableColumn>
    <tableColumn id="4" xr3:uid="{209FC188-3B1C-491E-A123-8179BD40BB03}" name="(Medium)" dataDxfId="894">
      <calculatedColumnFormula>INDEX(Encounter_Diff[Medium], MATCH(PartyCompare_2[[#This Row],[Level]],Encounter_Diff[Player Level],0))</calculatedColumnFormula>
    </tableColumn>
    <tableColumn id="5" xr3:uid="{A1EF8385-82B0-4110-AE76-38F758EFF8AF}" name="(Hard)" dataDxfId="893">
      <calculatedColumnFormula>INDEX(Encounter_Diff[Hard], MATCH(PartyCompare_2[[#This Row],[Level]],Encounter_Diff[Player Level],0))</calculatedColumnFormula>
    </tableColumn>
    <tableColumn id="6" xr3:uid="{EC9B6E38-9215-4539-A510-494F9996888D}" name="(Deadly)" dataDxfId="892">
      <calculatedColumnFormula>INDEX(Encounter_Diff[Deadly], MATCH(PartyCompare_2[[#This Row],[Level]],Encounter_Diff[Player Level],0))</calculatedColumnFormula>
    </tableColumn>
    <tableColumn id="75" xr3:uid="{42FE7316-97ED-467E-B692-AE681BF1C5D7}" name="Party Name" dataDxfId="891"/>
    <tableColumn id="18" xr3:uid="{493BF949-925D-4B40-8C9E-9DD4DC58BB5F}" name="Party Size" dataDxfId="890">
      <calculatedColumnFormula>IF(COUNT(PartyCompare_2[Level])&lt;=2,"Small", IF(COUNT(PartyCompare_2[Level])&lt;=5,"Med", IF(COUNT(PartyCompare_2[Level])&lt;=8, "Large", "TOO BIG!")))</calculatedColumnFormula>
    </tableColumn>
    <tableColumn id="8" xr3:uid="{28211EC3-C397-4F0B-993F-A13CC2DC9086}" name="Mob Size" dataDxfId="889"/>
    <tableColumn id="74" xr3:uid="{03A0E19C-FFFB-48A8-92BC-291F7EB25707}" name="Mob Count" dataDxfId="888"/>
    <tableColumn id="9" xr3:uid="{7A7443AB-ADCA-463A-9AB9-F6DA31013FE6}" name="Easy" dataDxfId="887"/>
    <tableColumn id="10" xr3:uid="{B7C81445-09C7-4395-AE70-8949076AF898}" name="Medium" dataDxfId="886">
      <calculatedColumnFormula>SUM(PartyCompare_2[(Medium)])/INDEX(Encounter_Mod[[Small]:[Large]], MATCH(PartyCompare_2[[#This Row],[Mob Size]], Encounter_Mod[Type], 0), MATCH(PartyCompare_2[[#This Row],[Party Size]],Encounter_Mod[[#Headers],[Small]:[Large]],0))</calculatedColumnFormula>
    </tableColumn>
    <tableColumn id="11" xr3:uid="{F713A4BB-6B2B-4316-94EB-4D99FE0279C4}" name="Hard" dataDxfId="885">
      <calculatedColumnFormula>SUM(PartyCompare_2[(Hard)])/INDEX(Encounter_Mod[[Small]:[Large]], MATCH(PartyCompare_2[[#This Row],[Mob Size]], Encounter_Mod[Type], 0), MATCH(PartyCompare_2[[#This Row],[Party Size]],Encounter_Mod[[#Headers],[Small]:[Large]],0))</calculatedColumnFormula>
    </tableColumn>
    <tableColumn id="12" xr3:uid="{811F41A8-4053-42BE-8E65-62DD471C99EF}" name="Deadly" dataDxfId="884">
      <calculatedColumnFormula>SUM(PartyCompare_2[(Deadly)])/INDEX(Encounter_Mod[[Small]:[Large]], MATCH(PartyCompare_2[[#This Row],[Mob Size]], Encounter_Mod[Type], 0), MATCH(PartyCompare_2[[#This Row],[Party Size]],Encounter_Mod[[#Headers],[Small]:[Large]],0))</calculatedColumnFormula>
    </tableColumn>
    <tableColumn id="13" xr3:uid="{7A20C9DB-D870-4836-81F0-A268836A4F3B}" name="Easy Deviation" dataDxfId="883">
      <calculatedColumnFormula>(PartyCompare_2[[#This Row],[Easy]]-INDEX(PartyCompare_0[Easy], MATCH(PartyCompare_2[[#This Row],[Mob Size]],PartyCompare_0[Mob Size],0)))/INDEX(PartyCompare_0[Easy], MATCH(PartyCompare_2[[#This Row],[Mob Size]],PartyCompare_0[Mob Size],0))</calculatedColumnFormula>
    </tableColumn>
    <tableColumn id="14" xr3:uid="{C6D8DB87-ED26-47F9-8F06-0B94A097D16A}" name="Medium Deviation" dataDxfId="882">
      <calculatedColumnFormula>(PartyCompare_2[[#This Row],[Medium]]-INDEX(PartyCompare_0[Medium], MATCH(PartyCompare_2[[#This Row],[Mob Size]],PartyCompare_0[Mob Size],0)))/INDEX(PartyCompare_0[Medium], MATCH(PartyCompare_2[[#This Row],[Mob Size]],PartyCompare_0[Mob Size],0))</calculatedColumnFormula>
    </tableColumn>
    <tableColumn id="15" xr3:uid="{865499AB-2CB8-4C76-B994-5491883CD2F4}" name="Hard Deviation" dataDxfId="881">
      <calculatedColumnFormula>(PartyCompare_2[[#This Row],[Hard]]-INDEX(PartyCompare_0[Hard], MATCH(PartyCompare_2[[#This Row],[Mob Size]],PartyCompare_0[Mob Size],0)))/INDEX(PartyCompare_0[Hard], MATCH(PartyCompare_2[[#This Row],[Mob Size]],PartyCompare_0[Mob Size],0))</calculatedColumnFormula>
    </tableColumn>
    <tableColumn id="16" xr3:uid="{7F77AC62-91F0-4A9A-84CF-8B5CB5DC5D6E}" name="Deadly Deviation" dataDxfId="880">
      <calculatedColumnFormula>(PartyCompare_2[[#This Row],[Deadly]]-INDEX(PartyCompare_0[Deadly], MATCH(PartyCompare_2[[#This Row],[Mob Size]],PartyCompare_0[Mob Size],0)))/INDEX(PartyCompare_0[Deadly], MATCH(PartyCompare_2[[#This Row],[Mob Size]],PartyCompare_0[Mob Size],0))</calculatedColumnFormula>
    </tableColumn>
    <tableColumn id="17" xr3:uid="{2276CF7B-392C-4441-8732-9EEC234C390A}" name="Average Deviation" dataDxfId="879"/>
    <tableColumn id="7" xr3:uid="{41A8114F-2FB8-4B14-81E2-1AABDDA22742}" name="+1 Level" dataDxfId="878">
      <calculatedColumnFormula>IF(ISNUMBER(PartyCompare_1[[#This Row],[Level]]), PartyCompare_1[[#This Row],[Level]]+1, PartyCompare_1[[#This Row],[Level]])</calculatedColumnFormula>
    </tableColumn>
    <tableColumn id="19" xr3:uid="{768DF5B1-03FD-47AF-A36A-0D22D4E19647}" name="+1 (Easy)" dataDxfId="877">
      <calculatedColumnFormula>INDEX(Encounter_Diff[Easy], MATCH(PartyCompare_1[[#This Row],[+1 Level]],Encounter_Diff[Player Level],0))</calculatedColumnFormula>
    </tableColumn>
    <tableColumn id="20" xr3:uid="{97B70EB5-B8F9-4F3F-B5DF-2077B96EFBE3}" name="+1 (Medium)" dataDxfId="876">
      <calculatedColumnFormula>INDEX(Encounter_Diff[Medium], MATCH(PartyCompare_1[[#This Row],[+1 Level]],Encounter_Diff[Player Level],0))</calculatedColumnFormula>
    </tableColumn>
    <tableColumn id="21" xr3:uid="{A33625D1-DDB0-4B28-908E-1FFC0E583AFB}" name="+1 (Hard)" dataDxfId="875">
      <calculatedColumnFormula>INDEX(Encounter_Diff[Hard], MATCH(PartyCompare_1[[#This Row],[+1 Level]],Encounter_Diff[Player Level],0))</calculatedColumnFormula>
    </tableColumn>
    <tableColumn id="22" xr3:uid="{4D90239D-FE9D-4C82-A50E-6F5835C89E14}" name="+1 (Deadly)" dataDxfId="874">
      <calculatedColumnFormula>INDEX(Encounter_Diff[Deadly], MATCH(PartyCompare_1[[#This Row],[+1 Level]],Encounter_Diff[Player Level],0))</calculatedColumnFormula>
    </tableColumn>
    <tableColumn id="23" xr3:uid="{72FD2CA6-75AF-4D91-8B18-DE76859E5F50}" name="+1 Easy" dataDxfId="873"/>
    <tableColumn id="24" xr3:uid="{3CCFFAF6-1262-45CB-99A8-503FF07B6AD1}" name="+1 Medium" dataDxfId="872"/>
    <tableColumn id="25" xr3:uid="{514418FF-6828-4B33-9816-349B82C39882}" name="+1 Hard" dataDxfId="871"/>
    <tableColumn id="26" xr3:uid="{88746ABE-C703-4DA9-9196-D98F25EE9F74}" name="+1 Deadly" dataDxfId="870"/>
    <tableColumn id="27" xr3:uid="{6CD477EF-5596-43B8-AA07-6626C6A53137}" name="+1 Easy Deviation" dataDxfId="869"/>
    <tableColumn id="28" xr3:uid="{358EEB7A-C773-460E-A731-F2548D7752B2}" name="+1 Medium Deviation" dataDxfId="868"/>
    <tableColumn id="29" xr3:uid="{3CA73220-CB8F-4DEB-A446-66C397CFEA9C}" name="+1 Hard Deviation" dataDxfId="867"/>
    <tableColumn id="30" xr3:uid="{B280D194-0AEB-4FD1-9610-E0642AE04CB3}" name="+1 Deadly Deviation" dataDxfId="866"/>
    <tableColumn id="31" xr3:uid="{FF9029A9-349E-4E2E-B6E6-C2161B02D92A}" name="+1 Average Deviation" dataDxfId="865"/>
    <tableColumn id="32" xr3:uid="{048E0964-5793-43E7-B59E-25A5393AD0AE}" name="+2 Level" dataDxfId="864">
      <calculatedColumnFormula>IF(ISNUMBER(PartyCompare_1[[#This Row],[Level]]), PartyCompare_1[[#This Row],[Level]]+2, PartyCompare_1[[#This Row],[Level]])</calculatedColumnFormula>
    </tableColumn>
    <tableColumn id="33" xr3:uid="{31503A94-3E24-46B6-88AD-B4E15CFF1A49}" name="+2 (Easy)" dataDxfId="863">
      <calculatedColumnFormula>INDEX(Encounter_Diff[Easy], MATCH(PartyCompare_1[[#This Row],[+2 Level]],Encounter_Diff[Player Level],0))</calculatedColumnFormula>
    </tableColumn>
    <tableColumn id="34" xr3:uid="{AF55B033-A945-476A-8ADB-8B28466DEA73}" name="+2 (Medium)" dataDxfId="862">
      <calculatedColumnFormula>INDEX(Encounter_Diff[Medium], MATCH(PartyCompare_1[[#This Row],[+2 Level]],Encounter_Diff[Player Level],0))</calculatedColumnFormula>
    </tableColumn>
    <tableColumn id="35" xr3:uid="{4ABDD380-6D69-488B-A955-4C062E4DBABA}" name="+2 (Hard)" dataDxfId="861">
      <calculatedColumnFormula>INDEX(Encounter_Diff[Hard], MATCH(PartyCompare_1[[#This Row],[+2 Level]],Encounter_Diff[Player Level],0))</calculatedColumnFormula>
    </tableColumn>
    <tableColumn id="36" xr3:uid="{76A36D0E-98FD-48BE-BC5A-9C790929A82D}" name="+2 (Deadly)" dataDxfId="860">
      <calculatedColumnFormula>INDEX(Encounter_Diff[Deadly], MATCH(PartyCompare_1[[#This Row],[+2 Level]],Encounter_Diff[Player Level],0))</calculatedColumnFormula>
    </tableColumn>
    <tableColumn id="37" xr3:uid="{11BE63E1-1AAE-4B56-953E-4B970936185A}" name="+2 Easy" dataDxfId="859"/>
    <tableColumn id="38" xr3:uid="{852E6DCD-3D6D-4718-8C94-A16B80474A88}" name="+2 Medium" dataDxfId="858"/>
    <tableColumn id="39" xr3:uid="{99497DD0-BA0C-4818-9363-A3E263967343}" name="+2 Hard" dataDxfId="857"/>
    <tableColumn id="40" xr3:uid="{29B14CEA-552E-4D85-B4D8-D861CBFA5DDD}" name="+2 Deadly" dataDxfId="856"/>
    <tableColumn id="41" xr3:uid="{10C967DE-FE17-4CB1-914C-8FA4E4BD57B9}" name="+2 Easy Deviation" dataDxfId="855"/>
    <tableColumn id="42" xr3:uid="{244B3DCB-9CC1-415A-9765-64C5A12B0192}" name="+2 Medium Deviation" dataDxfId="854"/>
    <tableColumn id="43" xr3:uid="{4B520008-2CF9-414D-8B80-5047BDEBC870}" name="+2 Hard Deviation" dataDxfId="853"/>
    <tableColumn id="44" xr3:uid="{981D0E5A-8F1E-4A3D-A4BB-F24BFC1DFBE0}" name="+2 Deadly Deviation" dataDxfId="852"/>
    <tableColumn id="45" xr3:uid="{FC2586F4-D34E-4C3E-8FDB-C7BEFD8F9A74}" name="+2 Average Deviation" dataDxfId="851"/>
    <tableColumn id="46" xr3:uid="{C60ECA10-9F06-4BFC-AF4A-85C7625A4CCB}" name="+3 Level" dataDxfId="850">
      <calculatedColumnFormula>IF(ISNUMBER(PartyCompare_1[[#This Row],[Level]]), PartyCompare_1[[#This Row],[Level]]+3, PartyCompare_1[[#This Row],[Level]])</calculatedColumnFormula>
    </tableColumn>
    <tableColumn id="47" xr3:uid="{A6D93B20-CA01-485F-9E91-7A0960596E61}" name="+3 (Easy)" dataDxfId="849">
      <calculatedColumnFormula>INDEX(Encounter_Diff[Easy], MATCH(PartyCompare_1[[#This Row],[+3 Level]],Encounter_Diff[Player Level],0))</calculatedColumnFormula>
    </tableColumn>
    <tableColumn id="48" xr3:uid="{7645134B-F37A-4C85-BAA2-62A162720FB2}" name="+3 (Medium)" dataDxfId="848">
      <calculatedColumnFormula>INDEX(Encounter_Diff[Medium], MATCH(PartyCompare_1[[#This Row],[+3 Level]],Encounter_Diff[Player Level],0))</calculatedColumnFormula>
    </tableColumn>
    <tableColumn id="49" xr3:uid="{65B201F7-C90C-47AC-B6C1-596CAAC8565A}" name="+3 (Hard)" dataDxfId="847">
      <calculatedColumnFormula>INDEX(Encounter_Diff[Hard], MATCH(PartyCompare_1[[#This Row],[+3 Level]],Encounter_Diff[Player Level],0))</calculatedColumnFormula>
    </tableColumn>
    <tableColumn id="50" xr3:uid="{1003B0DF-F0E3-4468-AADA-A3C1F85F7323}" name="+3 (Deadly)" dataDxfId="846">
      <calculatedColumnFormula>INDEX(Encounter_Diff[Deadly], MATCH(PartyCompare_1[[#This Row],[+3 Level]],Encounter_Diff[Player Level],0))</calculatedColumnFormula>
    </tableColumn>
    <tableColumn id="51" xr3:uid="{17F324C5-04F8-455C-8BE4-DEEDD29302D1}" name="+3 Easy" dataDxfId="845"/>
    <tableColumn id="52" xr3:uid="{4D587CF5-50B8-4F39-B65B-6BCC5AB71137}" name="+3 Medium" dataDxfId="844"/>
    <tableColumn id="53" xr3:uid="{C4834F08-91C4-405D-B39B-C5794822D6A1}" name="+3 Hard" dataDxfId="843"/>
    <tableColumn id="54" xr3:uid="{34506F39-4322-41DA-B815-4BD93CEE13B9}" name="+3 Deadly" dataDxfId="842"/>
    <tableColumn id="55" xr3:uid="{A88A803C-0A90-4257-9C34-B79922EA5BE3}" name="+3 Easy Deviation" dataDxfId="841"/>
    <tableColumn id="56" xr3:uid="{28A88D49-1D91-44AE-85F0-2C091BD46795}" name="+3 Medium Deviation" dataDxfId="840"/>
    <tableColumn id="57" xr3:uid="{9B4E12E4-4955-4636-B3F3-3D88FB096802}" name="+3 Hard Deviation" dataDxfId="839"/>
    <tableColumn id="58" xr3:uid="{9A8C5560-0062-4FE8-982B-0E85D98A1AEC}" name="+3 Deadly Deviation" dataDxfId="838"/>
    <tableColumn id="59" xr3:uid="{2A7DDF6A-9459-478F-B9C6-F6D33D542AE8}" name="+3 Average Deviation" dataDxfId="837"/>
    <tableColumn id="60" xr3:uid="{5CEC3903-9343-4184-86A4-CDAFBE2F08F9}" name="+4 Level" dataDxfId="836">
      <calculatedColumnFormula>IF(ISNUMBER(PartyCompare_1[[#This Row],[Level]]), PartyCompare_1[[#This Row],[Level]]+4, PartyCompare_1[[#This Row],[Level]])</calculatedColumnFormula>
    </tableColumn>
    <tableColumn id="61" xr3:uid="{30DC1F7C-B84E-4BC7-8C77-E2DEEA75F108}" name="+4 (Easy)" dataDxfId="835">
      <calculatedColumnFormula>INDEX(Encounter_Diff[Easy], MATCH(PartyCompare_1[[#This Row],[+4 Level]],Encounter_Diff[Player Level],0))</calculatedColumnFormula>
    </tableColumn>
    <tableColumn id="62" xr3:uid="{B2A2AB57-9F32-48D0-A0BE-C94CADC8EC5B}" name="+4 (Medium)" dataDxfId="834">
      <calculatedColumnFormula>INDEX(Encounter_Diff[Medium], MATCH(PartyCompare_1[[#This Row],[+4 Level]],Encounter_Diff[Player Level],0))</calculatedColumnFormula>
    </tableColumn>
    <tableColumn id="63" xr3:uid="{E8DD7C40-A968-4F30-B5C6-51C91E414CC2}" name="+4 (Hard)" dataDxfId="833">
      <calculatedColumnFormula>INDEX(Encounter_Diff[Hard], MATCH(PartyCompare_1[[#This Row],[+4 Level]],Encounter_Diff[Player Level],0))</calculatedColumnFormula>
    </tableColumn>
    <tableColumn id="64" xr3:uid="{6973BF24-2C8F-42AC-A213-9EDD0DA912E3}" name="+4 (Deadly)" dataDxfId="832">
      <calculatedColumnFormula>INDEX(Encounter_Diff[Deadly], MATCH(PartyCompare_1[[#This Row],[+4 Level]],Encounter_Diff[Player Level],0))</calculatedColumnFormula>
    </tableColumn>
    <tableColumn id="65" xr3:uid="{43C55C2C-39FE-47D1-88DE-2C7546B2EB53}" name="+4 Easy" dataDxfId="831"/>
    <tableColumn id="66" xr3:uid="{1D381A14-01C5-439E-BDF4-48BC081321FC}" name="+4 Medium" dataDxfId="830"/>
    <tableColumn id="67" xr3:uid="{4BD7B883-E80D-4E6F-9CF4-CAA2646426A8}" name="+4 Hard" dataDxfId="829"/>
    <tableColumn id="68" xr3:uid="{C5381F9F-23D6-41C5-A282-6377E3CE26B1}" name="+4 Deadly" dataDxfId="828"/>
    <tableColumn id="69" xr3:uid="{B225B9C0-0DFE-4D17-845A-D91C8DF936A4}" name="+4 Easy Deviation" dataDxfId="827"/>
    <tableColumn id="70" xr3:uid="{77FF8439-044A-4D03-8497-8D8F5141820E}" name="+4 Medium Deviation" dataDxfId="826"/>
    <tableColumn id="71" xr3:uid="{64EA3751-3E18-4A83-957B-3B9D06EB200A}" name="+4 Hard Deviation" dataDxfId="825"/>
    <tableColumn id="72" xr3:uid="{923109D3-CC4B-4862-A43C-BDB1055C2C8F}" name="+4 Deadly Deviation" dataDxfId="824"/>
    <tableColumn id="73" xr3:uid="{61FC7C21-2500-4DAF-AD39-1E9675407AD7}" name="+4 Average Deviation" dataDxfId="823"/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63AF1DC-2109-4EB3-B2D1-FDFE8E77FE73}" name="PartyCompare_3" displayName="PartyCompare_3" ref="M30:CI38" totalsRowShown="0" headerRowDxfId="822" dataDxfId="821">
  <tableColumns count="75">
    <tableColumn id="1" xr3:uid="{30D32095-7C3F-4623-B3EC-1EE41E35606D}" name="Party Member" dataDxfId="820"/>
    <tableColumn id="2" xr3:uid="{C4B49E9C-46C2-4AF2-83BD-1A7284FCED07}" name="Level" dataDxfId="819"/>
    <tableColumn id="3" xr3:uid="{EF1C8B93-C477-4A55-A77D-6D15A706E75C}" name="(Easy)" dataDxfId="818">
      <calculatedColumnFormula>INDEX(Encounter_Diff[Easy], MATCH(PartyCompare_3[[#This Row],[Level]],Encounter_Diff[Player Level],0))</calculatedColumnFormula>
    </tableColumn>
    <tableColumn id="4" xr3:uid="{DF9BE9C0-3B02-4EEA-89B0-380664B6E500}" name="(Medium)" dataDxfId="817">
      <calculatedColumnFormula>INDEX(Encounter_Diff[Medium], MATCH(PartyCompare_3[[#This Row],[Level]],Encounter_Diff[Player Level],0))</calculatedColumnFormula>
    </tableColumn>
    <tableColumn id="5" xr3:uid="{BE709759-65C0-441D-989B-A0957E63F6C5}" name="(Hard)" dataDxfId="816">
      <calculatedColumnFormula>INDEX(Encounter_Diff[Hard], MATCH(PartyCompare_3[[#This Row],[Level]],Encounter_Diff[Player Level],0))</calculatedColumnFormula>
    </tableColumn>
    <tableColumn id="6" xr3:uid="{0A57E3DA-8599-4766-BAD6-A0F84882C1DC}" name="(Deadly)" dataDxfId="815">
      <calculatedColumnFormula>INDEX(Encounter_Diff[Deadly], MATCH(PartyCompare_3[[#This Row],[Level]],Encounter_Diff[Player Level],0))</calculatedColumnFormula>
    </tableColumn>
    <tableColumn id="75" xr3:uid="{61393950-8AED-45B2-89CC-A1E9DAB2A1D4}" name="Party Name" dataDxfId="814"/>
    <tableColumn id="18" xr3:uid="{E701A87D-1126-45AA-B3BF-01A690B8EC82}" name="Party Size" dataDxfId="813">
      <calculatedColumnFormula>IF(COUNT(PartyCompare_3[Level])&lt;=2,"Small", IF(COUNT(PartyCompare_3[Level])&lt;=5,"Med", IF(COUNT(PartyCompare_3[Level])&lt;=8, "Large", "TOO BIG!")))</calculatedColumnFormula>
    </tableColumn>
    <tableColumn id="8" xr3:uid="{4CA944DD-4B46-48AC-9876-8BDB46F19CD7}" name="Mob Size" dataDxfId="812"/>
    <tableColumn id="74" xr3:uid="{FA13ADA1-8AC0-4940-99AA-632C4A02F379}" name="Mob Count" dataDxfId="811"/>
    <tableColumn id="9" xr3:uid="{A954C198-94D7-4838-B5BC-EA875D00D892}" name="Easy" dataDxfId="810"/>
    <tableColumn id="10" xr3:uid="{366B5A72-15BC-48A9-B343-8F62BB7B5DB1}" name="Medium" dataDxfId="809">
      <calculatedColumnFormula>SUM(PartyCompare_3[(Medium)])/INDEX(Encounter_Mod[[Small]:[Large]], MATCH(PartyCompare_3[[#This Row],[Mob Size]], Encounter_Mod[Type], 0), MATCH(PartyCompare_3[[#This Row],[Party Size]],Encounter_Mod[[#Headers],[Small]:[Large]],0))</calculatedColumnFormula>
    </tableColumn>
    <tableColumn id="11" xr3:uid="{4F087957-4136-4161-9B56-EEE5FA3D6C3E}" name="Hard" dataDxfId="808">
      <calculatedColumnFormula>SUM(PartyCompare_3[(Hard)])/INDEX(Encounter_Mod[[Small]:[Large]], MATCH(PartyCompare_3[[#This Row],[Mob Size]], Encounter_Mod[Type], 0), MATCH(PartyCompare_3[[#This Row],[Party Size]],Encounter_Mod[[#Headers],[Small]:[Large]],0))</calculatedColumnFormula>
    </tableColumn>
    <tableColumn id="12" xr3:uid="{B8EEC853-BC67-458D-BD86-323C34EC684C}" name="Deadly" dataDxfId="807">
      <calculatedColumnFormula>SUM(PartyCompare_3[(Deadly)])/INDEX(Encounter_Mod[[Small]:[Large]], MATCH(PartyCompare_3[[#This Row],[Mob Size]], Encounter_Mod[Type], 0), MATCH(PartyCompare_3[[#This Row],[Party Size]],Encounter_Mod[[#Headers],[Small]:[Large]],0))</calculatedColumnFormula>
    </tableColumn>
    <tableColumn id="13" xr3:uid="{1B937B07-EB93-4B8A-908A-152143B2C753}" name="Easy Deviation" dataDxfId="806">
      <calculatedColumnFormula>(PartyCompare_3[[#This Row],[Easy]]-INDEX(PartyCompare_0[Easy], MATCH(PartyCompare_3[[#This Row],[Mob Size]],PartyCompare_0[Mob Size],0)))/INDEX(PartyCompare_0[Easy], MATCH(PartyCompare_3[[#This Row],[Mob Size]],PartyCompare_0[Mob Size],0))</calculatedColumnFormula>
    </tableColumn>
    <tableColumn id="14" xr3:uid="{F0FC1492-D81D-4AAD-96A6-82B0F73878ED}" name="Medium Deviation" dataDxfId="805">
      <calculatedColumnFormula>(PartyCompare_3[[#This Row],[Medium]]-INDEX(PartyCompare_0[Medium], MATCH(PartyCompare_3[[#This Row],[Mob Size]],PartyCompare_0[Mob Size],0)))/INDEX(PartyCompare_0[Medium], MATCH(PartyCompare_3[[#This Row],[Mob Size]],PartyCompare_0[Mob Size],0))</calculatedColumnFormula>
    </tableColumn>
    <tableColumn id="15" xr3:uid="{7B983681-FFAB-48AB-91D3-E962F0994633}" name="Hard Deviation" dataDxfId="804">
      <calculatedColumnFormula>(PartyCompare_3[[#This Row],[Hard]]-INDEX(PartyCompare_0[Hard], MATCH(PartyCompare_3[[#This Row],[Mob Size]],PartyCompare_0[Mob Size],0)))/INDEX(PartyCompare_0[Hard], MATCH(PartyCompare_3[[#This Row],[Mob Size]],PartyCompare_0[Mob Size],0))</calculatedColumnFormula>
    </tableColumn>
    <tableColumn id="16" xr3:uid="{571EDAEF-66C8-4181-B48A-07C1D4F14352}" name="Deadly Deviation" dataDxfId="803">
      <calculatedColumnFormula>(PartyCompare_3[[#This Row],[Deadly]]-INDEX(PartyCompare_0[Deadly], MATCH(PartyCompare_3[[#This Row],[Mob Size]],PartyCompare_0[Mob Size],0)))/INDEX(PartyCompare_0[Deadly], MATCH(PartyCompare_3[[#This Row],[Mob Size]],PartyCompare_0[Mob Size],0))</calculatedColumnFormula>
    </tableColumn>
    <tableColumn id="17" xr3:uid="{5D05C2FD-929F-49F5-913C-464DCE031F4C}" name="Average Deviation" dataDxfId="802"/>
    <tableColumn id="7" xr3:uid="{A43E1538-FBC3-451B-B004-72969E75843D}" name="+1 Level" dataDxfId="801">
      <calculatedColumnFormula>IF(ISNUMBER(PartyCompare_1[[#This Row],[Level]]), PartyCompare_1[[#This Row],[Level]]+1, PartyCompare_1[[#This Row],[Level]])</calculatedColumnFormula>
    </tableColumn>
    <tableColumn id="19" xr3:uid="{7D524DBD-2F30-4A80-A84F-03EC9163FE47}" name="+1 (Easy)" dataDxfId="800">
      <calculatedColumnFormula>INDEX(Encounter_Diff[Easy], MATCH(PartyCompare_1[[#This Row],[+1 Level]],Encounter_Diff[Player Level],0))</calculatedColumnFormula>
    </tableColumn>
    <tableColumn id="20" xr3:uid="{69DDE2C2-D95F-4EBC-A9AB-903ABBD14860}" name="+1 (Medium)" dataDxfId="799">
      <calculatedColumnFormula>INDEX(Encounter_Diff[Medium], MATCH(PartyCompare_1[[#This Row],[+1 Level]],Encounter_Diff[Player Level],0))</calculatedColumnFormula>
    </tableColumn>
    <tableColumn id="21" xr3:uid="{FE19E83B-634C-4647-B66A-ED269B35956C}" name="+1 (Hard)" dataDxfId="798">
      <calculatedColumnFormula>INDEX(Encounter_Diff[Hard], MATCH(PartyCompare_1[[#This Row],[+1 Level]],Encounter_Diff[Player Level],0))</calculatedColumnFormula>
    </tableColumn>
    <tableColumn id="22" xr3:uid="{635735D8-9372-4BEC-BE3E-AB4D7F183317}" name="+1 (Deadly)" dataDxfId="797">
      <calculatedColumnFormula>INDEX(Encounter_Diff[Deadly], MATCH(PartyCompare_1[[#This Row],[+1 Level]],Encounter_Diff[Player Level],0))</calculatedColumnFormula>
    </tableColumn>
    <tableColumn id="23" xr3:uid="{DF1CA37B-315F-4131-A232-BF76FFDAF7CE}" name="+1 Easy" dataDxfId="796"/>
    <tableColumn id="24" xr3:uid="{16082D5A-085C-446F-B360-E3D474D50B82}" name="+1 Medium" dataDxfId="795"/>
    <tableColumn id="25" xr3:uid="{3F8D68BE-E4BB-4969-8985-1B001821F365}" name="+1 Hard" dataDxfId="794"/>
    <tableColumn id="26" xr3:uid="{CB460078-B9E3-4B5B-9266-CB80DE0E55A8}" name="+1 Deadly" dataDxfId="793"/>
    <tableColumn id="27" xr3:uid="{8466857B-20FD-481E-A47F-D8D9DCE954F2}" name="+1 Easy Deviation" dataDxfId="792"/>
    <tableColumn id="28" xr3:uid="{C96CC70C-AD38-44D2-B291-86A55BA719BE}" name="+1 Medium Deviation" dataDxfId="791"/>
    <tableColumn id="29" xr3:uid="{D237E8FA-808A-4E74-8458-40FCDCC84C0F}" name="+1 Hard Deviation" dataDxfId="790"/>
    <tableColumn id="30" xr3:uid="{1ADE8A4D-0CFC-404B-A295-0540AFCE9BA3}" name="+1 Deadly Deviation" dataDxfId="789"/>
    <tableColumn id="31" xr3:uid="{E259D151-F247-4BCD-9784-C2593882606E}" name="+1 Average Deviation" dataDxfId="788"/>
    <tableColumn id="32" xr3:uid="{A623420D-3F6E-4895-BABB-D2ABA0583A51}" name="+2 Level" dataDxfId="787">
      <calculatedColumnFormula>IF(ISNUMBER(PartyCompare_1[[#This Row],[Level]]), PartyCompare_1[[#This Row],[Level]]+2, PartyCompare_1[[#This Row],[Level]])</calculatedColumnFormula>
    </tableColumn>
    <tableColumn id="33" xr3:uid="{103832F4-17BC-4F3E-ACE7-6ADA24292AFF}" name="+2 (Easy)" dataDxfId="786">
      <calculatedColumnFormula>INDEX(Encounter_Diff[Easy], MATCH(PartyCompare_1[[#This Row],[+2 Level]],Encounter_Diff[Player Level],0))</calculatedColumnFormula>
    </tableColumn>
    <tableColumn id="34" xr3:uid="{F8D00D6E-1713-4C6F-A016-06CB400D3B66}" name="+2 (Medium)" dataDxfId="785">
      <calculatedColumnFormula>INDEX(Encounter_Diff[Medium], MATCH(PartyCompare_1[[#This Row],[+2 Level]],Encounter_Diff[Player Level],0))</calculatedColumnFormula>
    </tableColumn>
    <tableColumn id="35" xr3:uid="{735C8311-A58F-4B5B-99A1-CD739A8BF897}" name="+2 (Hard)" dataDxfId="784">
      <calculatedColumnFormula>INDEX(Encounter_Diff[Hard], MATCH(PartyCompare_1[[#This Row],[+2 Level]],Encounter_Diff[Player Level],0))</calculatedColumnFormula>
    </tableColumn>
    <tableColumn id="36" xr3:uid="{1BDC861C-C956-4768-ACEE-7CE40734F0FB}" name="+2 (Deadly)" dataDxfId="783">
      <calculatedColumnFormula>INDEX(Encounter_Diff[Deadly], MATCH(PartyCompare_1[[#This Row],[+2 Level]],Encounter_Diff[Player Level],0))</calculatedColumnFormula>
    </tableColumn>
    <tableColumn id="37" xr3:uid="{FF24B037-55D1-4354-8F4B-6CA3628EABF1}" name="+2 Easy" dataDxfId="782"/>
    <tableColumn id="38" xr3:uid="{D15A683E-7881-49D6-A7D2-62EC16C0EA41}" name="+2 Medium" dataDxfId="781"/>
    <tableColumn id="39" xr3:uid="{64FF5AB8-E431-449C-AE27-94AA6D5A9696}" name="+2 Hard" dataDxfId="780"/>
    <tableColumn id="40" xr3:uid="{E4F71C82-D0BF-45A5-BE3C-A710687AB9E9}" name="+2 Deadly" dataDxfId="779"/>
    <tableColumn id="41" xr3:uid="{30843BEF-2B59-4C0C-83DB-36BCC68B6930}" name="+2 Easy Deviation" dataDxfId="778"/>
    <tableColumn id="42" xr3:uid="{BAE48D31-4D0E-4602-B3C2-EC8D72B21DC3}" name="+2 Medium Deviation" dataDxfId="777"/>
    <tableColumn id="43" xr3:uid="{429E6F06-7D3E-46AE-95B8-BF2C2F28C8A8}" name="+2 Hard Deviation" dataDxfId="776"/>
    <tableColumn id="44" xr3:uid="{A7E27C55-8D2B-4A32-8971-7992F668E2F5}" name="+2 Deadly Deviation" dataDxfId="775"/>
    <tableColumn id="45" xr3:uid="{111FC5B1-1CF4-428C-90F6-00759D605B94}" name="+2 Average Deviation" dataDxfId="774"/>
    <tableColumn id="46" xr3:uid="{D08C0153-0C89-4CF1-ACFF-8A02C26A7D17}" name="+3 Level" dataDxfId="773">
      <calculatedColumnFormula>IF(ISNUMBER(PartyCompare_1[[#This Row],[Level]]), PartyCompare_1[[#This Row],[Level]]+3, PartyCompare_1[[#This Row],[Level]])</calculatedColumnFormula>
    </tableColumn>
    <tableColumn id="47" xr3:uid="{5E4B2453-80FF-4BF2-8B84-24235AFC6FCA}" name="+3 (Easy)" dataDxfId="772">
      <calculatedColumnFormula>INDEX(Encounter_Diff[Easy], MATCH(PartyCompare_1[[#This Row],[+3 Level]],Encounter_Diff[Player Level],0))</calculatedColumnFormula>
    </tableColumn>
    <tableColumn id="48" xr3:uid="{A0B53E57-EE54-4988-B7EE-4486539FFCCB}" name="+3 (Medium)" dataDxfId="771">
      <calculatedColumnFormula>INDEX(Encounter_Diff[Medium], MATCH(PartyCompare_1[[#This Row],[+3 Level]],Encounter_Diff[Player Level],0))</calculatedColumnFormula>
    </tableColumn>
    <tableColumn id="49" xr3:uid="{2923500F-290B-452A-95D5-BB75F23BDEE6}" name="+3 (Hard)" dataDxfId="770">
      <calculatedColumnFormula>INDEX(Encounter_Diff[Hard], MATCH(PartyCompare_1[[#This Row],[+3 Level]],Encounter_Diff[Player Level],0))</calculatedColumnFormula>
    </tableColumn>
    <tableColumn id="50" xr3:uid="{20370122-1B53-4E18-822F-88EA78CAE889}" name="+3 (Deadly)" dataDxfId="769">
      <calculatedColumnFormula>INDEX(Encounter_Diff[Deadly], MATCH(PartyCompare_1[[#This Row],[+3 Level]],Encounter_Diff[Player Level],0))</calculatedColumnFormula>
    </tableColumn>
    <tableColumn id="51" xr3:uid="{4FB564A9-9BE3-4949-B353-661394D922C1}" name="+3 Easy" dataDxfId="768"/>
    <tableColumn id="52" xr3:uid="{CF3771E5-06AC-42B4-B056-DA3C29768FAE}" name="+3 Medium" dataDxfId="767"/>
    <tableColumn id="53" xr3:uid="{23B5D36C-1220-41D0-A5E1-3A2A669C3B40}" name="+3 Hard" dataDxfId="766"/>
    <tableColumn id="54" xr3:uid="{F47502D6-4A02-400D-828D-4457083301F6}" name="+3 Deadly" dataDxfId="765"/>
    <tableColumn id="55" xr3:uid="{05041A71-4EC7-46EA-93D7-6D272FB6EED3}" name="+3 Easy Deviation" dataDxfId="764"/>
    <tableColumn id="56" xr3:uid="{551F8E41-07E6-42D0-A0B8-EC5364F2FB69}" name="+3 Medium Deviation" dataDxfId="763"/>
    <tableColumn id="57" xr3:uid="{5E3B1FC0-D741-48D5-B7FE-987F8857E74A}" name="+3 Hard Deviation" dataDxfId="762"/>
    <tableColumn id="58" xr3:uid="{1D7E758C-3869-4069-B14F-AC9D496D5226}" name="+3 Deadly Deviation" dataDxfId="761"/>
    <tableColumn id="59" xr3:uid="{CFA30EF7-8B80-4988-8E89-5BE05B0887C8}" name="+3 Average Deviation" dataDxfId="760"/>
    <tableColumn id="60" xr3:uid="{50C42BDB-F7A9-4410-B63F-37F63D0DC222}" name="+4 Level" dataDxfId="759">
      <calculatedColumnFormula>IF(ISNUMBER(PartyCompare_1[[#This Row],[Level]]), PartyCompare_1[[#This Row],[Level]]+4, PartyCompare_1[[#This Row],[Level]])</calculatedColumnFormula>
    </tableColumn>
    <tableColumn id="61" xr3:uid="{1A840291-BF9C-4A60-B45B-42E5B3AD8284}" name="+4 (Easy)" dataDxfId="758">
      <calculatedColumnFormula>INDEX(Encounter_Diff[Easy], MATCH(PartyCompare_1[[#This Row],[+4 Level]],Encounter_Diff[Player Level],0))</calculatedColumnFormula>
    </tableColumn>
    <tableColumn id="62" xr3:uid="{56A856E5-B876-4E54-95BC-A546371037B1}" name="+4 (Medium)" dataDxfId="757">
      <calculatedColumnFormula>INDEX(Encounter_Diff[Medium], MATCH(PartyCompare_1[[#This Row],[+4 Level]],Encounter_Diff[Player Level],0))</calculatedColumnFormula>
    </tableColumn>
    <tableColumn id="63" xr3:uid="{711E8A54-23F4-495A-93DA-8244032DF15C}" name="+4 (Hard)" dataDxfId="756">
      <calculatedColumnFormula>INDEX(Encounter_Diff[Hard], MATCH(PartyCompare_1[[#This Row],[+4 Level]],Encounter_Diff[Player Level],0))</calculatedColumnFormula>
    </tableColumn>
    <tableColumn id="64" xr3:uid="{17D98917-8FD3-4659-BA54-D402FA1D48B1}" name="+4 (Deadly)" dataDxfId="755">
      <calculatedColumnFormula>INDEX(Encounter_Diff[Deadly], MATCH(PartyCompare_1[[#This Row],[+4 Level]],Encounter_Diff[Player Level],0))</calculatedColumnFormula>
    </tableColumn>
    <tableColumn id="65" xr3:uid="{BECF886F-FAD9-4C48-9A9D-1BB7BCBA6090}" name="+4 Easy" dataDxfId="754"/>
    <tableColumn id="66" xr3:uid="{D298F228-EF6A-4289-918A-37DA7FC6CA7A}" name="+4 Medium" dataDxfId="753"/>
    <tableColumn id="67" xr3:uid="{D42271CE-398A-428A-9894-D3578B654EF5}" name="+4 Hard" dataDxfId="752"/>
    <tableColumn id="68" xr3:uid="{92C2169A-A9A5-4029-90B7-869E4E452AD3}" name="+4 Deadly" dataDxfId="751"/>
    <tableColumn id="69" xr3:uid="{31EA18FD-AB08-462D-B453-F929521393F7}" name="+4 Easy Deviation" dataDxfId="750"/>
    <tableColumn id="70" xr3:uid="{D06040BF-91BE-40EA-AE21-B5A3126FEB64}" name="+4 Medium Deviation" dataDxfId="749"/>
    <tableColumn id="71" xr3:uid="{73EA70C6-CD68-4229-B5C7-D0B2C9B47952}" name="+4 Hard Deviation" dataDxfId="748"/>
    <tableColumn id="72" xr3:uid="{DB83CA78-78C7-4682-B06B-EE4559981BD9}" name="+4 Deadly Deviation" dataDxfId="747"/>
    <tableColumn id="73" xr3:uid="{4061BA65-4838-4788-96D7-63E5D69E7EBA}" name="+4 Average Deviation" dataDxfId="746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DEC62C9-2433-4972-80C9-9C72FB8DCEBD}" name="PartyCompare_4" displayName="PartyCompare_4" ref="M39:CI47" totalsRowShown="0" headerRowDxfId="745" dataDxfId="744">
  <tableColumns count="75">
    <tableColumn id="1" xr3:uid="{0DF31B48-6120-4896-A7F7-ECFE6551234C}" name="Party Member" dataDxfId="743"/>
    <tableColumn id="2" xr3:uid="{140B357C-F7A5-4074-A062-111AB802584F}" name="Level" dataDxfId="742"/>
    <tableColumn id="3" xr3:uid="{97F4BE6E-814A-4FC9-9AC9-38920B01449D}" name="(Easy)" dataDxfId="741">
      <calculatedColumnFormula>INDEX(Encounter_Diff[Easy], MATCH(PartyCompare_4[[#This Row],[Level]],Encounter_Diff[Player Level],0))</calculatedColumnFormula>
    </tableColumn>
    <tableColumn id="4" xr3:uid="{56C1CE88-5CEE-4A6A-B66D-9DFD9BADC732}" name="(Medium)" dataDxfId="740">
      <calculatedColumnFormula>INDEX(Encounter_Diff[Medium], MATCH(PartyCompare_4[[#This Row],[Level]],Encounter_Diff[Player Level],0))</calculatedColumnFormula>
    </tableColumn>
    <tableColumn id="5" xr3:uid="{75197474-3A90-4D58-8BEE-31F44B83F9BD}" name="(Hard)" dataDxfId="739">
      <calculatedColumnFormula>INDEX(Encounter_Diff[Hard], MATCH(PartyCompare_4[[#This Row],[Level]],Encounter_Diff[Player Level],0))</calculatedColumnFormula>
    </tableColumn>
    <tableColumn id="6" xr3:uid="{9F42F893-FA98-4838-B825-653F2BD8683C}" name="(Deadly)" dataDxfId="738">
      <calculatedColumnFormula>INDEX(Encounter_Diff[Deadly], MATCH(PartyCompare_4[[#This Row],[Level]],Encounter_Diff[Player Level],0))</calculatedColumnFormula>
    </tableColumn>
    <tableColumn id="75" xr3:uid="{A0776D5D-4C61-4433-B3FA-36A34AECA41A}" name="Party Name" dataDxfId="737"/>
    <tableColumn id="18" xr3:uid="{9A033C1D-12F6-4BA9-A2D7-282B596E19D0}" name="Party Size" dataDxfId="736">
      <calculatedColumnFormula>IF(COUNT(PartyCompare_4[Level])&lt;=2,"Small", IF(COUNT(PartyCompare_4[Level])&lt;=5,"Med", IF(COUNT(PartyCompare_4[Level])&lt;=8, "Large", "TOO BIG!")))</calculatedColumnFormula>
    </tableColumn>
    <tableColumn id="8" xr3:uid="{A700C688-7EBF-4C44-9150-27F47731CEE7}" name="Mob Size" dataDxfId="735"/>
    <tableColumn id="74" xr3:uid="{8D361818-AEF6-4153-B0FF-2A4B5A7BAAEB}" name="Mob Count" dataDxfId="734"/>
    <tableColumn id="9" xr3:uid="{E6C28321-3174-46E1-ACDB-5AA5F444310F}" name="Easy" dataDxfId="733"/>
    <tableColumn id="10" xr3:uid="{943FBF1E-5F54-4356-B28A-DB4898A48931}" name="Medium" dataDxfId="732">
      <calculatedColumnFormula>SUM(PartyCompare_4[(Medium)])/INDEX(Encounter_Mod[[Small]:[Large]], MATCH(PartyCompare_4[[#This Row],[Mob Size]], Encounter_Mod[Type], 0), MATCH(PartyCompare_4[[#This Row],[Party Size]],Encounter_Mod[[#Headers],[Small]:[Large]],0))</calculatedColumnFormula>
    </tableColumn>
    <tableColumn id="11" xr3:uid="{D035391B-F4AA-43A2-ACCC-5E0572ABB5E8}" name="Hard" dataDxfId="731">
      <calculatedColumnFormula>SUM(PartyCompare_4[(Hard)])/INDEX(Encounter_Mod[[Small]:[Large]], MATCH(PartyCompare_4[[#This Row],[Mob Size]], Encounter_Mod[Type], 0), MATCH(PartyCompare_4[[#This Row],[Party Size]],Encounter_Mod[[#Headers],[Small]:[Large]],0))</calculatedColumnFormula>
    </tableColumn>
    <tableColumn id="12" xr3:uid="{3F00B1EF-2921-4FDB-858B-086EE6B23A05}" name="Deadly" dataDxfId="730">
      <calculatedColumnFormula>SUM(PartyCompare_4[(Deadly)])/INDEX(Encounter_Mod[[Small]:[Large]], MATCH(PartyCompare_4[[#This Row],[Mob Size]], Encounter_Mod[Type], 0), MATCH(PartyCompare_4[[#This Row],[Party Size]],Encounter_Mod[[#Headers],[Small]:[Large]],0))</calculatedColumnFormula>
    </tableColumn>
    <tableColumn id="13" xr3:uid="{8053B51C-BD31-4B40-98BE-3A115F9E089A}" name="Easy Deviation" dataDxfId="729">
      <calculatedColumnFormula>(PartyCompare_4[[#This Row],[Easy]]-INDEX(PartyCompare_0[Easy], MATCH(PartyCompare_4[[#This Row],[Mob Size]],PartyCompare_0[Mob Size],0)))/INDEX(PartyCompare_0[Easy], MATCH(PartyCompare_4[[#This Row],[Mob Size]],PartyCompare_0[Mob Size],0))</calculatedColumnFormula>
    </tableColumn>
    <tableColumn id="14" xr3:uid="{E9C28356-5AD1-4343-BD20-EE7E5161DA1A}" name="Medium Deviation" dataDxfId="728">
      <calculatedColumnFormula>(PartyCompare_4[[#This Row],[Medium]]-INDEX(PartyCompare_0[Medium], MATCH(PartyCompare_4[[#This Row],[Mob Size]],PartyCompare_0[Mob Size],0)))/INDEX(PartyCompare_0[Medium], MATCH(PartyCompare_4[[#This Row],[Mob Size]],PartyCompare_0[Mob Size],0))</calculatedColumnFormula>
    </tableColumn>
    <tableColumn id="15" xr3:uid="{B50157D1-4E9D-4E23-8F2E-97E2C5211BAC}" name="Hard Deviation" dataDxfId="727">
      <calculatedColumnFormula>(PartyCompare_4[[#This Row],[Hard]]-INDEX(PartyCompare_0[Hard], MATCH(PartyCompare_4[[#This Row],[Mob Size]],PartyCompare_0[Mob Size],0)))/INDEX(PartyCompare_0[Hard], MATCH(PartyCompare_4[[#This Row],[Mob Size]],PartyCompare_0[Mob Size],0))</calculatedColumnFormula>
    </tableColumn>
    <tableColumn id="16" xr3:uid="{6DEC42B2-FB26-4B0D-9035-F0BA5EDA3CEF}" name="Deadly Deviation" dataDxfId="726">
      <calculatedColumnFormula>(PartyCompare_4[[#This Row],[Deadly]]-INDEX(PartyCompare_0[Deadly], MATCH(PartyCompare_4[[#This Row],[Mob Size]],PartyCompare_0[Mob Size],0)))/INDEX(PartyCompare_0[Deadly], MATCH(PartyCompare_4[[#This Row],[Mob Size]],PartyCompare_0[Mob Size],0))</calculatedColumnFormula>
    </tableColumn>
    <tableColumn id="17" xr3:uid="{6C1D7789-3E71-485B-947A-B82C6B4CD3BF}" name="Average Deviation" dataDxfId="725"/>
    <tableColumn id="7" xr3:uid="{9551F512-7AEF-4B38-82FF-1861067F6E77}" name="+1 Level" dataDxfId="724">
      <calculatedColumnFormula>IF(ISNUMBER(PartyCompare_1[[#This Row],[Level]]), PartyCompare_1[[#This Row],[Level]]+1, PartyCompare_1[[#This Row],[Level]])</calculatedColumnFormula>
    </tableColumn>
    <tableColumn id="19" xr3:uid="{DDF5B778-DAAF-417C-8BA7-3BDC5D674BCF}" name="+1 (Easy)" dataDxfId="723">
      <calculatedColumnFormula>INDEX(Encounter_Diff[Easy], MATCH(PartyCompare_1[[#This Row],[+1 Level]],Encounter_Diff[Player Level],0))</calculatedColumnFormula>
    </tableColumn>
    <tableColumn id="20" xr3:uid="{32F0B6F5-E393-44AF-9DF1-7999C60365BF}" name="+1 (Medium)" dataDxfId="722">
      <calculatedColumnFormula>INDEX(Encounter_Diff[Medium], MATCH(PartyCompare_1[[#This Row],[+1 Level]],Encounter_Diff[Player Level],0))</calculatedColumnFormula>
    </tableColumn>
    <tableColumn id="21" xr3:uid="{AFB5E35C-0E18-4D2D-B8BF-816B8C35A427}" name="+1 (Hard)" dataDxfId="721">
      <calculatedColumnFormula>INDEX(Encounter_Diff[Hard], MATCH(PartyCompare_1[[#This Row],[+1 Level]],Encounter_Diff[Player Level],0))</calculatedColumnFormula>
    </tableColumn>
    <tableColumn id="22" xr3:uid="{67BC8328-DA7E-49C1-BAB5-2CC81E1219A5}" name="+1 (Deadly)" dataDxfId="720">
      <calculatedColumnFormula>INDEX(Encounter_Diff[Deadly], MATCH(PartyCompare_1[[#This Row],[+1 Level]],Encounter_Diff[Player Level],0))</calculatedColumnFormula>
    </tableColumn>
    <tableColumn id="23" xr3:uid="{C0880DF8-ACFB-4502-A946-26B5D8B76A50}" name="+1 Easy" dataDxfId="719"/>
    <tableColumn id="24" xr3:uid="{EAEA8EBF-D2BE-48DB-A299-B5261164B6DE}" name="+1 Medium" dataDxfId="718"/>
    <tableColumn id="25" xr3:uid="{4186D800-7B08-417B-8CC6-E9A4F62C59B9}" name="+1 Hard" dataDxfId="717"/>
    <tableColumn id="26" xr3:uid="{B1DE2349-BF8F-49E5-A4D7-57671A8A3130}" name="+1 Deadly" dataDxfId="716"/>
    <tableColumn id="27" xr3:uid="{60973866-BAAC-4C25-824E-0DDDB0F72F7B}" name="+1 Easy Deviation" dataDxfId="715"/>
    <tableColumn id="28" xr3:uid="{95819781-A865-4D11-9673-61A412F3EB09}" name="+1 Medium Deviation" dataDxfId="714"/>
    <tableColumn id="29" xr3:uid="{5D0C329F-ACD5-415D-A835-C879ACB6B326}" name="+1 Hard Deviation" dataDxfId="713"/>
    <tableColumn id="30" xr3:uid="{409715E0-916B-4C3D-9186-0C9E326954F6}" name="+1 Deadly Deviation" dataDxfId="712"/>
    <tableColumn id="31" xr3:uid="{1C584CCA-3FD9-4757-A531-72A9D89C5899}" name="+1 Average Deviation" dataDxfId="711"/>
    <tableColumn id="32" xr3:uid="{737A92EC-4E7D-4EFD-A547-A1053B8CB457}" name="+2 Level" dataDxfId="710">
      <calculatedColumnFormula>IF(ISNUMBER(PartyCompare_1[[#This Row],[Level]]), PartyCompare_1[[#This Row],[Level]]+2, PartyCompare_1[[#This Row],[Level]])</calculatedColumnFormula>
    </tableColumn>
    <tableColumn id="33" xr3:uid="{EAA6E344-B962-47CC-AB00-812E1F017F91}" name="+2 (Easy)" dataDxfId="709">
      <calculatedColumnFormula>INDEX(Encounter_Diff[Easy], MATCH(PartyCompare_1[[#This Row],[+2 Level]],Encounter_Diff[Player Level],0))</calculatedColumnFormula>
    </tableColumn>
    <tableColumn id="34" xr3:uid="{ABB71E67-1B10-4480-81E1-CA0A80AAE8BC}" name="+2 (Medium)" dataDxfId="708">
      <calculatedColumnFormula>INDEX(Encounter_Diff[Medium], MATCH(PartyCompare_1[[#This Row],[+2 Level]],Encounter_Diff[Player Level],0))</calculatedColumnFormula>
    </tableColumn>
    <tableColumn id="35" xr3:uid="{29A27BF7-BC29-4F63-AB8F-D0D537163528}" name="+2 (Hard)" dataDxfId="707">
      <calculatedColumnFormula>INDEX(Encounter_Diff[Hard], MATCH(PartyCompare_1[[#This Row],[+2 Level]],Encounter_Diff[Player Level],0))</calculatedColumnFormula>
    </tableColumn>
    <tableColumn id="36" xr3:uid="{16EE9B1D-CF9C-406A-BF6D-E2C9FD1A44D7}" name="+2 (Deadly)" dataDxfId="706">
      <calculatedColumnFormula>INDEX(Encounter_Diff[Deadly], MATCH(PartyCompare_1[[#This Row],[+2 Level]],Encounter_Diff[Player Level],0))</calculatedColumnFormula>
    </tableColumn>
    <tableColumn id="37" xr3:uid="{F75346D6-EE44-47F9-ADCA-71B670A06172}" name="+2 Easy" dataDxfId="705"/>
    <tableColumn id="38" xr3:uid="{D6945353-9A5A-442F-9997-790091492194}" name="+2 Medium" dataDxfId="704"/>
    <tableColumn id="39" xr3:uid="{2065132B-610F-498C-9DDC-058BF38C80FA}" name="+2 Hard" dataDxfId="703"/>
    <tableColumn id="40" xr3:uid="{3D218248-BCC7-442B-A0AF-ED2F3B0EEC8A}" name="+2 Deadly" dataDxfId="702"/>
    <tableColumn id="41" xr3:uid="{EFF63931-D0C3-49D3-AB40-38D686CACADE}" name="+2 Easy Deviation" dataDxfId="701"/>
    <tableColumn id="42" xr3:uid="{98C8E92B-C449-4851-A091-ABD25B691762}" name="+2 Medium Deviation" dataDxfId="700"/>
    <tableColumn id="43" xr3:uid="{F6696F45-2904-45F9-AC36-57DE038B3D4D}" name="+2 Hard Deviation" dataDxfId="699"/>
    <tableColumn id="44" xr3:uid="{C63E6287-2AD8-47FF-A4B5-AF1EAB1003DF}" name="+2 Deadly Deviation" dataDxfId="698"/>
    <tableColumn id="45" xr3:uid="{5C59E852-3A8D-48EA-BD00-9E6A6C0D2748}" name="+2 Average Deviation" dataDxfId="697"/>
    <tableColumn id="46" xr3:uid="{DCC4C9FA-2E19-467B-9895-386D081C7F2B}" name="+3 Level" dataDxfId="696">
      <calculatedColumnFormula>IF(ISNUMBER(PartyCompare_1[[#This Row],[Level]]), PartyCompare_1[[#This Row],[Level]]+3, PartyCompare_1[[#This Row],[Level]])</calculatedColumnFormula>
    </tableColumn>
    <tableColumn id="47" xr3:uid="{F765D152-FD2F-4572-9E50-5DBEC82B6D7C}" name="+3 (Easy)" dataDxfId="695">
      <calculatedColumnFormula>INDEX(Encounter_Diff[Easy], MATCH(PartyCompare_1[[#This Row],[+3 Level]],Encounter_Diff[Player Level],0))</calculatedColumnFormula>
    </tableColumn>
    <tableColumn id="48" xr3:uid="{75B2D6E6-0B48-4995-99B8-65D55E62F393}" name="+3 (Medium)" dataDxfId="694">
      <calculatedColumnFormula>INDEX(Encounter_Diff[Medium], MATCH(PartyCompare_1[[#This Row],[+3 Level]],Encounter_Diff[Player Level],0))</calculatedColumnFormula>
    </tableColumn>
    <tableColumn id="49" xr3:uid="{B9B93846-530F-4686-A862-34BC6BFB9137}" name="+3 (Hard)" dataDxfId="693">
      <calculatedColumnFormula>INDEX(Encounter_Diff[Hard], MATCH(PartyCompare_1[[#This Row],[+3 Level]],Encounter_Diff[Player Level],0))</calculatedColumnFormula>
    </tableColumn>
    <tableColumn id="50" xr3:uid="{D9ACE07D-0F25-4F82-A054-A6BA4B59AE02}" name="+3 (Deadly)" dataDxfId="692">
      <calculatedColumnFormula>INDEX(Encounter_Diff[Deadly], MATCH(PartyCompare_1[[#This Row],[+3 Level]],Encounter_Diff[Player Level],0))</calculatedColumnFormula>
    </tableColumn>
    <tableColumn id="51" xr3:uid="{0A7DFC5C-ED7D-4422-AFEA-1BC6E4151A92}" name="+3 Easy" dataDxfId="691"/>
    <tableColumn id="52" xr3:uid="{5A720B0C-C75D-420E-B683-D01469300427}" name="+3 Medium" dataDxfId="690"/>
    <tableColumn id="53" xr3:uid="{FF871AD3-97B7-4EBD-99A2-1CB8740EEFED}" name="+3 Hard" dataDxfId="689"/>
    <tableColumn id="54" xr3:uid="{4CAAE5B6-A61B-45FD-AA59-8D4B916C978C}" name="+3 Deadly" dataDxfId="688"/>
    <tableColumn id="55" xr3:uid="{B0E0F2ED-2E5E-46E4-A985-026E3EF0935F}" name="+3 Easy Deviation" dataDxfId="687"/>
    <tableColumn id="56" xr3:uid="{1C904530-724C-4931-AE69-407DA7EFA6D2}" name="+3 Medium Deviation" dataDxfId="686"/>
    <tableColumn id="57" xr3:uid="{2E2D93A8-1F9C-45AF-9208-5204E1615AA2}" name="+3 Hard Deviation" dataDxfId="685"/>
    <tableColumn id="58" xr3:uid="{1CA93D1D-137E-4AA4-A296-10A484303102}" name="+3 Deadly Deviation" dataDxfId="684"/>
    <tableColumn id="59" xr3:uid="{B2EFAF54-3AD8-48DC-9FE0-D2D3286D1942}" name="+3 Average Deviation" dataDxfId="683"/>
    <tableColumn id="60" xr3:uid="{E3DF170A-F15A-4448-A9E1-12EF7D834EC4}" name="+4 Level" dataDxfId="682">
      <calculatedColumnFormula>IF(ISNUMBER(PartyCompare_1[[#This Row],[Level]]), PartyCompare_1[[#This Row],[Level]]+4, PartyCompare_1[[#This Row],[Level]])</calculatedColumnFormula>
    </tableColumn>
    <tableColumn id="61" xr3:uid="{A28132CF-1D28-4A24-A527-A751BCBC8625}" name="+4 (Easy)" dataDxfId="681">
      <calculatedColumnFormula>INDEX(Encounter_Diff[Easy], MATCH(PartyCompare_1[[#This Row],[+4 Level]],Encounter_Diff[Player Level],0))</calculatedColumnFormula>
    </tableColumn>
    <tableColumn id="62" xr3:uid="{86BC8035-9FE1-451D-BBB8-0386952F3E81}" name="+4 (Medium)" dataDxfId="680">
      <calculatedColumnFormula>INDEX(Encounter_Diff[Medium], MATCH(PartyCompare_1[[#This Row],[+4 Level]],Encounter_Diff[Player Level],0))</calculatedColumnFormula>
    </tableColumn>
    <tableColumn id="63" xr3:uid="{0DBE9CB3-7AB4-4A4A-905A-F95EC0E652E1}" name="+4 (Hard)" dataDxfId="679">
      <calculatedColumnFormula>INDEX(Encounter_Diff[Hard], MATCH(PartyCompare_1[[#This Row],[+4 Level]],Encounter_Diff[Player Level],0))</calculatedColumnFormula>
    </tableColumn>
    <tableColumn id="64" xr3:uid="{243DB4F1-1EFE-4C27-BC32-DEF087894334}" name="+4 (Deadly)" dataDxfId="678">
      <calculatedColumnFormula>INDEX(Encounter_Diff[Deadly], MATCH(PartyCompare_1[[#This Row],[+4 Level]],Encounter_Diff[Player Level],0))</calculatedColumnFormula>
    </tableColumn>
    <tableColumn id="65" xr3:uid="{449A2B28-8D74-4095-8233-5BD231ED7DF3}" name="+4 Easy" dataDxfId="677"/>
    <tableColumn id="66" xr3:uid="{87A3D8DA-B66B-4F28-90BA-C1F98C548012}" name="+4 Medium" dataDxfId="676"/>
    <tableColumn id="67" xr3:uid="{1B63903C-A087-4E91-9957-914A887B5950}" name="+4 Hard" dataDxfId="675"/>
    <tableColumn id="68" xr3:uid="{65D10D75-7437-4CB0-9498-3717D9BE72A9}" name="+4 Deadly" dataDxfId="674"/>
    <tableColumn id="69" xr3:uid="{D109EAA2-1E88-40D6-A88E-4462849D7C55}" name="+4 Easy Deviation" dataDxfId="673"/>
    <tableColumn id="70" xr3:uid="{09257193-ABC0-4FB8-AFF0-A770DB4334EE}" name="+4 Medium Deviation" dataDxfId="672"/>
    <tableColumn id="71" xr3:uid="{83CA259C-CC90-45A9-941C-71A449E3A4BA}" name="+4 Hard Deviation" dataDxfId="671"/>
    <tableColumn id="72" xr3:uid="{5370242C-1BA2-4114-BF6F-DDDB447C79D1}" name="+4 Deadly Deviation" dataDxfId="670"/>
    <tableColumn id="73" xr3:uid="{26FDE65D-2ABB-41BA-9DA3-0E7D985832DE}" name="+4 Average Deviation" dataDxfId="669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1B6602F-9C44-4749-A522-1BEDB4368350}" name="PartyCompare_5" displayName="PartyCompare_5" ref="M48:CI56" totalsRowShown="0" headerRowDxfId="668" dataDxfId="667">
  <tableColumns count="75">
    <tableColumn id="1" xr3:uid="{1FF185DF-E139-4218-9A3E-DC53A41ED359}" name="Party Member" dataDxfId="666"/>
    <tableColumn id="2" xr3:uid="{43FACFDF-4D69-42BB-ABD7-731879F75BB8}" name="Level" dataDxfId="665"/>
    <tableColumn id="3" xr3:uid="{E576F301-6991-439A-AC39-9FA168CA6555}" name="(Easy)" dataDxfId="664">
      <calculatedColumnFormula>INDEX(Encounter_Diff[Easy], MATCH(PartyCompare_5[[#This Row],[Level]],Encounter_Diff[Player Level],0))</calculatedColumnFormula>
    </tableColumn>
    <tableColumn id="4" xr3:uid="{F8E8E990-7352-4DDF-87BD-546E07BB935E}" name="(Medium)" dataDxfId="663">
      <calculatedColumnFormula>INDEX(Encounter_Diff[Medium], MATCH(PartyCompare_5[[#This Row],[Level]],Encounter_Diff[Player Level],0))</calculatedColumnFormula>
    </tableColumn>
    <tableColumn id="5" xr3:uid="{2D0E0711-2E7C-493C-B398-F21578BE263B}" name="(Hard)" dataDxfId="662">
      <calculatedColumnFormula>INDEX(Encounter_Diff[Hard], MATCH(PartyCompare_5[[#This Row],[Level]],Encounter_Diff[Player Level],0))</calculatedColumnFormula>
    </tableColumn>
    <tableColumn id="6" xr3:uid="{1E8E8507-7CFE-4F53-BA7E-70AFB63B477C}" name="(Deadly)" dataDxfId="661">
      <calculatedColumnFormula>INDEX(Encounter_Diff[Deadly], MATCH(PartyCompare_5[[#This Row],[Level]],Encounter_Diff[Player Level],0))</calculatedColumnFormula>
    </tableColumn>
    <tableColumn id="75" xr3:uid="{F38DB9AA-B829-40B7-9245-364684A1944E}" name="Party Name" dataDxfId="660"/>
    <tableColumn id="18" xr3:uid="{9FC9BAFA-5DD2-445C-BF09-A3912E376EDF}" name="Party Size" dataDxfId="659">
      <calculatedColumnFormula>IF(COUNT(PartyCompare_5[Level])&lt;=2,"Small", IF(COUNT(PartyCompare_5[Level])&lt;=5,"Med", IF(COUNT(PartyCompare_5[Level])&lt;=8, "Large", "TOO BIG!")))</calculatedColumnFormula>
    </tableColumn>
    <tableColumn id="8" xr3:uid="{5D418B97-8314-43BF-ACDF-884C3B8E4CD0}" name="Mob Size" dataDxfId="658"/>
    <tableColumn id="74" xr3:uid="{50774314-F478-4DE0-A96B-DAB18969C041}" name="Mob Count" dataDxfId="657"/>
    <tableColumn id="9" xr3:uid="{AF1E74B6-C45C-4024-A796-1843E4FA307B}" name="Easy" dataDxfId="656"/>
    <tableColumn id="10" xr3:uid="{73D11E53-86DA-46B0-B27B-527A32D050C0}" name="Medium" dataDxfId="655">
      <calculatedColumnFormula>SUM(PartyCompare_5[(Medium)])/INDEX(Encounter_Mod[[Small]:[Large]], MATCH(PartyCompare_5[[#This Row],[Mob Size]], Encounter_Mod[Type], 0), MATCH(PartyCompare_5[[#This Row],[Party Size]],Encounter_Mod[[#Headers],[Small]:[Large]],0))</calculatedColumnFormula>
    </tableColumn>
    <tableColumn id="11" xr3:uid="{C5C1D052-8808-41D0-9291-41DEA240BD61}" name="Hard" dataDxfId="654">
      <calculatedColumnFormula>SUM(PartyCompare_5[(Hard)])/INDEX(Encounter_Mod[[Small]:[Large]], MATCH(PartyCompare_5[[#This Row],[Mob Size]], Encounter_Mod[Type], 0), MATCH(PartyCompare_5[[#This Row],[Party Size]],Encounter_Mod[[#Headers],[Small]:[Large]],0))</calculatedColumnFormula>
    </tableColumn>
    <tableColumn id="12" xr3:uid="{5A189F33-E50F-4846-846C-78B334B80E1D}" name="Deadly" dataDxfId="653">
      <calculatedColumnFormula>SUM(PartyCompare_5[(Deadly)])/INDEX(Encounter_Mod[[Small]:[Large]], MATCH(PartyCompare_5[[#This Row],[Mob Size]], Encounter_Mod[Type], 0), MATCH(PartyCompare_5[[#This Row],[Party Size]],Encounter_Mod[[#Headers],[Small]:[Large]],0))</calculatedColumnFormula>
    </tableColumn>
    <tableColumn id="13" xr3:uid="{A95B31B5-1716-4CD4-9413-934B4F9BA633}" name="Easy Deviation" dataDxfId="652">
      <calculatedColumnFormula>(PartyCompare_5[[#This Row],[Easy]]-INDEX(PartyCompare_0[Easy], MATCH(PartyCompare_5[[#This Row],[Mob Size]],PartyCompare_0[Mob Size],0)))/INDEX(PartyCompare_0[Easy], MATCH(PartyCompare_5[[#This Row],[Mob Size]],PartyCompare_0[Mob Size],0))</calculatedColumnFormula>
    </tableColumn>
    <tableColumn id="14" xr3:uid="{A2E3F026-BDF6-410C-BEA7-AD8772C0073B}" name="Medium Deviation" dataDxfId="651">
      <calculatedColumnFormula>(PartyCompare_5[[#This Row],[Medium]]-INDEX(PartyCompare_0[Medium], MATCH(PartyCompare_5[[#This Row],[Mob Size]],PartyCompare_0[Mob Size],0)))/INDEX(PartyCompare_0[Medium], MATCH(PartyCompare_5[[#This Row],[Mob Size]],PartyCompare_0[Mob Size],0))</calculatedColumnFormula>
    </tableColumn>
    <tableColumn id="15" xr3:uid="{042A8E37-F24E-489D-878F-615E26C76BF6}" name="Hard Deviation" dataDxfId="650">
      <calculatedColumnFormula>(PartyCompare_5[[#This Row],[Hard]]-INDEX(PartyCompare_0[Hard], MATCH(PartyCompare_5[[#This Row],[Mob Size]],PartyCompare_0[Mob Size],0)))/INDEX(PartyCompare_0[Hard], MATCH(PartyCompare_5[[#This Row],[Mob Size]],PartyCompare_0[Mob Size],0))</calculatedColumnFormula>
    </tableColumn>
    <tableColumn id="16" xr3:uid="{BC621428-1D06-4DDC-A19F-4A4B4909898D}" name="Deadly Deviation" dataDxfId="649">
      <calculatedColumnFormula>(PartyCompare_5[[#This Row],[Deadly]]-INDEX(PartyCompare_0[Deadly], MATCH(PartyCompare_5[[#This Row],[Mob Size]],PartyCompare_0[Mob Size],0)))/INDEX(PartyCompare_0[Deadly], MATCH(PartyCompare_5[[#This Row],[Mob Size]],PartyCompare_0[Mob Size],0))</calculatedColumnFormula>
    </tableColumn>
    <tableColumn id="17" xr3:uid="{09024E6B-7175-4BDD-B8EC-CB6A404B5FF2}" name="Average Deviation" dataDxfId="648"/>
    <tableColumn id="7" xr3:uid="{28C8767B-190C-415D-AD97-FFBCCAEE87AF}" name="+1 Level" dataDxfId="647">
      <calculatedColumnFormula>IF(ISNUMBER(PartyCompare_1[[#This Row],[Level]]), PartyCompare_1[[#This Row],[Level]]+1, PartyCompare_1[[#This Row],[Level]])</calculatedColumnFormula>
    </tableColumn>
    <tableColumn id="19" xr3:uid="{15DBE7CA-9447-40B1-97D2-6356FCF53DDB}" name="+1 (Easy)" dataDxfId="646">
      <calculatedColumnFormula>INDEX(Encounter_Diff[Easy], MATCH(PartyCompare_1[[#This Row],[+1 Level]],Encounter_Diff[Player Level],0))</calculatedColumnFormula>
    </tableColumn>
    <tableColumn id="20" xr3:uid="{5313DB4E-F5FC-458A-AA3A-3810A553E604}" name="+1 (Medium)" dataDxfId="645">
      <calculatedColumnFormula>INDEX(Encounter_Diff[Medium], MATCH(PartyCompare_1[[#This Row],[+1 Level]],Encounter_Diff[Player Level],0))</calculatedColumnFormula>
    </tableColumn>
    <tableColumn id="21" xr3:uid="{31A490E2-A7B1-4195-A185-AC999D519700}" name="+1 (Hard)" dataDxfId="644">
      <calculatedColumnFormula>INDEX(Encounter_Diff[Hard], MATCH(PartyCompare_1[[#This Row],[+1 Level]],Encounter_Diff[Player Level],0))</calculatedColumnFormula>
    </tableColumn>
    <tableColumn id="22" xr3:uid="{77A6E8EE-D44A-4327-9881-B753925BA251}" name="+1 (Deadly)" dataDxfId="643">
      <calculatedColumnFormula>INDEX(Encounter_Diff[Deadly], MATCH(PartyCompare_1[[#This Row],[+1 Level]],Encounter_Diff[Player Level],0))</calculatedColumnFormula>
    </tableColumn>
    <tableColumn id="23" xr3:uid="{6E4FC441-72E7-41A1-852E-EC69AC4DD3DE}" name="+1 Easy" dataDxfId="642"/>
    <tableColumn id="24" xr3:uid="{E0B330AC-7880-470D-B418-9100EB2F7D96}" name="+1 Medium" dataDxfId="641"/>
    <tableColumn id="25" xr3:uid="{057C3E44-B55C-4C2E-981B-515D6D80796B}" name="+1 Hard" dataDxfId="640"/>
    <tableColumn id="26" xr3:uid="{360748AD-0A85-49F8-91D4-FAB45996E584}" name="+1 Deadly" dataDxfId="639"/>
    <tableColumn id="27" xr3:uid="{D0E2C940-8F0D-4FC3-B7E3-1314E8212CC2}" name="+1 Easy Deviation" dataDxfId="638"/>
    <tableColumn id="28" xr3:uid="{E287AF7F-8142-479E-A3C7-1E7A92F56A66}" name="+1 Medium Deviation" dataDxfId="637"/>
    <tableColumn id="29" xr3:uid="{118F8EB9-FBF9-45E6-9809-4BA009B5A1F4}" name="+1 Hard Deviation" dataDxfId="636"/>
    <tableColumn id="30" xr3:uid="{3634A533-B396-48D1-BDFB-B1EB602805AF}" name="+1 Deadly Deviation" dataDxfId="635"/>
    <tableColumn id="31" xr3:uid="{ED73D309-4C06-4D83-903C-F77A64CD8DDD}" name="+1 Average Deviation" dataDxfId="634"/>
    <tableColumn id="32" xr3:uid="{BE3B8D3F-2698-4C86-A468-9B3B1035084B}" name="+2 Level" dataDxfId="633">
      <calculatedColumnFormula>IF(ISNUMBER(PartyCompare_1[[#This Row],[Level]]), PartyCompare_1[[#This Row],[Level]]+2, PartyCompare_1[[#This Row],[Level]])</calculatedColumnFormula>
    </tableColumn>
    <tableColumn id="33" xr3:uid="{C0FF87E4-4EF4-4E9E-ABBD-1DCB90F289DA}" name="+2 (Easy)" dataDxfId="632">
      <calculatedColumnFormula>INDEX(Encounter_Diff[Easy], MATCH(PartyCompare_1[[#This Row],[+2 Level]],Encounter_Diff[Player Level],0))</calculatedColumnFormula>
    </tableColumn>
    <tableColumn id="34" xr3:uid="{CF84B084-8DA7-44DF-B0C6-8E39E752D6D4}" name="+2 (Medium)" dataDxfId="631">
      <calculatedColumnFormula>INDEX(Encounter_Diff[Medium], MATCH(PartyCompare_1[[#This Row],[+2 Level]],Encounter_Diff[Player Level],0))</calculatedColumnFormula>
    </tableColumn>
    <tableColumn id="35" xr3:uid="{7FC3A265-3B75-45DE-8BD9-360A2FA4FA8A}" name="+2 (Hard)" dataDxfId="630">
      <calculatedColumnFormula>INDEX(Encounter_Diff[Hard], MATCH(PartyCompare_1[[#This Row],[+2 Level]],Encounter_Diff[Player Level],0))</calculatedColumnFormula>
    </tableColumn>
    <tableColumn id="36" xr3:uid="{F9961410-9013-41B1-B08A-BE2A02845E63}" name="+2 (Deadly)" dataDxfId="629">
      <calculatedColumnFormula>INDEX(Encounter_Diff[Deadly], MATCH(PartyCompare_1[[#This Row],[+2 Level]],Encounter_Diff[Player Level],0))</calculatedColumnFormula>
    </tableColumn>
    <tableColumn id="37" xr3:uid="{33FBFE55-FFAF-45B5-822D-377075F23833}" name="+2 Easy" dataDxfId="628"/>
    <tableColumn id="38" xr3:uid="{54B7B4B8-DBFC-4B70-9B4E-F366BC70E8E8}" name="+2 Medium" dataDxfId="627"/>
    <tableColumn id="39" xr3:uid="{6E67B4BA-A835-4E00-9A86-DFE44D4963F5}" name="+2 Hard" dataDxfId="626"/>
    <tableColumn id="40" xr3:uid="{BC980ED1-42C3-401C-B53A-5F8DFE27CEA5}" name="+2 Deadly" dataDxfId="625"/>
    <tableColumn id="41" xr3:uid="{EE17C643-5928-44DA-9E50-AC576879D047}" name="+2 Easy Deviation" dataDxfId="624"/>
    <tableColumn id="42" xr3:uid="{2217B0EC-3961-4BB6-A212-79D9679A8249}" name="+2 Medium Deviation" dataDxfId="623"/>
    <tableColumn id="43" xr3:uid="{121516F9-227F-4A0F-BD09-FF7189F956B4}" name="+2 Hard Deviation" dataDxfId="622"/>
    <tableColumn id="44" xr3:uid="{D4BA97F2-0CEF-4EAE-B466-76DB6FE40E19}" name="+2 Deadly Deviation" dataDxfId="621"/>
    <tableColumn id="45" xr3:uid="{1DCA8E5E-71F7-4ED9-B303-5A4225B6B4B2}" name="+2 Average Deviation" dataDxfId="620"/>
    <tableColumn id="46" xr3:uid="{39825B64-91E6-4E11-9433-9CB829890B40}" name="+3 Level" dataDxfId="619">
      <calculatedColumnFormula>IF(ISNUMBER(PartyCompare_1[[#This Row],[Level]]), PartyCompare_1[[#This Row],[Level]]+3, PartyCompare_1[[#This Row],[Level]])</calculatedColumnFormula>
    </tableColumn>
    <tableColumn id="47" xr3:uid="{D397EBFF-7155-4E8F-8B02-687E75DFDF61}" name="+3 (Easy)" dataDxfId="618">
      <calculatedColumnFormula>INDEX(Encounter_Diff[Easy], MATCH(PartyCompare_1[[#This Row],[+3 Level]],Encounter_Diff[Player Level],0))</calculatedColumnFormula>
    </tableColumn>
    <tableColumn id="48" xr3:uid="{2DEA6D56-C4B5-4A5B-8F35-37CFD022D4BC}" name="+3 (Medium)" dataDxfId="617">
      <calculatedColumnFormula>INDEX(Encounter_Diff[Medium], MATCH(PartyCompare_1[[#This Row],[+3 Level]],Encounter_Diff[Player Level],0))</calculatedColumnFormula>
    </tableColumn>
    <tableColumn id="49" xr3:uid="{061E3F0E-B649-4BCD-A87A-0995C956BF4B}" name="+3 (Hard)" dataDxfId="616">
      <calculatedColumnFormula>INDEX(Encounter_Diff[Hard], MATCH(PartyCompare_1[[#This Row],[+3 Level]],Encounter_Diff[Player Level],0))</calculatedColumnFormula>
    </tableColumn>
    <tableColumn id="50" xr3:uid="{69383E11-094B-4AF4-8C80-4B0253845191}" name="+3 (Deadly)" dataDxfId="615">
      <calculatedColumnFormula>INDEX(Encounter_Diff[Deadly], MATCH(PartyCompare_1[[#This Row],[+3 Level]],Encounter_Diff[Player Level],0))</calculatedColumnFormula>
    </tableColumn>
    <tableColumn id="51" xr3:uid="{DC5C3A8C-86F0-4D0D-82FE-4E6A950A89AA}" name="+3 Easy" dataDxfId="614"/>
    <tableColumn id="52" xr3:uid="{5F40491E-0C10-42BA-9AC7-3DB067A4C13F}" name="+3 Medium" dataDxfId="613"/>
    <tableColumn id="53" xr3:uid="{7B4EF66A-C4C8-431B-9D0D-8AA7DB37B329}" name="+3 Hard" dataDxfId="612"/>
    <tableColumn id="54" xr3:uid="{A3812FA9-18FF-4B1F-B9F7-55BECE331564}" name="+3 Deadly" dataDxfId="611"/>
    <tableColumn id="55" xr3:uid="{7CB0DC2B-9DF8-476E-8409-C0C2DF1604A5}" name="+3 Easy Deviation" dataDxfId="610"/>
    <tableColumn id="56" xr3:uid="{3F556E14-552C-4D86-AF81-0779664ABF68}" name="+3 Medium Deviation" dataDxfId="609"/>
    <tableColumn id="57" xr3:uid="{7C2F2A34-649A-49B8-825E-144FD79772B5}" name="+3 Hard Deviation" dataDxfId="608"/>
    <tableColumn id="58" xr3:uid="{C603755B-B997-4D45-8951-008977B6D48A}" name="+3 Deadly Deviation" dataDxfId="607"/>
    <tableColumn id="59" xr3:uid="{2FD30DE0-3DB9-45C9-865F-AF0EC635B90E}" name="+3 Average Deviation" dataDxfId="606"/>
    <tableColumn id="60" xr3:uid="{0C172278-B08E-40DD-BA4A-484FDABDE797}" name="+4 Level" dataDxfId="605">
      <calculatedColumnFormula>IF(ISNUMBER(PartyCompare_1[[#This Row],[Level]]), PartyCompare_1[[#This Row],[Level]]+4, PartyCompare_1[[#This Row],[Level]])</calculatedColumnFormula>
    </tableColumn>
    <tableColumn id="61" xr3:uid="{B04A5693-1C1A-43F3-8115-2E7448DFC348}" name="+4 (Easy)" dataDxfId="604">
      <calculatedColumnFormula>INDEX(Encounter_Diff[Easy], MATCH(PartyCompare_1[[#This Row],[+4 Level]],Encounter_Diff[Player Level],0))</calculatedColumnFormula>
    </tableColumn>
    <tableColumn id="62" xr3:uid="{B5A25C55-AF19-4B55-84C9-17063A647189}" name="+4 (Medium)" dataDxfId="603">
      <calculatedColumnFormula>INDEX(Encounter_Diff[Medium], MATCH(PartyCompare_1[[#This Row],[+4 Level]],Encounter_Diff[Player Level],0))</calculatedColumnFormula>
    </tableColumn>
    <tableColumn id="63" xr3:uid="{89165FA5-5479-45AC-9341-6E47A0BDD1AA}" name="+4 (Hard)" dataDxfId="602">
      <calculatedColumnFormula>INDEX(Encounter_Diff[Hard], MATCH(PartyCompare_1[[#This Row],[+4 Level]],Encounter_Diff[Player Level],0))</calculatedColumnFormula>
    </tableColumn>
    <tableColumn id="64" xr3:uid="{7085B879-D807-4851-BAE0-F09F8A82F633}" name="+4 (Deadly)" dataDxfId="601">
      <calculatedColumnFormula>INDEX(Encounter_Diff[Deadly], MATCH(PartyCompare_1[[#This Row],[+4 Level]],Encounter_Diff[Player Level],0))</calculatedColumnFormula>
    </tableColumn>
    <tableColumn id="65" xr3:uid="{DA2A51E3-0B16-4705-8FE2-A92A54BAD743}" name="+4 Easy" dataDxfId="600"/>
    <tableColumn id="66" xr3:uid="{732AE13C-BD5E-4121-8565-272E9582D2D2}" name="+4 Medium" dataDxfId="599"/>
    <tableColumn id="67" xr3:uid="{AE46700E-C591-45D5-83CD-F6176EA19ABF}" name="+4 Hard" dataDxfId="598"/>
    <tableColumn id="68" xr3:uid="{D034B298-B464-4404-86DA-83F39C4708EA}" name="+4 Deadly" dataDxfId="597"/>
    <tableColumn id="69" xr3:uid="{77EC9A3D-EC64-4F1E-9B86-BE960C84187A}" name="+4 Easy Deviation" dataDxfId="596"/>
    <tableColumn id="70" xr3:uid="{D0926BD4-78F5-4DA1-AEC1-10D8BACB762C}" name="+4 Medium Deviation" dataDxfId="595"/>
    <tableColumn id="71" xr3:uid="{90802CAE-FF18-4D64-BBE9-C39D5DD6DF7C}" name="+4 Hard Deviation" dataDxfId="594"/>
    <tableColumn id="72" xr3:uid="{F8184F50-93CE-4F22-8348-9FACDF301E46}" name="+4 Deadly Deviation" dataDxfId="593"/>
    <tableColumn id="73" xr3:uid="{8DA6F854-60A8-4A60-AD58-8C6194EE2A89}" name="+4 Average Deviation" dataDxfId="592"/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AD40877-54B2-404B-AF24-599922798D86}" name="PartyCompare_6" displayName="PartyCompare_6" ref="M57:CI65" totalsRowShown="0" headerRowDxfId="591" dataDxfId="590">
  <tableColumns count="75">
    <tableColumn id="1" xr3:uid="{B5F0794E-1D9A-43EC-8F78-B2EA0C869324}" name="Party Member" dataDxfId="589"/>
    <tableColumn id="2" xr3:uid="{8A730E31-068D-420B-B27F-33DA912CD2A8}" name="Level" dataDxfId="588"/>
    <tableColumn id="3" xr3:uid="{B4CCB609-7AA9-4BED-9D60-C6AB92C6BC66}" name="(Easy)" dataDxfId="587">
      <calculatedColumnFormula>INDEX(Encounter_Diff[Easy], MATCH(PartyCompare_6[[#This Row],[Level]],Encounter_Diff[Player Level],0))</calculatedColumnFormula>
    </tableColumn>
    <tableColumn id="4" xr3:uid="{5672C157-3416-42EC-BD1C-F6EC52047B92}" name="(Medium)" dataDxfId="586">
      <calculatedColumnFormula>INDEX(Encounter_Diff[Medium], MATCH(PartyCompare_6[[#This Row],[Level]],Encounter_Diff[Player Level],0))</calculatedColumnFormula>
    </tableColumn>
    <tableColumn id="5" xr3:uid="{9BDE4914-0CCD-4CDA-B323-BE0CA7346C66}" name="(Hard)" dataDxfId="585">
      <calculatedColumnFormula>INDEX(Encounter_Diff[Hard], MATCH(PartyCompare_6[[#This Row],[Level]],Encounter_Diff[Player Level],0))</calculatedColumnFormula>
    </tableColumn>
    <tableColumn id="6" xr3:uid="{BFF34CD1-4CA7-4AC0-8C4D-2F1CAF789C42}" name="(Deadly)" dataDxfId="584">
      <calculatedColumnFormula>INDEX(Encounter_Diff[Deadly], MATCH(PartyCompare_6[[#This Row],[Level]],Encounter_Diff[Player Level],0))</calculatedColumnFormula>
    </tableColumn>
    <tableColumn id="75" xr3:uid="{634D031B-C925-4A88-B820-E42411C1636B}" name="Party Name" dataDxfId="583"/>
    <tableColumn id="18" xr3:uid="{5104FED8-A89D-4199-9A91-90567D7D1D8E}" name="Party Size" dataDxfId="582">
      <calculatedColumnFormula>IF(COUNT(PartyCompare_6[Level])&lt;=2,"Small", IF(COUNT(PartyCompare_6[Level])&lt;=5,"Med", IF(COUNT(PartyCompare_6[Level])&lt;=8, "Large", "TOO BIG!")))</calculatedColumnFormula>
    </tableColumn>
    <tableColumn id="8" xr3:uid="{5961CACF-AAA5-49B6-BBF8-262D1E5DC674}" name="Mob Size" dataDxfId="581"/>
    <tableColumn id="74" xr3:uid="{28D795D7-5682-48B0-AE6D-711EA31760FA}" name="Mob Count" dataDxfId="580"/>
    <tableColumn id="9" xr3:uid="{0DD68457-CDA8-4912-A8FA-E874D2C066EF}" name="Easy" dataDxfId="579"/>
    <tableColumn id="10" xr3:uid="{CA788979-BA17-4805-BAEC-1F499802D12F}" name="Medium" dataDxfId="578">
      <calculatedColumnFormula>SUM(PartyCompare_6[(Medium)])/INDEX(Encounter_Mod[[Small]:[Large]], MATCH(PartyCompare_6[[#This Row],[Mob Size]], Encounter_Mod[Type], 0), MATCH(PartyCompare_6[[#This Row],[Party Size]],Encounter_Mod[[#Headers],[Small]:[Large]],0))</calculatedColumnFormula>
    </tableColumn>
    <tableColumn id="11" xr3:uid="{201F1EE5-35E4-43BD-8988-071E63B76A47}" name="Hard" dataDxfId="577">
      <calculatedColumnFormula>SUM(PartyCompare_6[(Hard)])/INDEX(Encounter_Mod[[Small]:[Large]], MATCH(PartyCompare_6[[#This Row],[Mob Size]], Encounter_Mod[Type], 0), MATCH(PartyCompare_6[[#This Row],[Party Size]],Encounter_Mod[[#Headers],[Small]:[Large]],0))</calculatedColumnFormula>
    </tableColumn>
    <tableColumn id="12" xr3:uid="{82A32F6B-A9B0-44C6-BD39-8243227875DD}" name="Deadly" dataDxfId="576">
      <calculatedColumnFormula>SUM(PartyCompare_6[(Deadly)])/INDEX(Encounter_Mod[[Small]:[Large]], MATCH(PartyCompare_6[[#This Row],[Mob Size]], Encounter_Mod[Type], 0), MATCH(PartyCompare_6[[#This Row],[Party Size]],Encounter_Mod[[#Headers],[Small]:[Large]],0))</calculatedColumnFormula>
    </tableColumn>
    <tableColumn id="13" xr3:uid="{151493C4-3D30-4033-9E4C-A99685904024}" name="Easy Deviation" dataDxfId="575">
      <calculatedColumnFormula>(PartyCompare_6[[#This Row],[Easy]]-INDEX(PartyCompare_0[Easy], MATCH(PartyCompare_6[[#This Row],[Mob Size]],PartyCompare_0[Mob Size],0)))/INDEX(PartyCompare_0[Easy], MATCH(PartyCompare_6[[#This Row],[Mob Size]],PartyCompare_0[Mob Size],0))</calculatedColumnFormula>
    </tableColumn>
    <tableColumn id="14" xr3:uid="{AC8E880C-30B3-4E1A-B7F5-0ECA13BCEF7B}" name="Medium Deviation" dataDxfId="574">
      <calculatedColumnFormula>(PartyCompare_6[[#This Row],[Medium]]-INDEX(PartyCompare_0[Medium], MATCH(PartyCompare_6[[#This Row],[Mob Size]],PartyCompare_0[Mob Size],0)))/INDEX(PartyCompare_0[Medium], MATCH(PartyCompare_6[[#This Row],[Mob Size]],PartyCompare_0[Mob Size],0))</calculatedColumnFormula>
    </tableColumn>
    <tableColumn id="15" xr3:uid="{71C3D276-D21C-4778-844B-CA8362342AE0}" name="Hard Deviation" dataDxfId="573">
      <calculatedColumnFormula>(PartyCompare_6[[#This Row],[Hard]]-INDEX(PartyCompare_0[Hard], MATCH(PartyCompare_6[[#This Row],[Mob Size]],PartyCompare_0[Mob Size],0)))/INDEX(PartyCompare_0[Hard], MATCH(PartyCompare_6[[#This Row],[Mob Size]],PartyCompare_0[Mob Size],0))</calculatedColumnFormula>
    </tableColumn>
    <tableColumn id="16" xr3:uid="{6AB236F0-5BB8-4258-A8BB-58EDD802A68D}" name="Deadly Deviation" dataDxfId="572">
      <calculatedColumnFormula>(PartyCompare_6[[#This Row],[Deadly]]-INDEX(PartyCompare_0[Deadly], MATCH(PartyCompare_6[[#This Row],[Mob Size]],PartyCompare_0[Mob Size],0)))/INDEX(PartyCompare_0[Deadly], MATCH(PartyCompare_6[[#This Row],[Mob Size]],PartyCompare_0[Mob Size],0))</calculatedColumnFormula>
    </tableColumn>
    <tableColumn id="17" xr3:uid="{53AC065E-E768-4AB4-A40F-13D9D76FDD7D}" name="Average Deviation" dataDxfId="571"/>
    <tableColumn id="7" xr3:uid="{966C73B2-3381-4797-B0FC-9BEC2DBF1C13}" name="+1 Level" dataDxfId="570">
      <calculatedColumnFormula>IF(ISNUMBER(PartyCompare_1[[#This Row],[Level]]), PartyCompare_1[[#This Row],[Level]]+1, PartyCompare_1[[#This Row],[Level]])</calculatedColumnFormula>
    </tableColumn>
    <tableColumn id="19" xr3:uid="{3CEE0CEE-0BB2-4AA6-ABD7-8376B7C36B93}" name="+1 (Easy)" dataDxfId="569">
      <calculatedColumnFormula>INDEX(Encounter_Diff[Easy], MATCH(PartyCompare_1[[#This Row],[+1 Level]],Encounter_Diff[Player Level],0))</calculatedColumnFormula>
    </tableColumn>
    <tableColumn id="20" xr3:uid="{A61DCFE8-69AB-4390-9322-4A20DCCDEFD4}" name="+1 (Medium)" dataDxfId="568">
      <calculatedColumnFormula>INDEX(Encounter_Diff[Medium], MATCH(PartyCompare_1[[#This Row],[+1 Level]],Encounter_Diff[Player Level],0))</calculatedColumnFormula>
    </tableColumn>
    <tableColumn id="21" xr3:uid="{80986AFF-E0F7-4A15-995B-4EF8553ADF93}" name="+1 (Hard)" dataDxfId="567">
      <calculatedColumnFormula>INDEX(Encounter_Diff[Hard], MATCH(PartyCompare_1[[#This Row],[+1 Level]],Encounter_Diff[Player Level],0))</calculatedColumnFormula>
    </tableColumn>
    <tableColumn id="22" xr3:uid="{68AB6C67-88BA-4B06-9D1A-C6C90B6F9542}" name="+1 (Deadly)" dataDxfId="566">
      <calculatedColumnFormula>INDEX(Encounter_Diff[Deadly], MATCH(PartyCompare_1[[#This Row],[+1 Level]],Encounter_Diff[Player Level],0))</calculatedColumnFormula>
    </tableColumn>
    <tableColumn id="23" xr3:uid="{C2D7307D-622E-46DD-B9BF-ADB12B99166A}" name="+1 Easy" dataDxfId="565"/>
    <tableColumn id="24" xr3:uid="{16B230BB-D4DB-4CF8-A077-3EBE68A15AEB}" name="+1 Medium" dataDxfId="564"/>
    <tableColumn id="25" xr3:uid="{42D431CF-1BA9-4715-B1B1-3BA31AA3A8AF}" name="+1 Hard" dataDxfId="563"/>
    <tableColumn id="26" xr3:uid="{26E8E8E4-8C7A-4F37-95D2-8D15682A1379}" name="+1 Deadly" dataDxfId="562"/>
    <tableColumn id="27" xr3:uid="{471BDFAF-8E14-435A-AB24-B197C2BBE96A}" name="+1 Easy Deviation" dataDxfId="561"/>
    <tableColumn id="28" xr3:uid="{D4101C25-0724-4001-8CEF-7B8943B65808}" name="+1 Medium Deviation" dataDxfId="560"/>
    <tableColumn id="29" xr3:uid="{9D7C0833-B723-4BCD-A08D-F21A6106A74D}" name="+1 Hard Deviation" dataDxfId="559"/>
    <tableColumn id="30" xr3:uid="{E5BAE413-887B-464E-962E-857C9A9B393C}" name="+1 Deadly Deviation" dataDxfId="558"/>
    <tableColumn id="31" xr3:uid="{33BDBA61-AB40-4ACE-A0C8-FED537A1428B}" name="+1 Average Deviation" dataDxfId="557"/>
    <tableColumn id="32" xr3:uid="{4F150A27-6C83-4E4A-8F31-AC9DBE76CE99}" name="+2 Level" dataDxfId="556">
      <calculatedColumnFormula>IF(ISNUMBER(PartyCompare_1[[#This Row],[Level]]), PartyCompare_1[[#This Row],[Level]]+2, PartyCompare_1[[#This Row],[Level]])</calculatedColumnFormula>
    </tableColumn>
    <tableColumn id="33" xr3:uid="{1159E823-DA70-4CAF-9AA9-A042850C3E8E}" name="+2 (Easy)" dataDxfId="555">
      <calculatedColumnFormula>INDEX(Encounter_Diff[Easy], MATCH(PartyCompare_1[[#This Row],[+2 Level]],Encounter_Diff[Player Level],0))</calculatedColumnFormula>
    </tableColumn>
    <tableColumn id="34" xr3:uid="{9778C681-04BC-412D-AB62-A63162D25114}" name="+2 (Medium)" dataDxfId="554">
      <calculatedColumnFormula>INDEX(Encounter_Diff[Medium], MATCH(PartyCompare_1[[#This Row],[+2 Level]],Encounter_Diff[Player Level],0))</calculatedColumnFormula>
    </tableColumn>
    <tableColumn id="35" xr3:uid="{923B69BC-D140-4371-AD2B-FD981FD0EB4E}" name="+2 (Hard)" dataDxfId="553">
      <calculatedColumnFormula>INDEX(Encounter_Diff[Hard], MATCH(PartyCompare_1[[#This Row],[+2 Level]],Encounter_Diff[Player Level],0))</calculatedColumnFormula>
    </tableColumn>
    <tableColumn id="36" xr3:uid="{98317D73-BA33-4D3A-B640-BB047C2807FE}" name="+2 (Deadly)" dataDxfId="552">
      <calculatedColumnFormula>INDEX(Encounter_Diff[Deadly], MATCH(PartyCompare_1[[#This Row],[+2 Level]],Encounter_Diff[Player Level],0))</calculatedColumnFormula>
    </tableColumn>
    <tableColumn id="37" xr3:uid="{7C7E1A1A-3D1F-4B58-B42F-BCADDAEC686F}" name="+2 Easy" dataDxfId="551"/>
    <tableColumn id="38" xr3:uid="{DE556B57-E45C-4B53-959F-180F05F12990}" name="+2 Medium" dataDxfId="550"/>
    <tableColumn id="39" xr3:uid="{E641F173-B8A6-4694-BF98-EECBEEA78F8E}" name="+2 Hard" dataDxfId="549"/>
    <tableColumn id="40" xr3:uid="{B81F4F7D-9942-42D9-93E3-B7C3A334C133}" name="+2 Deadly" dataDxfId="548"/>
    <tableColumn id="41" xr3:uid="{26AFEB00-09DE-474D-B031-09CE9F1C5E29}" name="+2 Easy Deviation" dataDxfId="547"/>
    <tableColumn id="42" xr3:uid="{D1E1E56E-321E-4856-8127-0F15ABC90DA3}" name="+2 Medium Deviation" dataDxfId="546"/>
    <tableColumn id="43" xr3:uid="{2A2909A1-FD8D-42F6-BBFA-5D4EDDC66EB2}" name="+2 Hard Deviation" dataDxfId="545"/>
    <tableColumn id="44" xr3:uid="{B30F4EEA-01DE-42EE-9265-746DCA682121}" name="+2 Deadly Deviation" dataDxfId="544"/>
    <tableColumn id="45" xr3:uid="{2F49C654-A75B-4CA4-9552-DA606D54DE0B}" name="+2 Average Deviation" dataDxfId="543"/>
    <tableColumn id="46" xr3:uid="{5897548A-C008-45A9-9F43-AA5537CB6DFD}" name="+3 Level" dataDxfId="542">
      <calculatedColumnFormula>IF(ISNUMBER(PartyCompare_1[[#This Row],[Level]]), PartyCompare_1[[#This Row],[Level]]+3, PartyCompare_1[[#This Row],[Level]])</calculatedColumnFormula>
    </tableColumn>
    <tableColumn id="47" xr3:uid="{E96E6BAA-607C-449B-AFA6-B1FE9F4C185A}" name="+3 (Easy)" dataDxfId="541">
      <calculatedColumnFormula>INDEX(Encounter_Diff[Easy], MATCH(PartyCompare_1[[#This Row],[+3 Level]],Encounter_Diff[Player Level],0))</calculatedColumnFormula>
    </tableColumn>
    <tableColumn id="48" xr3:uid="{34A39C23-87F9-4C04-83CA-F076978638F6}" name="+3 (Medium)" dataDxfId="540">
      <calculatedColumnFormula>INDEX(Encounter_Diff[Medium], MATCH(PartyCompare_1[[#This Row],[+3 Level]],Encounter_Diff[Player Level],0))</calculatedColumnFormula>
    </tableColumn>
    <tableColumn id="49" xr3:uid="{02A370CE-6A55-4AE4-A5AD-F22380F6653E}" name="+3 (Hard)" dataDxfId="539">
      <calculatedColumnFormula>INDEX(Encounter_Diff[Hard], MATCH(PartyCompare_1[[#This Row],[+3 Level]],Encounter_Diff[Player Level],0))</calculatedColumnFormula>
    </tableColumn>
    <tableColumn id="50" xr3:uid="{122F29C0-D1A5-4144-9FC0-E3E961F5A178}" name="+3 (Deadly)" dataDxfId="538">
      <calculatedColumnFormula>INDEX(Encounter_Diff[Deadly], MATCH(PartyCompare_1[[#This Row],[+3 Level]],Encounter_Diff[Player Level],0))</calculatedColumnFormula>
    </tableColumn>
    <tableColumn id="51" xr3:uid="{F5A5223F-A4DB-4D59-A411-E46CE322CDDF}" name="+3 Easy" dataDxfId="537"/>
    <tableColumn id="52" xr3:uid="{7E60A43C-9FE1-475D-8D6A-535206D7EA59}" name="+3 Medium" dataDxfId="536"/>
    <tableColumn id="53" xr3:uid="{00D50E8E-4CF1-49BA-8295-B405FF7E0D94}" name="+3 Hard" dataDxfId="535"/>
    <tableColumn id="54" xr3:uid="{CD412637-82A1-48C5-B454-24CD264C52F4}" name="+3 Deadly" dataDxfId="534"/>
    <tableColumn id="55" xr3:uid="{0C51BCCD-8ECE-466D-B32A-AAF834C27F07}" name="+3 Easy Deviation" dataDxfId="533"/>
    <tableColumn id="56" xr3:uid="{B1D4B158-C52B-46CA-9B92-1ADD4A043C5C}" name="+3 Medium Deviation" dataDxfId="532"/>
    <tableColumn id="57" xr3:uid="{057DBF3B-10F5-48A8-B873-91999C60B4F1}" name="+3 Hard Deviation" dataDxfId="531"/>
    <tableColumn id="58" xr3:uid="{572DE19A-860A-4644-8F58-7F59C70FE7EB}" name="+3 Deadly Deviation" dataDxfId="530"/>
    <tableColumn id="59" xr3:uid="{60806907-2D79-41B6-A23A-49A29AF7A439}" name="+3 Average Deviation" dataDxfId="529"/>
    <tableColumn id="60" xr3:uid="{E9E30C3E-F840-4E6F-8091-0914D4DC935B}" name="+4 Level" dataDxfId="528">
      <calculatedColumnFormula>IF(ISNUMBER(PartyCompare_1[[#This Row],[Level]]), PartyCompare_1[[#This Row],[Level]]+4, PartyCompare_1[[#This Row],[Level]])</calculatedColumnFormula>
    </tableColumn>
    <tableColumn id="61" xr3:uid="{7553956D-8D3B-48A7-92EA-ACD7DB55C56B}" name="+4 (Easy)" dataDxfId="527">
      <calculatedColumnFormula>INDEX(Encounter_Diff[Easy], MATCH(PartyCompare_1[[#This Row],[+4 Level]],Encounter_Diff[Player Level],0))</calculatedColumnFormula>
    </tableColumn>
    <tableColumn id="62" xr3:uid="{8B669237-410E-4B70-AD70-B6C29D8E2806}" name="+4 (Medium)" dataDxfId="526">
      <calculatedColumnFormula>INDEX(Encounter_Diff[Medium], MATCH(PartyCompare_1[[#This Row],[+4 Level]],Encounter_Diff[Player Level],0))</calculatedColumnFormula>
    </tableColumn>
    <tableColumn id="63" xr3:uid="{30B48E9E-0852-4445-8185-1743266D5436}" name="+4 (Hard)" dataDxfId="525">
      <calculatedColumnFormula>INDEX(Encounter_Diff[Hard], MATCH(PartyCompare_1[[#This Row],[+4 Level]],Encounter_Diff[Player Level],0))</calculatedColumnFormula>
    </tableColumn>
    <tableColumn id="64" xr3:uid="{8B7BC42F-9134-4892-8CD5-F089D84F2941}" name="+4 (Deadly)" dataDxfId="524">
      <calculatedColumnFormula>INDEX(Encounter_Diff[Deadly], MATCH(PartyCompare_1[[#This Row],[+4 Level]],Encounter_Diff[Player Level],0))</calculatedColumnFormula>
    </tableColumn>
    <tableColumn id="65" xr3:uid="{2D2F9BC7-88B8-482C-82D2-1E69836403C7}" name="+4 Easy" dataDxfId="523"/>
    <tableColumn id="66" xr3:uid="{998D068E-CE0D-4DE8-ABC0-CD5FC731BA21}" name="+4 Medium" dataDxfId="522"/>
    <tableColumn id="67" xr3:uid="{55F4487F-D461-4F3F-9EAA-66A7B1421EE3}" name="+4 Hard" dataDxfId="521"/>
    <tableColumn id="68" xr3:uid="{1763AF85-FA0A-45CF-9FAF-DFE5DB9588B8}" name="+4 Deadly" dataDxfId="520"/>
    <tableColumn id="69" xr3:uid="{04B420EC-8964-438B-93EA-1D3FEAE9A204}" name="+4 Easy Deviation" dataDxfId="519"/>
    <tableColumn id="70" xr3:uid="{DC892D2D-FA2C-4D50-B580-7498D5D131B6}" name="+4 Medium Deviation" dataDxfId="518"/>
    <tableColumn id="71" xr3:uid="{1FE2D579-5E78-46B2-8C66-04B97F367677}" name="+4 Hard Deviation" dataDxfId="517"/>
    <tableColumn id="72" xr3:uid="{964440D0-2879-4AFC-B620-B22492BAAE12}" name="+4 Deadly Deviation" dataDxfId="516"/>
    <tableColumn id="73" xr3:uid="{6B7C9DDA-59D8-4882-87F6-0F31DA208D97}" name="+4 Average Deviation" dataDxfId="515"/>
  </tableColumns>
  <tableStyleInfo name="Table Style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ECFCC0E-42FF-4809-8FD9-B599A96F4119}" name="PartyCompare_7" displayName="PartyCompare_7" ref="M66:CI74" totalsRowShown="0" headerRowDxfId="514" dataDxfId="513">
  <tableColumns count="75">
    <tableColumn id="1" xr3:uid="{5E391609-E7B9-4091-B94D-3CA709012FAC}" name="Party Member" dataDxfId="512"/>
    <tableColumn id="2" xr3:uid="{8C322684-0ECC-4537-A280-C9808F9673AF}" name="Level" dataDxfId="511"/>
    <tableColumn id="3" xr3:uid="{C9D09745-0E4E-4412-B529-5554FEFFCE7B}" name="(Easy)" dataDxfId="510">
      <calculatedColumnFormula>INDEX(Encounter_Diff[Easy], MATCH(PartyCompare_7[[#This Row],[Level]],Encounter_Diff[Player Level],0))</calculatedColumnFormula>
    </tableColumn>
    <tableColumn id="4" xr3:uid="{778CF148-6D36-47E1-894D-17F42F172FFC}" name="(Medium)" dataDxfId="509">
      <calculatedColumnFormula>INDEX(Encounter_Diff[Medium], MATCH(PartyCompare_7[[#This Row],[Level]],Encounter_Diff[Player Level],0))</calculatedColumnFormula>
    </tableColumn>
    <tableColumn id="5" xr3:uid="{A0680C97-F586-415D-BC67-DB547E9452E8}" name="(Hard)" dataDxfId="508">
      <calculatedColumnFormula>INDEX(Encounter_Diff[Hard], MATCH(PartyCompare_7[[#This Row],[Level]],Encounter_Diff[Player Level],0))</calculatedColumnFormula>
    </tableColumn>
    <tableColumn id="6" xr3:uid="{F0B1815C-D74C-449A-A4D7-2E14F8E4F706}" name="(Deadly)" dataDxfId="507">
      <calculatedColumnFormula>INDEX(Encounter_Diff[Deadly], MATCH(PartyCompare_7[[#This Row],[Level]],Encounter_Diff[Player Level],0))</calculatedColumnFormula>
    </tableColumn>
    <tableColumn id="75" xr3:uid="{579B3146-D73F-4536-99FB-7E99182FBF20}" name="Party Name" dataDxfId="506"/>
    <tableColumn id="18" xr3:uid="{980822D1-9C29-419C-8542-99350B734F32}" name="Party Size" dataDxfId="505">
      <calculatedColumnFormula>IF(COUNT(PartyCompare_7[Level])&lt;=2,"Small", IF(COUNT(PartyCompare_7[Level])&lt;=5,"Med", IF(COUNT(PartyCompare_7[Level])&lt;=8, "Large", "TOO BIG!")))</calculatedColumnFormula>
    </tableColumn>
    <tableColumn id="8" xr3:uid="{20D98FC5-2CBD-4CF1-A0D4-E20248CF9558}" name="Mob Size" dataDxfId="504"/>
    <tableColumn id="74" xr3:uid="{8680F87E-D7CB-4562-92DF-61224A6F6387}" name="Mob Count" dataDxfId="503"/>
    <tableColumn id="9" xr3:uid="{D5994646-5857-4C74-9631-8CD81A3E9284}" name="Easy" dataDxfId="502"/>
    <tableColumn id="10" xr3:uid="{D801520F-E15F-4331-9C3A-EFE69418BD1D}" name="Medium" dataDxfId="501">
      <calculatedColumnFormula>SUM(PartyCompare_7[(Medium)])/INDEX(Encounter_Mod[[Small]:[Large]], MATCH(PartyCompare_7[[#This Row],[Mob Size]], Encounter_Mod[Type], 0), MATCH(PartyCompare_7[[#This Row],[Party Size]],Encounter_Mod[[#Headers],[Small]:[Large]],0))</calculatedColumnFormula>
    </tableColumn>
    <tableColumn id="11" xr3:uid="{790A7CD7-0EFD-4BDF-B812-5017B4E16433}" name="Hard" dataDxfId="500">
      <calculatedColumnFormula>SUM(PartyCompare_7[(Hard)])/INDEX(Encounter_Mod[[Small]:[Large]], MATCH(PartyCompare_7[[#This Row],[Mob Size]], Encounter_Mod[Type], 0), MATCH(PartyCompare_7[[#This Row],[Party Size]],Encounter_Mod[[#Headers],[Small]:[Large]],0))</calculatedColumnFormula>
    </tableColumn>
    <tableColumn id="12" xr3:uid="{5D21CE11-427E-4C3C-995C-00F2D21E0713}" name="Deadly" dataDxfId="499">
      <calculatedColumnFormula>SUM(PartyCompare_7[(Deadly)])/INDEX(Encounter_Mod[[Small]:[Large]], MATCH(PartyCompare_7[[#This Row],[Mob Size]], Encounter_Mod[Type], 0), MATCH(PartyCompare_7[[#This Row],[Party Size]],Encounter_Mod[[#Headers],[Small]:[Large]],0))</calculatedColumnFormula>
    </tableColumn>
    <tableColumn id="13" xr3:uid="{DB11FBA8-47C4-4C59-9FA2-426F4AF897AC}" name="Easy Deviation" dataDxfId="498">
      <calculatedColumnFormula>(PartyCompare_7[[#This Row],[Easy]]-INDEX(PartyCompare_0[Easy], MATCH(PartyCompare_7[[#This Row],[Mob Size]],PartyCompare_0[Mob Size],0)))/INDEX(PartyCompare_0[Easy], MATCH(PartyCompare_7[[#This Row],[Mob Size]],PartyCompare_0[Mob Size],0))</calculatedColumnFormula>
    </tableColumn>
    <tableColumn id="14" xr3:uid="{2772C3B4-2872-49BF-9369-5FEA2DDD6C1F}" name="Medium Deviation" dataDxfId="497">
      <calculatedColumnFormula>(PartyCompare_7[[#This Row],[Medium]]-INDEX(PartyCompare_0[Medium], MATCH(PartyCompare_7[[#This Row],[Mob Size]],PartyCompare_0[Mob Size],0)))/INDEX(PartyCompare_0[Medium], MATCH(PartyCompare_7[[#This Row],[Mob Size]],PartyCompare_0[Mob Size],0))</calculatedColumnFormula>
    </tableColumn>
    <tableColumn id="15" xr3:uid="{490BFA2F-4E41-4DD7-BF40-8ED0744D52EA}" name="Hard Deviation" dataDxfId="496">
      <calculatedColumnFormula>(PartyCompare_7[[#This Row],[Hard]]-INDEX(PartyCompare_0[Hard], MATCH(PartyCompare_7[[#This Row],[Mob Size]],PartyCompare_0[Mob Size],0)))/INDEX(PartyCompare_0[Hard], MATCH(PartyCompare_7[[#This Row],[Mob Size]],PartyCompare_0[Mob Size],0))</calculatedColumnFormula>
    </tableColumn>
    <tableColumn id="16" xr3:uid="{B955B241-497E-4E7E-A395-10D8863816D1}" name="Deadly Deviation" dataDxfId="495">
      <calculatedColumnFormula>(PartyCompare_7[[#This Row],[Deadly]]-INDEX(PartyCompare_0[Deadly], MATCH(PartyCompare_7[[#This Row],[Mob Size]],PartyCompare_0[Mob Size],0)))/INDEX(PartyCompare_0[Deadly], MATCH(PartyCompare_7[[#This Row],[Mob Size]],PartyCompare_0[Mob Size],0))</calculatedColumnFormula>
    </tableColumn>
    <tableColumn id="17" xr3:uid="{A20A8CF9-8DFE-404B-9D14-783067157601}" name="Average Deviation" dataDxfId="494"/>
    <tableColumn id="7" xr3:uid="{43DEF5CF-9ED3-4D3F-B653-D2793E4C44E6}" name="+1 Level" dataDxfId="493">
      <calculatedColumnFormula>IF(ISNUMBER(PartyCompare_1[[#This Row],[Level]]), PartyCompare_1[[#This Row],[Level]]+1, PartyCompare_1[[#This Row],[Level]])</calculatedColumnFormula>
    </tableColumn>
    <tableColumn id="19" xr3:uid="{12CC5790-2A0B-4E52-B379-C23CA97A7E19}" name="+1 (Easy)" dataDxfId="492">
      <calculatedColumnFormula>INDEX(Encounter_Diff[Easy], MATCH(PartyCompare_1[[#This Row],[+1 Level]],Encounter_Diff[Player Level],0))</calculatedColumnFormula>
    </tableColumn>
    <tableColumn id="20" xr3:uid="{CDD9D681-17D8-415E-9A1D-1AF19E136D2F}" name="+1 (Medium)" dataDxfId="491">
      <calculatedColumnFormula>INDEX(Encounter_Diff[Medium], MATCH(PartyCompare_1[[#This Row],[+1 Level]],Encounter_Diff[Player Level],0))</calculatedColumnFormula>
    </tableColumn>
    <tableColumn id="21" xr3:uid="{C8EE5CE6-E942-493C-92C7-423836597B10}" name="+1 (Hard)" dataDxfId="490">
      <calculatedColumnFormula>INDEX(Encounter_Diff[Hard], MATCH(PartyCompare_1[[#This Row],[+1 Level]],Encounter_Diff[Player Level],0))</calculatedColumnFormula>
    </tableColumn>
    <tableColumn id="22" xr3:uid="{EC79A482-0088-468B-B337-DC0257D9840C}" name="+1 (Deadly)" dataDxfId="489">
      <calculatedColumnFormula>INDEX(Encounter_Diff[Deadly], MATCH(PartyCompare_1[[#This Row],[+1 Level]],Encounter_Diff[Player Level],0))</calculatedColumnFormula>
    </tableColumn>
    <tableColumn id="23" xr3:uid="{6CCF6A36-A77B-431C-810E-2A3B47BEBBDB}" name="+1 Easy" dataDxfId="488"/>
    <tableColumn id="24" xr3:uid="{558F5757-5E04-4A17-A78F-62F8EC2CE419}" name="+1 Medium" dataDxfId="487"/>
    <tableColumn id="25" xr3:uid="{FCCF0B5E-80F9-463C-86D2-CF38D525DACF}" name="+1 Hard" dataDxfId="486"/>
    <tableColumn id="26" xr3:uid="{1D242212-751B-4316-BB69-DF31908FA671}" name="+1 Deadly" dataDxfId="485"/>
    <tableColumn id="27" xr3:uid="{1BB999AC-DDEF-4914-8AAC-37536C82475F}" name="+1 Easy Deviation" dataDxfId="484"/>
    <tableColumn id="28" xr3:uid="{05061BA6-F6BE-4306-AA9D-49A41671E702}" name="+1 Medium Deviation" dataDxfId="483"/>
    <tableColumn id="29" xr3:uid="{AAD74F25-3A62-4EF0-AE41-08A724086224}" name="+1 Hard Deviation" dataDxfId="482"/>
    <tableColumn id="30" xr3:uid="{0C094D2B-DC3B-4085-8AF6-28A9CDD39C9D}" name="+1 Deadly Deviation" dataDxfId="481"/>
    <tableColumn id="31" xr3:uid="{DB32CB2B-DD49-470D-B8F9-525E99476DE5}" name="+1 Average Deviation" dataDxfId="480"/>
    <tableColumn id="32" xr3:uid="{64B2352F-B672-427A-AFCF-1037ACFF3A6C}" name="+2 Level" dataDxfId="479">
      <calculatedColumnFormula>IF(ISNUMBER(PartyCompare_1[[#This Row],[Level]]), PartyCompare_1[[#This Row],[Level]]+2, PartyCompare_1[[#This Row],[Level]])</calculatedColumnFormula>
    </tableColumn>
    <tableColumn id="33" xr3:uid="{764EEDED-4419-4C66-BF23-1BFBC335A952}" name="+2 (Easy)" dataDxfId="478">
      <calculatedColumnFormula>INDEX(Encounter_Diff[Easy], MATCH(PartyCompare_1[[#This Row],[+2 Level]],Encounter_Diff[Player Level],0))</calculatedColumnFormula>
    </tableColumn>
    <tableColumn id="34" xr3:uid="{C1D033BD-E66D-4005-9566-E37745818885}" name="+2 (Medium)" dataDxfId="477">
      <calculatedColumnFormula>INDEX(Encounter_Diff[Medium], MATCH(PartyCompare_1[[#This Row],[+2 Level]],Encounter_Diff[Player Level],0))</calculatedColumnFormula>
    </tableColumn>
    <tableColumn id="35" xr3:uid="{5B5E6094-5193-43A3-B593-486FBEB65BC6}" name="+2 (Hard)" dataDxfId="476">
      <calculatedColumnFormula>INDEX(Encounter_Diff[Hard], MATCH(PartyCompare_1[[#This Row],[+2 Level]],Encounter_Diff[Player Level],0))</calculatedColumnFormula>
    </tableColumn>
    <tableColumn id="36" xr3:uid="{D9E8FFED-B7D9-4952-91C7-F73FA1822B0D}" name="+2 (Deadly)" dataDxfId="475">
      <calculatedColumnFormula>INDEX(Encounter_Diff[Deadly], MATCH(PartyCompare_1[[#This Row],[+2 Level]],Encounter_Diff[Player Level],0))</calculatedColumnFormula>
    </tableColumn>
    <tableColumn id="37" xr3:uid="{8AD941BA-3AFA-476C-B14F-E1357A1526DA}" name="+2 Easy" dataDxfId="474"/>
    <tableColumn id="38" xr3:uid="{085BD591-9019-4452-A74C-9E3B1267315F}" name="+2 Medium" dataDxfId="473"/>
    <tableColumn id="39" xr3:uid="{199E5681-9777-47A1-84A6-F5D3F850946F}" name="+2 Hard" dataDxfId="472"/>
    <tableColumn id="40" xr3:uid="{84F9E8EF-EA6C-4CFB-9B9D-3417E5E65250}" name="+2 Deadly" dataDxfId="471"/>
    <tableColumn id="41" xr3:uid="{EA522017-6B97-476C-8252-193F938787FD}" name="+2 Easy Deviation" dataDxfId="470"/>
    <tableColumn id="42" xr3:uid="{BCAAC9B2-1078-429B-B9CE-6437A2363189}" name="+2 Medium Deviation" dataDxfId="469"/>
    <tableColumn id="43" xr3:uid="{7EDD9F05-D211-45BD-9CD5-78AD8C38A950}" name="+2 Hard Deviation" dataDxfId="468"/>
    <tableColumn id="44" xr3:uid="{B2A9B1A0-C6AC-4CA5-8485-776EC0CC6173}" name="+2 Deadly Deviation" dataDxfId="467"/>
    <tableColumn id="45" xr3:uid="{5C01AFA3-AF8E-43C1-A6F4-1FA6CCB39D63}" name="+2 Average Deviation" dataDxfId="466"/>
    <tableColumn id="46" xr3:uid="{81A004B6-2207-4B73-926E-59B696723D4A}" name="+3 Level" dataDxfId="465">
      <calculatedColumnFormula>IF(ISNUMBER(PartyCompare_1[[#This Row],[Level]]), PartyCompare_1[[#This Row],[Level]]+3, PartyCompare_1[[#This Row],[Level]])</calculatedColumnFormula>
    </tableColumn>
    <tableColumn id="47" xr3:uid="{73ECE6CC-D67A-477E-8BB7-E4F6C409786A}" name="+3 (Easy)" dataDxfId="464">
      <calculatedColumnFormula>INDEX(Encounter_Diff[Easy], MATCH(PartyCompare_1[[#This Row],[+3 Level]],Encounter_Diff[Player Level],0))</calculatedColumnFormula>
    </tableColumn>
    <tableColumn id="48" xr3:uid="{6BFFEBDB-6467-4601-844B-462773D2D2FC}" name="+3 (Medium)" dataDxfId="463">
      <calculatedColumnFormula>INDEX(Encounter_Diff[Medium], MATCH(PartyCompare_1[[#This Row],[+3 Level]],Encounter_Diff[Player Level],0))</calculatedColumnFormula>
    </tableColumn>
    <tableColumn id="49" xr3:uid="{800504BA-1E44-4561-B9F1-94C3329AE7E9}" name="+3 (Hard)" dataDxfId="462">
      <calculatedColumnFormula>INDEX(Encounter_Diff[Hard], MATCH(PartyCompare_1[[#This Row],[+3 Level]],Encounter_Diff[Player Level],0))</calculatedColumnFormula>
    </tableColumn>
    <tableColumn id="50" xr3:uid="{8EBD435E-F365-4529-B248-AF61F57898B0}" name="+3 (Deadly)" dataDxfId="461">
      <calculatedColumnFormula>INDEX(Encounter_Diff[Deadly], MATCH(PartyCompare_1[[#This Row],[+3 Level]],Encounter_Diff[Player Level],0))</calculatedColumnFormula>
    </tableColumn>
    <tableColumn id="51" xr3:uid="{C8BB5555-29DB-4071-8738-AACD9FB50AA4}" name="+3 Easy" dataDxfId="460"/>
    <tableColumn id="52" xr3:uid="{32801BC2-4A42-4790-A963-05AE093CC2DD}" name="+3 Medium" dataDxfId="459"/>
    <tableColumn id="53" xr3:uid="{049A1E38-C34C-4943-A16A-43F6783F031D}" name="+3 Hard" dataDxfId="458"/>
    <tableColumn id="54" xr3:uid="{7DE291C5-E485-4E53-921E-06F88F14342E}" name="+3 Deadly" dataDxfId="457"/>
    <tableColumn id="55" xr3:uid="{7E456855-12F1-4DC8-A470-BC3FCC4D4B1E}" name="+3 Easy Deviation" dataDxfId="456"/>
    <tableColumn id="56" xr3:uid="{656054C3-7061-4996-BCC8-A767DD4581C9}" name="+3 Medium Deviation" dataDxfId="455"/>
    <tableColumn id="57" xr3:uid="{96CF7EB8-BD73-4FC6-9E06-0438073FCAB7}" name="+3 Hard Deviation" dataDxfId="454"/>
    <tableColumn id="58" xr3:uid="{F1B7CC91-6F86-4426-9E6C-3EA1DAECD2F7}" name="+3 Deadly Deviation" dataDxfId="453"/>
    <tableColumn id="59" xr3:uid="{6390FA32-0C7B-4A19-89FB-CB531CD9B190}" name="+3 Average Deviation" dataDxfId="452"/>
    <tableColumn id="60" xr3:uid="{8456F05F-0FCE-4E49-BD30-4BA181C083BE}" name="+4 Level" dataDxfId="451">
      <calculatedColumnFormula>IF(ISNUMBER(PartyCompare_1[[#This Row],[Level]]), PartyCompare_1[[#This Row],[Level]]+4, PartyCompare_1[[#This Row],[Level]])</calculatedColumnFormula>
    </tableColumn>
    <tableColumn id="61" xr3:uid="{11249128-8080-47C8-93A9-349D36C3F94C}" name="+4 (Easy)" dataDxfId="450">
      <calculatedColumnFormula>INDEX(Encounter_Diff[Easy], MATCH(PartyCompare_1[[#This Row],[+4 Level]],Encounter_Diff[Player Level],0))</calculatedColumnFormula>
    </tableColumn>
    <tableColumn id="62" xr3:uid="{ECC19DF9-0422-431A-A442-03AA8A3E97BF}" name="+4 (Medium)" dataDxfId="449">
      <calculatedColumnFormula>INDEX(Encounter_Diff[Medium], MATCH(PartyCompare_1[[#This Row],[+4 Level]],Encounter_Diff[Player Level],0))</calculatedColumnFormula>
    </tableColumn>
    <tableColumn id="63" xr3:uid="{FF3BF447-97FA-4908-BAEA-45D1B41976B0}" name="+4 (Hard)" dataDxfId="448">
      <calculatedColumnFormula>INDEX(Encounter_Diff[Hard], MATCH(PartyCompare_1[[#This Row],[+4 Level]],Encounter_Diff[Player Level],0))</calculatedColumnFormula>
    </tableColumn>
    <tableColumn id="64" xr3:uid="{2CEF4A8A-736E-44ED-A007-1F7CB7E191DF}" name="+4 (Deadly)" dataDxfId="447">
      <calculatedColumnFormula>INDEX(Encounter_Diff[Deadly], MATCH(PartyCompare_1[[#This Row],[+4 Level]],Encounter_Diff[Player Level],0))</calculatedColumnFormula>
    </tableColumn>
    <tableColumn id="65" xr3:uid="{070DB1B3-FFFC-4C5F-9B43-1147AF57877F}" name="+4 Easy" dataDxfId="446"/>
    <tableColumn id="66" xr3:uid="{B20FE108-3A4A-4CFA-85D3-2D1D9845A5FE}" name="+4 Medium" dataDxfId="445"/>
    <tableColumn id="67" xr3:uid="{96F9C7AB-D7B9-46C6-9AE0-D401214562D4}" name="+4 Hard" dataDxfId="444"/>
    <tableColumn id="68" xr3:uid="{1F985E13-AC36-4572-87CB-0C4C8D0EE6C5}" name="+4 Deadly" dataDxfId="443"/>
    <tableColumn id="69" xr3:uid="{2825FAD6-0E12-45CB-9276-4E7FAC006CFB}" name="+4 Easy Deviation" dataDxfId="442"/>
    <tableColumn id="70" xr3:uid="{0A3C4D83-52F3-424A-A103-DEB3267346E6}" name="+4 Medium Deviation" dataDxfId="441"/>
    <tableColumn id="71" xr3:uid="{9EC980F7-B682-4C9D-B883-A11B9FCAC037}" name="+4 Hard Deviation" dataDxfId="440"/>
    <tableColumn id="72" xr3:uid="{28E6C057-63AF-4916-AC5C-CBC527B988B2}" name="+4 Deadly Deviation" dataDxfId="439"/>
    <tableColumn id="73" xr3:uid="{A14B474E-4E42-41E6-A3F6-07CF1863C3A1}" name="+4 Average Deviation" dataDxfId="438"/>
  </tableColumns>
  <tableStyleInfo name="Table Style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C0068C6-9C58-4460-8A2A-C72435630F2A}" name="PartyCompare_8" displayName="PartyCompare_8" ref="M75:CI83" totalsRowShown="0" headerRowDxfId="437" dataDxfId="436">
  <tableColumns count="75">
    <tableColumn id="1" xr3:uid="{3ED8B29E-0F40-4DC5-BA28-E42CD89FB899}" name="Party Member" dataDxfId="435"/>
    <tableColumn id="2" xr3:uid="{0FECC030-9A6F-41DF-8708-45A8FDE5EDE5}" name="Level" dataDxfId="434"/>
    <tableColumn id="3" xr3:uid="{55D84CE3-AE02-41BD-9609-E0D54A77B7CC}" name="(Easy)" dataDxfId="433">
      <calculatedColumnFormula>INDEX(Encounter_Diff[Easy], MATCH(PartyCompare_8[[#This Row],[Level]],Encounter_Diff[Player Level],0))</calculatedColumnFormula>
    </tableColumn>
    <tableColumn id="4" xr3:uid="{27DCAFF9-E688-4B71-B7EB-91A18812DDF0}" name="(Medium)" dataDxfId="432">
      <calculatedColumnFormula>INDEX(Encounter_Diff[Medium], MATCH(PartyCompare_8[[#This Row],[Level]],Encounter_Diff[Player Level],0))</calculatedColumnFormula>
    </tableColumn>
    <tableColumn id="5" xr3:uid="{5A2F63DD-C684-4D45-A23D-8F15C749A945}" name="(Hard)" dataDxfId="431">
      <calculatedColumnFormula>INDEX(Encounter_Diff[Hard], MATCH(PartyCompare_8[[#This Row],[Level]],Encounter_Diff[Player Level],0))</calculatedColumnFormula>
    </tableColumn>
    <tableColumn id="6" xr3:uid="{B17DCA41-D9DA-457E-8F0C-20172F7BFD30}" name="(Deadly)" dataDxfId="430">
      <calculatedColumnFormula>INDEX(Encounter_Diff[Deadly], MATCH(PartyCompare_8[[#This Row],[Level]],Encounter_Diff[Player Level],0))</calculatedColumnFormula>
    </tableColumn>
    <tableColumn id="75" xr3:uid="{4314F6B0-A739-432C-B5A2-7DDE0ABEE2DA}" name="Party Name" dataDxfId="429"/>
    <tableColumn id="18" xr3:uid="{451C2ACA-F684-43A0-B59C-CA97211ED6BB}" name="Party Size" dataDxfId="428">
      <calculatedColumnFormula>IF(COUNT(PartyCompare_8[Level])&lt;=2,"Small", IF(COUNT(PartyCompare_8[Level])&lt;=5,"Med", IF(COUNT(PartyCompare_8[Level])&lt;=8, "Large", "TOO BIG!")))</calculatedColumnFormula>
    </tableColumn>
    <tableColumn id="8" xr3:uid="{75641375-0CBE-48E5-BEBC-57A400AEA5F6}" name="Mob Size" dataDxfId="427"/>
    <tableColumn id="74" xr3:uid="{29FFFD6F-39B8-45BE-83A9-C54307FFAA13}" name="Mob Count" dataDxfId="426"/>
    <tableColumn id="9" xr3:uid="{DDFBAE5F-A2B6-402E-A333-C196D5DABF8C}" name="Easy" dataDxfId="425"/>
    <tableColumn id="10" xr3:uid="{097360AB-0447-44AD-9303-8B722A02B317}" name="Medium" dataDxfId="424">
      <calculatedColumnFormula>SUM(PartyCompare_8[(Medium)])/INDEX(Encounter_Mod[[Small]:[Large]], MATCH(PartyCompare_8[[#This Row],[Mob Size]], Encounter_Mod[Type], 0), MATCH(PartyCompare_8[[#This Row],[Party Size]],Encounter_Mod[[#Headers],[Small]:[Large]],0))</calculatedColumnFormula>
    </tableColumn>
    <tableColumn id="11" xr3:uid="{DD9AA770-F4A5-4825-A073-273BD68FF506}" name="Hard" dataDxfId="423">
      <calculatedColumnFormula>SUM(PartyCompare_8[(Hard)])/INDEX(Encounter_Mod[[Small]:[Large]], MATCH(PartyCompare_8[[#This Row],[Mob Size]], Encounter_Mod[Type], 0), MATCH(PartyCompare_8[[#This Row],[Party Size]],Encounter_Mod[[#Headers],[Small]:[Large]],0))</calculatedColumnFormula>
    </tableColumn>
    <tableColumn id="12" xr3:uid="{A2551987-B16A-4E37-8320-A217840408AE}" name="Deadly" dataDxfId="422">
      <calculatedColumnFormula>SUM(PartyCompare_8[(Deadly)])/INDEX(Encounter_Mod[[Small]:[Large]], MATCH(PartyCompare_8[[#This Row],[Mob Size]], Encounter_Mod[Type], 0), MATCH(PartyCompare_8[[#This Row],[Party Size]],Encounter_Mod[[#Headers],[Small]:[Large]],0))</calculatedColumnFormula>
    </tableColumn>
    <tableColumn id="13" xr3:uid="{28925FFE-4043-40F6-AA76-4BBBC475CC99}" name="Easy Deviation" dataDxfId="421">
      <calculatedColumnFormula>(PartyCompare_8[[#This Row],[Easy]]-INDEX(PartyCompare_0[Easy], MATCH(PartyCompare_8[[#This Row],[Mob Size]],PartyCompare_0[Mob Size],0)))/INDEX(PartyCompare_0[Easy], MATCH(PartyCompare_8[[#This Row],[Mob Size]],PartyCompare_0[Mob Size],0))</calculatedColumnFormula>
    </tableColumn>
    <tableColumn id="14" xr3:uid="{8651BB39-B7A4-4582-A804-CF218F965F85}" name="Medium Deviation" dataDxfId="420">
      <calculatedColumnFormula>(PartyCompare_8[[#This Row],[Medium]]-INDEX(PartyCompare_0[Medium], MATCH(PartyCompare_8[[#This Row],[Mob Size]],PartyCompare_0[Mob Size],0)))/INDEX(PartyCompare_0[Medium], MATCH(PartyCompare_8[[#This Row],[Mob Size]],PartyCompare_0[Mob Size],0))</calculatedColumnFormula>
    </tableColumn>
    <tableColumn id="15" xr3:uid="{80FA47DA-B909-4D76-B7FF-40702461224B}" name="Hard Deviation" dataDxfId="419">
      <calculatedColumnFormula>(PartyCompare_8[[#This Row],[Hard]]-INDEX(PartyCompare_0[Hard], MATCH(PartyCompare_8[[#This Row],[Mob Size]],PartyCompare_0[Mob Size],0)))/INDEX(PartyCompare_0[Hard], MATCH(PartyCompare_8[[#This Row],[Mob Size]],PartyCompare_0[Mob Size],0))</calculatedColumnFormula>
    </tableColumn>
    <tableColumn id="16" xr3:uid="{9BECC48A-268C-4460-991E-A494C3CBC29E}" name="Deadly Deviation" dataDxfId="418">
      <calculatedColumnFormula>(PartyCompare_8[[#This Row],[Deadly]]-INDEX(PartyCompare_0[Deadly], MATCH(PartyCompare_8[[#This Row],[Mob Size]],PartyCompare_0[Mob Size],0)))/INDEX(PartyCompare_0[Deadly], MATCH(PartyCompare_8[[#This Row],[Mob Size]],PartyCompare_0[Mob Size],0))</calculatedColumnFormula>
    </tableColumn>
    <tableColumn id="17" xr3:uid="{C1A6F204-9D65-4F0D-95CF-63A3ACD44D69}" name="Average Deviation" dataDxfId="417"/>
    <tableColumn id="7" xr3:uid="{F16204A6-A922-4EA9-8EE8-87CECBE4F174}" name="+1 Level" dataDxfId="416">
      <calculatedColumnFormula>IF(ISNUMBER(PartyCompare_1[[#This Row],[Level]]), PartyCompare_1[[#This Row],[Level]]+1, PartyCompare_1[[#This Row],[Level]])</calculatedColumnFormula>
    </tableColumn>
    <tableColumn id="19" xr3:uid="{0705D5AE-5DE2-49C6-AA59-27CE38627F35}" name="+1 (Easy)" dataDxfId="415">
      <calculatedColumnFormula>INDEX(Encounter_Diff[Easy], MATCH(PartyCompare_1[[#This Row],[+1 Level]],Encounter_Diff[Player Level],0))</calculatedColumnFormula>
    </tableColumn>
    <tableColumn id="20" xr3:uid="{0CD81C4C-A3EF-49F3-9013-E5D707EB7DD5}" name="+1 (Medium)" dataDxfId="414">
      <calculatedColumnFormula>INDEX(Encounter_Diff[Medium], MATCH(PartyCompare_1[[#This Row],[+1 Level]],Encounter_Diff[Player Level],0))</calculatedColumnFormula>
    </tableColumn>
    <tableColumn id="21" xr3:uid="{9C3D3AB4-A7C9-4E1E-B9C0-1D1EE267F03D}" name="+1 (Hard)" dataDxfId="413">
      <calculatedColumnFormula>INDEX(Encounter_Diff[Hard], MATCH(PartyCompare_1[[#This Row],[+1 Level]],Encounter_Diff[Player Level],0))</calculatedColumnFormula>
    </tableColumn>
    <tableColumn id="22" xr3:uid="{2BA1EF8D-AADD-4521-A11E-80856285ED2C}" name="+1 (Deadly)" dataDxfId="412">
      <calculatedColumnFormula>INDEX(Encounter_Diff[Deadly], MATCH(PartyCompare_1[[#This Row],[+1 Level]],Encounter_Diff[Player Level],0))</calculatedColumnFormula>
    </tableColumn>
    <tableColumn id="23" xr3:uid="{B3B92731-A6E7-4852-8EC1-9FB64F5B7DD8}" name="+1 Easy" dataDxfId="411"/>
    <tableColumn id="24" xr3:uid="{DEEDF662-553D-4BA2-B83C-817D507CC191}" name="+1 Medium" dataDxfId="410"/>
    <tableColumn id="25" xr3:uid="{E8B749FF-B474-4CAF-95A0-470D0934C926}" name="+1 Hard" dataDxfId="409"/>
    <tableColumn id="26" xr3:uid="{107B6201-E05B-4068-B953-CBEA0DC6BE41}" name="+1 Deadly" dataDxfId="408"/>
    <tableColumn id="27" xr3:uid="{7E6A3098-8C01-4A23-9263-2FCE93B577F3}" name="+1 Easy Deviation" dataDxfId="407"/>
    <tableColumn id="28" xr3:uid="{1E329470-3941-4DA9-AC8D-681BEAE7A6DE}" name="+1 Medium Deviation" dataDxfId="406"/>
    <tableColumn id="29" xr3:uid="{5597BC9A-5511-44A2-9666-CE8F1CAC7A0C}" name="+1 Hard Deviation" dataDxfId="405"/>
    <tableColumn id="30" xr3:uid="{7383ADD1-B02E-4D9F-B325-C0477E374354}" name="+1 Deadly Deviation" dataDxfId="404"/>
    <tableColumn id="31" xr3:uid="{FC8CEAAA-84D2-4119-BD3A-C2643E6DDBA7}" name="+1 Average Deviation" dataDxfId="403"/>
    <tableColumn id="32" xr3:uid="{4AA041C1-6E5E-48EC-A7BB-13854CDAB08B}" name="+2 Level" dataDxfId="402">
      <calculatedColumnFormula>IF(ISNUMBER(PartyCompare_1[[#This Row],[Level]]), PartyCompare_1[[#This Row],[Level]]+2, PartyCompare_1[[#This Row],[Level]])</calculatedColumnFormula>
    </tableColumn>
    <tableColumn id="33" xr3:uid="{3813F5E1-B53D-4FB0-8F1B-1E092D0878BE}" name="+2 (Easy)" dataDxfId="401">
      <calculatedColumnFormula>INDEX(Encounter_Diff[Easy], MATCH(PartyCompare_1[[#This Row],[+2 Level]],Encounter_Diff[Player Level],0))</calculatedColumnFormula>
    </tableColumn>
    <tableColumn id="34" xr3:uid="{2507C3D1-3BF4-4F2B-B78D-316E5B1BE85A}" name="+2 (Medium)" dataDxfId="400">
      <calculatedColumnFormula>INDEX(Encounter_Diff[Medium], MATCH(PartyCompare_1[[#This Row],[+2 Level]],Encounter_Diff[Player Level],0))</calculatedColumnFormula>
    </tableColumn>
    <tableColumn id="35" xr3:uid="{3EB19C05-740D-4829-93B7-0293235271AA}" name="+2 (Hard)" dataDxfId="399">
      <calculatedColumnFormula>INDEX(Encounter_Diff[Hard], MATCH(PartyCompare_1[[#This Row],[+2 Level]],Encounter_Diff[Player Level],0))</calculatedColumnFormula>
    </tableColumn>
    <tableColumn id="36" xr3:uid="{9DC145E4-8D07-4447-9CA4-4958F8F13E05}" name="+2 (Deadly)" dataDxfId="398">
      <calculatedColumnFormula>INDEX(Encounter_Diff[Deadly], MATCH(PartyCompare_1[[#This Row],[+2 Level]],Encounter_Diff[Player Level],0))</calculatedColumnFormula>
    </tableColumn>
    <tableColumn id="37" xr3:uid="{495CA409-EEF6-4752-A9DC-7CC6DB7EC8E6}" name="+2 Easy" dataDxfId="397"/>
    <tableColumn id="38" xr3:uid="{044743C2-4FD1-46AA-8BFB-8EAF6EAFD612}" name="+2 Medium" dataDxfId="396"/>
    <tableColumn id="39" xr3:uid="{B29D9C5C-40A8-45F3-A0A4-EA996ED4AD92}" name="+2 Hard" dataDxfId="395"/>
    <tableColumn id="40" xr3:uid="{5E63C917-C201-4565-80F1-3A22837FFDC2}" name="+2 Deadly" dataDxfId="394"/>
    <tableColumn id="41" xr3:uid="{3623EE16-FF6A-46EA-9CD8-93119E8B730B}" name="+2 Easy Deviation" dataDxfId="393"/>
    <tableColumn id="42" xr3:uid="{7425D79A-0786-4FF5-92C0-1FA53D5617C8}" name="+2 Medium Deviation" dataDxfId="392"/>
    <tableColumn id="43" xr3:uid="{B2D648DC-BBF2-4A65-A2C3-15B224BEAEF6}" name="+2 Hard Deviation" dataDxfId="391"/>
    <tableColumn id="44" xr3:uid="{884CE8FE-587D-4CAA-A00D-8CBC0681E8F1}" name="+2 Deadly Deviation" dataDxfId="390"/>
    <tableColumn id="45" xr3:uid="{EEA63ABE-1A99-45EF-B66B-4D6089AEBF7F}" name="+2 Average Deviation" dataDxfId="389"/>
    <tableColumn id="46" xr3:uid="{935CD7C8-1A7F-4AA9-B85E-642B895B75A3}" name="+3 Level" dataDxfId="388">
      <calculatedColumnFormula>IF(ISNUMBER(PartyCompare_1[[#This Row],[Level]]), PartyCompare_1[[#This Row],[Level]]+3, PartyCompare_1[[#This Row],[Level]])</calculatedColumnFormula>
    </tableColumn>
    <tableColumn id="47" xr3:uid="{0A10E960-584F-416C-A8C1-8419D830E619}" name="+3 (Easy)" dataDxfId="387">
      <calculatedColumnFormula>INDEX(Encounter_Diff[Easy], MATCH(PartyCompare_1[[#This Row],[+3 Level]],Encounter_Diff[Player Level],0))</calculatedColumnFormula>
    </tableColumn>
    <tableColumn id="48" xr3:uid="{9B0AD012-14DC-462E-9919-426B0FD7B78C}" name="+3 (Medium)" dataDxfId="386">
      <calculatedColumnFormula>INDEX(Encounter_Diff[Medium], MATCH(PartyCompare_1[[#This Row],[+3 Level]],Encounter_Diff[Player Level],0))</calculatedColumnFormula>
    </tableColumn>
    <tableColumn id="49" xr3:uid="{2693B037-4823-4802-B90A-2395C19D9182}" name="+3 (Hard)" dataDxfId="385">
      <calculatedColumnFormula>INDEX(Encounter_Diff[Hard], MATCH(PartyCompare_1[[#This Row],[+3 Level]],Encounter_Diff[Player Level],0))</calculatedColumnFormula>
    </tableColumn>
    <tableColumn id="50" xr3:uid="{00EAF87A-5687-479E-B81C-9F69DAE8BD9A}" name="+3 (Deadly)" dataDxfId="384">
      <calculatedColumnFormula>INDEX(Encounter_Diff[Deadly], MATCH(PartyCompare_1[[#This Row],[+3 Level]],Encounter_Diff[Player Level],0))</calculatedColumnFormula>
    </tableColumn>
    <tableColumn id="51" xr3:uid="{17ADA243-D7A6-487D-93AB-F889E82C62E8}" name="+3 Easy" dataDxfId="383"/>
    <tableColumn id="52" xr3:uid="{BBBA377F-E18B-41B6-AC1A-5904ED2FEA9C}" name="+3 Medium" dataDxfId="382"/>
    <tableColumn id="53" xr3:uid="{F7937AFF-01C8-464C-8EFF-D0CA780C2831}" name="+3 Hard" dataDxfId="381"/>
    <tableColumn id="54" xr3:uid="{C25E7F4F-DC37-4AD3-9656-072D73BAE796}" name="+3 Deadly" dataDxfId="380"/>
    <tableColumn id="55" xr3:uid="{4C1642BB-4378-4174-86BC-91EDDA43D051}" name="+3 Easy Deviation" dataDxfId="379"/>
    <tableColumn id="56" xr3:uid="{AE135A2B-E46A-4366-8EBE-238ABBFD4826}" name="+3 Medium Deviation" dataDxfId="378"/>
    <tableColumn id="57" xr3:uid="{4C9C98AF-4C0A-438E-9CA2-56CF57D2F18D}" name="+3 Hard Deviation" dataDxfId="377"/>
    <tableColumn id="58" xr3:uid="{91061DDF-B83D-41C2-8429-4DDD5AF9C276}" name="+3 Deadly Deviation" dataDxfId="376"/>
    <tableColumn id="59" xr3:uid="{F6BF211C-0F6D-4C75-A9F9-CCB7B16792A9}" name="+3 Average Deviation" dataDxfId="375"/>
    <tableColumn id="60" xr3:uid="{61E5FCA7-2916-4E1B-8036-F65B9EE1BF52}" name="+4 Level" dataDxfId="374">
      <calculatedColumnFormula>IF(ISNUMBER(PartyCompare_1[[#This Row],[Level]]), PartyCompare_1[[#This Row],[Level]]+4, PartyCompare_1[[#This Row],[Level]])</calculatedColumnFormula>
    </tableColumn>
    <tableColumn id="61" xr3:uid="{28089637-A2BF-4706-B281-724C806E84E6}" name="+4 (Easy)" dataDxfId="373">
      <calculatedColumnFormula>INDEX(Encounter_Diff[Easy], MATCH(PartyCompare_1[[#This Row],[+4 Level]],Encounter_Diff[Player Level],0))</calculatedColumnFormula>
    </tableColumn>
    <tableColumn id="62" xr3:uid="{BE794BBB-1AD3-45BC-83C4-9A9C4E8D55E0}" name="+4 (Medium)" dataDxfId="372">
      <calculatedColumnFormula>INDEX(Encounter_Diff[Medium], MATCH(PartyCompare_1[[#This Row],[+4 Level]],Encounter_Diff[Player Level],0))</calculatedColumnFormula>
    </tableColumn>
    <tableColumn id="63" xr3:uid="{DD3B2BF1-CAE2-4238-90B6-40BD9449EB5B}" name="+4 (Hard)" dataDxfId="371">
      <calculatedColumnFormula>INDEX(Encounter_Diff[Hard], MATCH(PartyCompare_1[[#This Row],[+4 Level]],Encounter_Diff[Player Level],0))</calculatedColumnFormula>
    </tableColumn>
    <tableColumn id="64" xr3:uid="{54DC21C9-7F1E-46D3-9946-717D5C1EDBF7}" name="+4 (Deadly)" dataDxfId="370">
      <calculatedColumnFormula>INDEX(Encounter_Diff[Deadly], MATCH(PartyCompare_1[[#This Row],[+4 Level]],Encounter_Diff[Player Level],0))</calculatedColumnFormula>
    </tableColumn>
    <tableColumn id="65" xr3:uid="{9D619911-17F5-443B-81B7-FCBAE75B3DAF}" name="+4 Easy" dataDxfId="369"/>
    <tableColumn id="66" xr3:uid="{7A418001-C2D0-4E9F-88E1-A759A7FEA2B2}" name="+4 Medium" dataDxfId="368"/>
    <tableColumn id="67" xr3:uid="{D63B10C8-C6A0-41C4-A4D7-9DB59B67B6C2}" name="+4 Hard" dataDxfId="367"/>
    <tableColumn id="68" xr3:uid="{3008247A-FFBA-4E90-B1E8-0841D050DCBF}" name="+4 Deadly" dataDxfId="366"/>
    <tableColumn id="69" xr3:uid="{95D07334-94A4-48E5-ACEF-31ADC34DF024}" name="+4 Easy Deviation" dataDxfId="365"/>
    <tableColumn id="70" xr3:uid="{E9BE83C5-1ADC-43AD-B072-7367517BC4E7}" name="+4 Medium Deviation" dataDxfId="364"/>
    <tableColumn id="71" xr3:uid="{BC29640D-DD11-460F-8D86-93FA9F161AD7}" name="+4 Hard Deviation" dataDxfId="363"/>
    <tableColumn id="72" xr3:uid="{635E5C9D-A835-4267-B3F9-A930842ABBC8}" name="+4 Deadly Deviation" dataDxfId="362"/>
    <tableColumn id="73" xr3:uid="{2904D82A-3AD3-4C24-A11D-83838867982A}" name="+4 Average Deviation" dataDxfId="361"/>
  </tableColumns>
  <tableStyleInfo name="Table Style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0E50E6-4E2A-4C1B-A02B-09A5FC48D3BB}" name="PartyCompare_9" displayName="PartyCompare_9" ref="M84:CI92" totalsRowShown="0" headerRowDxfId="360" dataDxfId="359">
  <tableColumns count="75">
    <tableColumn id="1" xr3:uid="{8DFB15CA-CD9B-40A7-BE3E-31853DC7A75F}" name="Party Member" dataDxfId="358"/>
    <tableColumn id="2" xr3:uid="{F1F1B1AE-ABCF-4187-93B4-F9A1EC63B2D3}" name="Level" dataDxfId="357"/>
    <tableColumn id="3" xr3:uid="{7462A391-80C9-4007-8685-676E50A9E423}" name="(Easy)" dataDxfId="356">
      <calculatedColumnFormula>INDEX(Encounter_Diff[Easy], MATCH(PartyCompare_9[[#This Row],[Level]],Encounter_Diff[Player Level],0))</calculatedColumnFormula>
    </tableColumn>
    <tableColumn id="4" xr3:uid="{C04B2778-AF62-43FB-90C5-769D1AE42197}" name="(Medium)" dataDxfId="355">
      <calculatedColumnFormula>INDEX(Encounter_Diff[Medium], MATCH(PartyCompare_9[[#This Row],[Level]],Encounter_Diff[Player Level],0))</calculatedColumnFormula>
    </tableColumn>
    <tableColumn id="5" xr3:uid="{88A719FE-C26A-45F5-8371-338B0C0AC8C7}" name="(Hard)" dataDxfId="354">
      <calculatedColumnFormula>INDEX(Encounter_Diff[Hard], MATCH(PartyCompare_9[[#This Row],[Level]],Encounter_Diff[Player Level],0))</calculatedColumnFormula>
    </tableColumn>
    <tableColumn id="6" xr3:uid="{A1C31F4A-D248-4B5B-9829-8DD4156A4DB1}" name="(Deadly)" dataDxfId="353">
      <calculatedColumnFormula>INDEX(Encounter_Diff[Deadly], MATCH(PartyCompare_9[[#This Row],[Level]],Encounter_Diff[Player Level],0))</calculatedColumnFormula>
    </tableColumn>
    <tableColumn id="75" xr3:uid="{F74272A2-BCEE-41A0-A878-8F382C5047A5}" name="Party Name" dataDxfId="352"/>
    <tableColumn id="18" xr3:uid="{1B2F010A-B682-4C5F-B6B6-5DBE0B0D472F}" name="Party Size" dataDxfId="351">
      <calculatedColumnFormula>IF(COUNT(PartyCompare_9[Level])&lt;=2,"Small", IF(COUNT(PartyCompare_9[Level])&lt;=5,"Med", IF(COUNT(PartyCompare_9[Level])&lt;=8, "Large", "TOO BIG!")))</calculatedColumnFormula>
    </tableColumn>
    <tableColumn id="8" xr3:uid="{CD13B8EB-B01C-4190-B904-0DB448E8F3E6}" name="Mob Size" dataDxfId="350"/>
    <tableColumn id="74" xr3:uid="{22FF07B0-5914-471F-A869-40D4191ACEA1}" name="Mob Count" dataDxfId="349"/>
    <tableColumn id="9" xr3:uid="{EA5519D9-63CB-465C-868C-B6957F0C1613}" name="Easy" dataDxfId="348"/>
    <tableColumn id="10" xr3:uid="{22625141-27EF-4E45-AB06-B69F785DD501}" name="Medium" dataDxfId="347">
      <calculatedColumnFormula>SUM(PartyCompare_9[(Medium)])/INDEX(Encounter_Mod[[Small]:[Large]], MATCH(PartyCompare_9[[#This Row],[Mob Size]], Encounter_Mod[Type], 0), MATCH(PartyCompare_9[[#This Row],[Party Size]],Encounter_Mod[[#Headers],[Small]:[Large]],0))</calculatedColumnFormula>
    </tableColumn>
    <tableColumn id="11" xr3:uid="{9F845106-53A1-4D53-8409-03DC2BC31577}" name="Hard" dataDxfId="346">
      <calculatedColumnFormula>SUM(PartyCompare_9[(Hard)])/INDEX(Encounter_Mod[[Small]:[Large]], MATCH(PartyCompare_9[[#This Row],[Mob Size]], Encounter_Mod[Type], 0), MATCH(PartyCompare_9[[#This Row],[Party Size]],Encounter_Mod[[#Headers],[Small]:[Large]],0))</calculatedColumnFormula>
    </tableColumn>
    <tableColumn id="12" xr3:uid="{BDCD0617-1321-407F-855E-CB637CD973DE}" name="Deadly" dataDxfId="345">
      <calculatedColumnFormula>SUM(PartyCompare_9[(Deadly)])/INDEX(Encounter_Mod[[Small]:[Large]], MATCH(PartyCompare_9[[#This Row],[Mob Size]], Encounter_Mod[Type], 0), MATCH(PartyCompare_9[[#This Row],[Party Size]],Encounter_Mod[[#Headers],[Small]:[Large]],0))</calculatedColumnFormula>
    </tableColumn>
    <tableColumn id="13" xr3:uid="{26EF5310-4D73-4A69-8471-55CEA3EAF3AD}" name="Easy Deviation" dataDxfId="344">
      <calculatedColumnFormula>(PartyCompare_9[[#This Row],[Easy]]-INDEX(PartyCompare_0[Easy], MATCH(PartyCompare_9[[#This Row],[Mob Size]],PartyCompare_0[Mob Size],0)))/INDEX(PartyCompare_0[Easy], MATCH(PartyCompare_9[[#This Row],[Mob Size]],PartyCompare_0[Mob Size],0))</calculatedColumnFormula>
    </tableColumn>
    <tableColumn id="14" xr3:uid="{D72D67E3-5A5A-4482-826E-92DB55F548A2}" name="Medium Deviation" dataDxfId="343">
      <calculatedColumnFormula>(PartyCompare_9[[#This Row],[Medium]]-INDEX(PartyCompare_0[Medium], MATCH(PartyCompare_9[[#This Row],[Mob Size]],PartyCompare_0[Mob Size],0)))/INDEX(PartyCompare_0[Medium], MATCH(PartyCompare_9[[#This Row],[Mob Size]],PartyCompare_0[Mob Size],0))</calculatedColumnFormula>
    </tableColumn>
    <tableColumn id="15" xr3:uid="{34AAE654-79F7-433C-97B4-8A9B7C978365}" name="Hard Deviation" dataDxfId="342">
      <calculatedColumnFormula>(PartyCompare_9[[#This Row],[Hard]]-INDEX(PartyCompare_0[Hard], MATCH(PartyCompare_9[[#This Row],[Mob Size]],PartyCompare_0[Mob Size],0)))/INDEX(PartyCompare_0[Hard], MATCH(PartyCompare_9[[#This Row],[Mob Size]],PartyCompare_0[Mob Size],0))</calculatedColumnFormula>
    </tableColumn>
    <tableColumn id="16" xr3:uid="{8486144C-87D1-442E-9BB2-01E71A8019D9}" name="Deadly Deviation" dataDxfId="341">
      <calculatedColumnFormula>(PartyCompare_9[[#This Row],[Deadly]]-INDEX(PartyCompare_0[Deadly], MATCH(PartyCompare_9[[#This Row],[Mob Size]],PartyCompare_0[Mob Size],0)))/INDEX(PartyCompare_0[Deadly], MATCH(PartyCompare_9[[#This Row],[Mob Size]],PartyCompare_0[Mob Size],0))</calculatedColumnFormula>
    </tableColumn>
    <tableColumn id="17" xr3:uid="{0BBB4FA0-4164-4B31-A146-9B76CEB5160E}" name="Average Deviation" dataDxfId="340"/>
    <tableColumn id="7" xr3:uid="{AC7E1A54-5BA8-4DC9-967D-3F3415D6D017}" name="+1 Level" dataDxfId="339">
      <calculatedColumnFormula>IF(ISNUMBER(PartyCompare_1[[#This Row],[Level]]), PartyCompare_1[[#This Row],[Level]]+1, PartyCompare_1[[#This Row],[Level]])</calculatedColumnFormula>
    </tableColumn>
    <tableColumn id="19" xr3:uid="{3D8CD2DE-2419-4670-8CC3-B2BD02A9C8DE}" name="+1 (Easy)" dataDxfId="338">
      <calculatedColumnFormula>INDEX(Encounter_Diff[Easy], MATCH(PartyCompare_1[[#This Row],[+1 Level]],Encounter_Diff[Player Level],0))</calculatedColumnFormula>
    </tableColumn>
    <tableColumn id="20" xr3:uid="{59600C36-36D1-436D-AB1D-76A11BB9027E}" name="+1 (Medium)" dataDxfId="337">
      <calculatedColumnFormula>INDEX(Encounter_Diff[Medium], MATCH(PartyCompare_1[[#This Row],[+1 Level]],Encounter_Diff[Player Level],0))</calculatedColumnFormula>
    </tableColumn>
    <tableColumn id="21" xr3:uid="{77064D61-7228-492B-AD5C-28F9A0446486}" name="+1 (Hard)" dataDxfId="336">
      <calculatedColumnFormula>INDEX(Encounter_Diff[Hard], MATCH(PartyCompare_1[[#This Row],[+1 Level]],Encounter_Diff[Player Level],0))</calculatedColumnFormula>
    </tableColumn>
    <tableColumn id="22" xr3:uid="{202DC904-3229-4BAC-819D-D862C2CCBDFB}" name="+1 (Deadly)" dataDxfId="335">
      <calculatedColumnFormula>INDEX(Encounter_Diff[Deadly], MATCH(PartyCompare_1[[#This Row],[+1 Level]],Encounter_Diff[Player Level],0))</calculatedColumnFormula>
    </tableColumn>
    <tableColumn id="23" xr3:uid="{F82DB813-CFD6-435B-85FE-F44062A66278}" name="+1 Easy" dataDxfId="334"/>
    <tableColumn id="24" xr3:uid="{64A59950-77F6-4175-B473-A97C275C4BA7}" name="+1 Medium" dataDxfId="333"/>
    <tableColumn id="25" xr3:uid="{7316886E-E10E-4006-B72F-9FD881081B7A}" name="+1 Hard" dataDxfId="332"/>
    <tableColumn id="26" xr3:uid="{8C678DEE-8C70-4832-B9EF-2969E2990FA2}" name="+1 Deadly" dataDxfId="331"/>
    <tableColumn id="27" xr3:uid="{7FC34672-E09B-4DC4-958E-9D518A8BCE6E}" name="+1 Easy Deviation" dataDxfId="330"/>
    <tableColumn id="28" xr3:uid="{DD20C5D4-CAAE-47DC-B73A-67C28502A8E4}" name="+1 Medium Deviation" dataDxfId="329"/>
    <tableColumn id="29" xr3:uid="{DAC51B7A-8CDA-446B-9A6B-44B464956BBD}" name="+1 Hard Deviation" dataDxfId="328"/>
    <tableColumn id="30" xr3:uid="{852B1FBF-338D-4AE3-A31F-0DAC48A0BBCC}" name="+1 Deadly Deviation" dataDxfId="327"/>
    <tableColumn id="31" xr3:uid="{C372C8E0-9538-4063-81D5-84B6B7717275}" name="+1 Average Deviation" dataDxfId="326"/>
    <tableColumn id="32" xr3:uid="{A19CFD69-F2DA-4894-B16A-BEFCF924C106}" name="+2 Level" dataDxfId="325">
      <calculatedColumnFormula>IF(ISNUMBER(PartyCompare_1[[#This Row],[Level]]), PartyCompare_1[[#This Row],[Level]]+2, PartyCompare_1[[#This Row],[Level]])</calculatedColumnFormula>
    </tableColumn>
    <tableColumn id="33" xr3:uid="{CD496283-27A6-4B24-84E8-29A31C2060CF}" name="+2 (Easy)" dataDxfId="324">
      <calculatedColumnFormula>INDEX(Encounter_Diff[Easy], MATCH(PartyCompare_1[[#This Row],[+2 Level]],Encounter_Diff[Player Level],0))</calculatedColumnFormula>
    </tableColumn>
    <tableColumn id="34" xr3:uid="{C5FFD986-6EFB-4EA6-A246-DD9451F584A1}" name="+2 (Medium)" dataDxfId="323">
      <calculatedColumnFormula>INDEX(Encounter_Diff[Medium], MATCH(PartyCompare_1[[#This Row],[+2 Level]],Encounter_Diff[Player Level],0))</calculatedColumnFormula>
    </tableColumn>
    <tableColumn id="35" xr3:uid="{2493D058-C024-45FA-89EC-B37822D56008}" name="+2 (Hard)" dataDxfId="322">
      <calculatedColumnFormula>INDEX(Encounter_Diff[Hard], MATCH(PartyCompare_1[[#This Row],[+2 Level]],Encounter_Diff[Player Level],0))</calculatedColumnFormula>
    </tableColumn>
    <tableColumn id="36" xr3:uid="{2AB97BF8-00A0-43C7-8DC9-4FA4762D0A41}" name="+2 (Deadly)" dataDxfId="321">
      <calculatedColumnFormula>INDEX(Encounter_Diff[Deadly], MATCH(PartyCompare_1[[#This Row],[+2 Level]],Encounter_Diff[Player Level],0))</calculatedColumnFormula>
    </tableColumn>
    <tableColumn id="37" xr3:uid="{300814F7-2643-4670-90FE-FC581EDC2B9E}" name="+2 Easy" dataDxfId="320"/>
    <tableColumn id="38" xr3:uid="{AAD1FE77-7A6F-4AE8-ADC7-310151F1B69E}" name="+2 Medium" dataDxfId="319"/>
    <tableColumn id="39" xr3:uid="{074E7AB7-EB28-4F05-9458-4803353A517C}" name="+2 Hard" dataDxfId="318"/>
    <tableColumn id="40" xr3:uid="{6E720626-57D3-43AE-AA86-2AC1C9EAC118}" name="+2 Deadly" dataDxfId="317"/>
    <tableColumn id="41" xr3:uid="{996B032E-A92B-4786-A193-2B8A8F665ABE}" name="+2 Easy Deviation" dataDxfId="316"/>
    <tableColumn id="42" xr3:uid="{774140F7-492B-4DAB-93F4-929DCC84E274}" name="+2 Medium Deviation" dataDxfId="315"/>
    <tableColumn id="43" xr3:uid="{84E9BBA6-9B38-4B2D-AF84-27C0F4CF88BD}" name="+2 Hard Deviation" dataDxfId="314"/>
    <tableColumn id="44" xr3:uid="{EBD8EF90-959F-4BBA-B1FE-DEF53C90B0BE}" name="+2 Deadly Deviation" dataDxfId="313"/>
    <tableColumn id="45" xr3:uid="{E432F0EB-3966-4A81-9313-0FBE5BE85FCE}" name="+2 Average Deviation" dataDxfId="312"/>
    <tableColumn id="46" xr3:uid="{5C672464-409F-4C43-8879-992D3B78C22C}" name="+3 Level" dataDxfId="311">
      <calculatedColumnFormula>IF(ISNUMBER(PartyCompare_1[[#This Row],[Level]]), PartyCompare_1[[#This Row],[Level]]+3, PartyCompare_1[[#This Row],[Level]])</calculatedColumnFormula>
    </tableColumn>
    <tableColumn id="47" xr3:uid="{4DFCE9BF-4042-4738-856A-614B9C722694}" name="+3 (Easy)" dataDxfId="310">
      <calculatedColumnFormula>INDEX(Encounter_Diff[Easy], MATCH(PartyCompare_1[[#This Row],[+3 Level]],Encounter_Diff[Player Level],0))</calculatedColumnFormula>
    </tableColumn>
    <tableColumn id="48" xr3:uid="{66710CEA-BB42-4864-AD6E-0E26B3BE3738}" name="+3 (Medium)" dataDxfId="309">
      <calculatedColumnFormula>INDEX(Encounter_Diff[Medium], MATCH(PartyCompare_1[[#This Row],[+3 Level]],Encounter_Diff[Player Level],0))</calculatedColumnFormula>
    </tableColumn>
    <tableColumn id="49" xr3:uid="{66BD7D09-2010-4E6C-B546-61D254A51170}" name="+3 (Hard)" dataDxfId="308">
      <calculatedColumnFormula>INDEX(Encounter_Diff[Hard], MATCH(PartyCompare_1[[#This Row],[+3 Level]],Encounter_Diff[Player Level],0))</calculatedColumnFormula>
    </tableColumn>
    <tableColumn id="50" xr3:uid="{96DA9D4C-490A-458D-A0E6-398F9165401A}" name="+3 (Deadly)" dataDxfId="307">
      <calculatedColumnFormula>INDEX(Encounter_Diff[Deadly], MATCH(PartyCompare_1[[#This Row],[+3 Level]],Encounter_Diff[Player Level],0))</calculatedColumnFormula>
    </tableColumn>
    <tableColumn id="51" xr3:uid="{7AAFA67D-C1C0-48E8-A4EB-EBA8191C60FC}" name="+3 Easy" dataDxfId="306"/>
    <tableColumn id="52" xr3:uid="{5DBAC8CB-0ED9-41F0-8C97-54B8BF3EC15F}" name="+3 Medium" dataDxfId="305"/>
    <tableColumn id="53" xr3:uid="{081E1BBC-B5A4-4634-A50E-DB40B24D4F1D}" name="+3 Hard" dataDxfId="304"/>
    <tableColumn id="54" xr3:uid="{6F865CE2-F349-43E2-B992-2B66F9422E28}" name="+3 Deadly" dataDxfId="303"/>
    <tableColumn id="55" xr3:uid="{25C37955-A9B8-43CF-8F8A-D9BDC2BD19AC}" name="+3 Easy Deviation" dataDxfId="302"/>
    <tableColumn id="56" xr3:uid="{1F918832-038C-452E-BEB0-A9349EE8A73C}" name="+3 Medium Deviation" dataDxfId="301"/>
    <tableColumn id="57" xr3:uid="{9E44821F-0270-4C88-8525-44B76D119369}" name="+3 Hard Deviation" dataDxfId="300"/>
    <tableColumn id="58" xr3:uid="{5E80ED0A-D404-4D3D-BD8C-51F676260926}" name="+3 Deadly Deviation" dataDxfId="299"/>
    <tableColumn id="59" xr3:uid="{77660F61-C61C-4435-96D2-08753CE101CC}" name="+3 Average Deviation" dataDxfId="298"/>
    <tableColumn id="60" xr3:uid="{0CEB9386-BA62-4269-955B-B6B38C94B1D5}" name="+4 Level" dataDxfId="297">
      <calculatedColumnFormula>IF(ISNUMBER(PartyCompare_1[[#This Row],[Level]]), PartyCompare_1[[#This Row],[Level]]+4, PartyCompare_1[[#This Row],[Level]])</calculatedColumnFormula>
    </tableColumn>
    <tableColumn id="61" xr3:uid="{E2912BE1-3B1F-4CE5-85A9-9911F3E1772E}" name="+4 (Easy)" dataDxfId="296">
      <calculatedColumnFormula>INDEX(Encounter_Diff[Easy], MATCH(PartyCompare_1[[#This Row],[+4 Level]],Encounter_Diff[Player Level],0))</calculatedColumnFormula>
    </tableColumn>
    <tableColumn id="62" xr3:uid="{66664317-60FF-415C-AAD7-6F32AFEDEDDF}" name="+4 (Medium)" dataDxfId="295">
      <calculatedColumnFormula>INDEX(Encounter_Diff[Medium], MATCH(PartyCompare_1[[#This Row],[+4 Level]],Encounter_Diff[Player Level],0))</calculatedColumnFormula>
    </tableColumn>
    <tableColumn id="63" xr3:uid="{FAC11A27-C8BB-41DE-B223-CBA88E72BF0F}" name="+4 (Hard)" dataDxfId="294">
      <calculatedColumnFormula>INDEX(Encounter_Diff[Hard], MATCH(PartyCompare_1[[#This Row],[+4 Level]],Encounter_Diff[Player Level],0))</calculatedColumnFormula>
    </tableColumn>
    <tableColumn id="64" xr3:uid="{F53332A5-9E58-47AB-8E3A-C4F7A905CB75}" name="+4 (Deadly)" dataDxfId="293">
      <calculatedColumnFormula>INDEX(Encounter_Diff[Deadly], MATCH(PartyCompare_1[[#This Row],[+4 Level]],Encounter_Diff[Player Level],0))</calculatedColumnFormula>
    </tableColumn>
    <tableColumn id="65" xr3:uid="{4E6565A5-0DD2-4CAF-9C35-529F18C6E23D}" name="+4 Easy" dataDxfId="292"/>
    <tableColumn id="66" xr3:uid="{77D58602-F525-4BB8-B25D-1040B2593FFA}" name="+4 Medium" dataDxfId="291"/>
    <tableColumn id="67" xr3:uid="{456A15D5-225F-482B-AD72-9988D9C13E1C}" name="+4 Hard" dataDxfId="290"/>
    <tableColumn id="68" xr3:uid="{9FAD06AE-9351-42E6-B8C2-C4D4391B513B}" name="+4 Deadly" dataDxfId="289"/>
    <tableColumn id="69" xr3:uid="{224D1491-5F00-44E5-B858-367BDDC8C3E3}" name="+4 Easy Deviation" dataDxfId="288"/>
    <tableColumn id="70" xr3:uid="{E40BA661-6213-4AC6-B191-93492699ED2E}" name="+4 Medium Deviation" dataDxfId="287"/>
    <tableColumn id="71" xr3:uid="{75A13F63-035C-4C8D-A8C8-0328784BE4DF}" name="+4 Hard Deviation" dataDxfId="286"/>
    <tableColumn id="72" xr3:uid="{013992E3-13F8-4EED-8C59-A374EB0E9084}" name="+4 Deadly Deviation" dataDxfId="285"/>
    <tableColumn id="73" xr3:uid="{C37E17CD-C476-4E14-996C-85F4EDF86689}" name="+4 Average Deviation" dataDxfId="284"/>
  </tableColumns>
  <tableStyleInfo name="Table Style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B4E6991-D9DC-4F4B-8B19-3B5A594147F2}" name="Encounter0" displayName="Encounter0" ref="B4:W8" totalsRowShown="0" headerRowDxfId="283" dataDxfId="282" tableBorderDxfId="281">
  <autoFilter ref="B4:W8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sortState ref="B5:W8">
    <sortCondition descending="1" ref="B4:B8"/>
  </sortState>
  <tableColumns count="22">
    <tableColumn id="1" xr3:uid="{B17F9132-8082-4977-9F30-00EDAE1EB4C8}" name="Init" dataDxfId="280">
      <calculatedColumnFormula>IFERROR(INDEX(Database[], MATCH(Encounter0[[#This Row],[Character/Creature]], Database[Character/Creature], 0), MATCH(Encounter0[#Headers], Database[#Headers], 0)) + RANDBETWEEN(1,20), "")</calculatedColumnFormula>
    </tableColumn>
    <tableColumn id="14" xr3:uid="{5DDF2F4A-8993-4E90-B8BA-C280BC458AB4}" name="Party" dataDxfId="279"/>
    <tableColumn id="2" xr3:uid="{6B7DAA74-15BE-4620-9C29-78438319306B}" name="Character/Creature" dataDxfId="278"/>
    <tableColumn id="3" xr3:uid="{A9ABD290-EC50-4092-8AF0-A64DD869584E}" name="User" dataDxfId="277">
      <calculatedColumnFormula>IFERROR(INDEX(Database[], MATCH(Encounter0[[#This Row],[Character/Creature]], Database[Character/Creature], 0), MATCH(Encounter0[#Headers], Database[#Headers], 0)), "")</calculatedColumnFormula>
    </tableColumn>
    <tableColumn id="13" xr3:uid="{96F00A9E-564F-4AD3-99AB-7A678402F3E5}" name="Stealth" dataDxfId="276">
      <calculatedColumnFormula>IFERROR(INDEX(Database[], MATCH(Encounter0[[#This Row],[Character/Creature]], Database[Character/Creature], 0), MATCH(Encounter0[#Headers], Database[#Headers], 0)) + RANDBETWEEN(1,20), "")</calculatedColumnFormula>
    </tableColumn>
    <tableColumn id="5" xr3:uid="{D57A8FDE-0755-409B-A5F9-11EACA5D22FE}" name="Pass Perc" dataDxfId="275">
      <calculatedColumnFormula>IFERROR(INDEX(Database[], MATCH(Encounter0[[#This Row],[Character/Creature]], Database[Character/Creature], 0), MATCH(Encounter0[#Headers], Database[#Headers], 0)), "")</calculatedColumnFormula>
    </tableColumn>
    <tableColumn id="6" xr3:uid="{C16C7B01-503F-4EF1-AA59-EDD0A4B1D6C3}" name="AC" dataDxfId="274">
      <calculatedColumnFormula>IFERROR(INDEX(Database[], MATCH(Encounter0[[#This Row],[Character/Creature]], Database[Character/Creature], 0), MATCH(Encounter0[#Headers], Database[#Headers], 0)), "")</calculatedColumnFormula>
    </tableColumn>
    <tableColumn id="7" xr3:uid="{FCBEE0DE-563C-4E31-BB9A-7C8D0888D158}" name="Save DC" dataDxfId="273">
      <calculatedColumnFormula>IFERROR(INDEX(Database[], MATCH(Encounter0[[#This Row],[Character/Creature]], Database[Character/Creature], 0), MATCH(Encounter0[#Headers], Database[#Headers], 0)), "")</calculatedColumnFormula>
    </tableColumn>
    <tableColumn id="21" xr3:uid="{7598C0FA-8F70-45DF-B7AC-D923687937B7}" name="Add Stat" dataDxfId="272" dataCellStyle="Editable"/>
    <tableColumn id="8" xr3:uid="{0E8EEDCF-F018-4F28-B94F-439E8619F14B}" name="Status/Notes" dataDxfId="271">
      <calculatedColumnFormula>IFERROR(INDEX(Database[], MATCH(Encounter0[[#This Row],[Character/Creature]], Database[Character/Creature], 0), MATCH(Encounter0[#Headers], Database[#Headers], 0)), "")</calculatedColumnFormula>
    </tableColumn>
    <tableColumn id="12" xr3:uid="{2B85FA01-76CD-44FB-95BB-A561E6D862C8}" name="Temp HP" dataDxfId="270">
      <calculatedColumnFormula>IFERROR(INDEX(Database[], MATCH(Encounter0[[#This Row],[Character/Creature]], Database[Character/Creature], 0), MATCH(Encounter0[#Headers], Database[#Headers], 0)), "")</calculatedColumnFormula>
    </tableColumn>
    <tableColumn id="9" xr3:uid="{488EF990-6738-48D9-B314-3BE7351488A2}" name="Base HP" dataDxfId="269">
      <calculatedColumnFormula>IFERROR(INDEX(Database[], MATCH(Encounter0[[#This Row],[Character/Creature]], Database[Character/Creature], 0), MATCH(Encounter0[#Headers], Database[#Headers], 0)), "")</calculatedColumnFormula>
    </tableColumn>
    <tableColumn id="23" xr3:uid="{102724D9-B1BC-45BA-89EA-11E57AD9439B}" name="Mod Dmg" dataDxfId="268" dataCellStyle="Editable"/>
    <tableColumn id="10" xr3:uid="{D4977AB5-84D1-4356-9631-1767980F0B35}" name="Dmg Taken" dataDxfId="267">
      <calculatedColumnFormula>IFERROR(INDEX(Database[], MATCH(Encounter0[[#This Row],[Character/Creature]], Database[Character/Creature], 0), MATCH(Encounter0[#Headers], Database[#Headers], 0)), "")</calculatedColumnFormula>
    </tableColumn>
    <tableColumn id="11" xr3:uid="{2A9A8DF3-DD45-4B18-A260-E97198D23EB1}" name="Current HP" dataDxfId="266">
      <calculatedColumnFormula>IFERROR(Encounter0[[#This Row],[Base HP]]+Encounter0[Temp HP]-Encounter0[[#This Row],[Dmg Taken]], "")</calculatedColumnFormula>
    </tableColumn>
    <tableColumn id="15" xr3:uid="{C792EE21-C599-4A0A-9341-C1A532A9248E}" name="Lvl" dataDxfId="265">
      <calculatedColumnFormula>IFERROR(INDEX(Database[], MATCH(Encounter0[[#This Row],[Character/Creature]], Database[Character/Creature], 0), MATCH(Encounter0[#Headers], Database[#Headers], 0)), "")</calculatedColumnFormula>
    </tableColumn>
    <tableColumn id="4" xr3:uid="{08B6EBA1-9325-4AF7-B19F-ABF9F3C4AAB3}" name="Easy" dataDxfId="264">
      <calculatedColumnFormula>INDEX(Encounter_Diff[], MATCH(Encounter0[[#This Row],[Lvl]], Encounter_Diff[Player Level], 0), MATCH(Encounter0[#Headers], Encounter_Diff[#Headers], 0))</calculatedColumnFormula>
    </tableColumn>
    <tableColumn id="18" xr3:uid="{325D442F-7AE2-42FF-B23A-186D28AEBACD}" name="Medium" dataDxfId="263">
      <calculatedColumnFormula>INDEX(Encounter_Diff[], MATCH(Encounter0[[#This Row],[Lvl]], Encounter_Diff[Player Level], 0), MATCH(Encounter0[#Headers], Encounter_Diff[#Headers], 0))</calculatedColumnFormula>
    </tableColumn>
    <tableColumn id="19" xr3:uid="{B61DD8F8-39F8-42E9-B411-817CBDEEAC58}" name="Hard" dataDxfId="262">
      <calculatedColumnFormula>INDEX(Encounter_Diff[], MATCH(Encounter0[[#This Row],[Lvl]], Encounter_Diff[Player Level], 0), MATCH(Encounter0[#Headers], Encounter_Diff[#Headers], 0))</calculatedColumnFormula>
    </tableColumn>
    <tableColumn id="20" xr3:uid="{C8DB3CD5-9D21-481E-8212-EB5DDF7B362F}" name="Deadly" dataDxfId="261">
      <calculatedColumnFormula>INDEX(Encounter_Diff[], MATCH(Encounter0[[#This Row],[Lvl]], Encounter_Diff[Player Level], 0), MATCH(Encounter0[#Headers], Encounter_Diff[#Headers], 0))</calculatedColumnFormula>
    </tableColumn>
    <tableColumn id="16" xr3:uid="{EEF9F769-703E-4347-938F-FBD0C51A4BF3}" name="CR" dataDxfId="260">
      <calculatedColumnFormula>IFERROR(INDEX(Database[], MATCH(Encounter0[[#This Row],[Character/Creature]], Database[Character/Creature], 0), MATCH(Encounter0[#Headers], Database[#Headers], 0)), "")</calculatedColumnFormula>
    </tableColumn>
    <tableColumn id="17" xr3:uid="{7F8AD0F3-621B-4769-9576-02CAE5E563D1}" name="XP" dataDxfId="259">
      <calculatedColumnFormula>IF(ISBLANK(Encounter0[Party]), INDEX(ChallengeRating[XP], MATCH(Encounter0[CR], ChallengeRating[Challenge Rating], 0)), 0)</calculatedColumnFormula>
    </tableColumn>
  </tableColumns>
  <tableStyleInfo name="TableStyleLight15 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1DE365-F857-43D0-ACF2-4F48D54BE3A8}" name="Encounter06" displayName="Encounter06" ref="B4:W11" totalsRowShown="0" headerRowDxfId="258" dataDxfId="257" tableBorderDxfId="256">
  <autoFilter ref="B4:W11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sortState ref="B5:W8">
    <sortCondition descending="1" ref="B4:B8"/>
  </sortState>
  <tableColumns count="22">
    <tableColumn id="1" xr3:uid="{18CC3FE0-8DAF-4C9A-B54A-57813565F380}" name="Init" dataDxfId="255">
      <calculatedColumnFormula>IFERROR(INDEX(Database[], MATCH(Encounter06[[#This Row],[Character/Creature]], Database[Character/Creature], 0), MATCH(Encounter06[#Headers], Database[#Headers], 0)) + RANDBETWEEN(1,20), "")</calculatedColumnFormula>
    </tableColumn>
    <tableColumn id="14" xr3:uid="{A8D793E9-E512-4208-9621-F579AA50DFC5}" name="Party" dataDxfId="254"/>
    <tableColumn id="2" xr3:uid="{1008D023-AE0D-4042-95EB-5A1A7028011A}" name="Character/Creature" dataDxfId="253"/>
    <tableColumn id="3" xr3:uid="{D0D3929C-631F-4C3C-A26C-4D362A40F913}" name="User" dataDxfId="252">
      <calculatedColumnFormula>IFERROR(INDEX(Database[], MATCH(Encounter06[[#This Row],[Character/Creature]], Database[Character/Creature], 0), MATCH(Encounter06[#Headers], Database[#Headers], 0)), "")</calculatedColumnFormula>
    </tableColumn>
    <tableColumn id="13" xr3:uid="{D6919D07-0149-4437-9511-ED9576971402}" name="Stealth" dataDxfId="251">
      <calculatedColumnFormula>IFERROR(INDEX(Database[], MATCH(Encounter06[[#This Row],[Character/Creature]], Database[Character/Creature], 0), MATCH(Encounter06[#Headers], Database[#Headers], 0)) + RANDBETWEEN(1,20), "")</calculatedColumnFormula>
    </tableColumn>
    <tableColumn id="5" xr3:uid="{A06997FB-88F7-445C-AC47-661CBCC2C7E5}" name="Pass Perc" dataDxfId="250">
      <calculatedColumnFormula>IFERROR(INDEX(Database[], MATCH(Encounter06[[#This Row],[Character/Creature]], Database[Character/Creature], 0), MATCH(Encounter06[#Headers], Database[#Headers], 0)), "")</calculatedColumnFormula>
    </tableColumn>
    <tableColumn id="6" xr3:uid="{4499DC92-0C73-4A53-B6E6-3A36C28CCD92}" name="AC" dataDxfId="249">
      <calculatedColumnFormula>IFERROR(INDEX(Database[], MATCH(Encounter06[[#This Row],[Character/Creature]], Database[Character/Creature], 0), MATCH(Encounter06[#Headers], Database[#Headers], 0)), "")</calculatedColumnFormula>
    </tableColumn>
    <tableColumn id="7" xr3:uid="{4AADCD39-B28E-4C96-8417-35C48565A41B}" name="Save DC" dataDxfId="248">
      <calculatedColumnFormula>IFERROR(INDEX(Database[], MATCH(Encounter06[[#This Row],[Character/Creature]], Database[Character/Creature], 0), MATCH(Encounter06[#Headers], Database[#Headers], 0)), "")</calculatedColumnFormula>
    </tableColumn>
    <tableColumn id="21" xr3:uid="{016EA38E-0867-4FC1-8E6F-C92A6BB1C9F2}" name="Add Stat" dataDxfId="247" dataCellStyle="Editable"/>
    <tableColumn id="8" xr3:uid="{9FCC3CCB-2669-4BE8-97B4-B5F3973269D2}" name="Status/Notes" dataDxfId="246">
      <calculatedColumnFormula>IFERROR(INDEX(Database[], MATCH(Encounter06[[#This Row],[Character/Creature]], Database[Character/Creature], 0), MATCH(Encounter06[#Headers], Database[#Headers], 0)), "")</calculatedColumnFormula>
    </tableColumn>
    <tableColumn id="12" xr3:uid="{512B9E87-68CD-40C1-9459-05963512A1A9}" name="Temp HP" dataDxfId="245">
      <calculatedColumnFormula>IFERROR(INDEX(Database[], MATCH(Encounter06[[#This Row],[Character/Creature]], Database[Character/Creature], 0), MATCH(Encounter06[#Headers], Database[#Headers], 0)), "")</calculatedColumnFormula>
    </tableColumn>
    <tableColumn id="9" xr3:uid="{1E3A9AF5-A4DC-42F0-AEAF-F0CBA13FE50E}" name="Base HP" dataDxfId="244">
      <calculatedColumnFormula>IFERROR(INDEX(Database[], MATCH(Encounter06[[#This Row],[Character/Creature]], Database[Character/Creature], 0), MATCH(Encounter06[#Headers], Database[#Headers], 0)), "")</calculatedColumnFormula>
    </tableColumn>
    <tableColumn id="23" xr3:uid="{92BF517F-5F2C-4DFF-821B-186B579C7C6E}" name="Mod Dmg" dataDxfId="243" dataCellStyle="Editable"/>
    <tableColumn id="10" xr3:uid="{938C4E19-D95F-49FC-9FDD-C34D1921EE59}" name="Dmg Taken" dataDxfId="242">
      <calculatedColumnFormula>IFERROR(INDEX(Database[], MATCH(Encounter06[[#This Row],[Character/Creature]], Database[Character/Creature], 0), MATCH(Encounter06[#Headers], Database[#Headers], 0)), "")</calculatedColumnFormula>
    </tableColumn>
    <tableColumn id="11" xr3:uid="{5EFA7A82-BADC-494C-BE89-62165F32DE39}" name="Current HP" dataDxfId="241">
      <calculatedColumnFormula>IFERROR(Encounter06[[#This Row],[Base HP]]+Encounter06[Temp HP]-Encounter06[[#This Row],[Dmg Taken]], "")</calculatedColumnFormula>
    </tableColumn>
    <tableColumn id="15" xr3:uid="{CD78A9FD-1870-4DA9-A32F-F942504DB949}" name="Lvl" dataDxfId="240">
      <calculatedColumnFormula>IFERROR(INDEX(Database[], MATCH(Encounter06[[#This Row],[Character/Creature]], Database[Character/Creature], 0), MATCH(Encounter06[#Headers], Database[#Headers], 0)), "")</calculatedColumnFormula>
    </tableColumn>
    <tableColumn id="4" xr3:uid="{0E1F5F8D-7048-489D-91AD-94C20FBE88C8}" name="Easy" dataDxfId="239">
      <calculatedColumnFormula>INDEX(Encounter_Diff[], MATCH(Encounter06[[#This Row],[Lvl]], Encounter_Diff[Player Level], 0), MATCH(Encounter06[#Headers], Encounter_Diff[#Headers], 0))</calculatedColumnFormula>
    </tableColumn>
    <tableColumn id="18" xr3:uid="{799F6928-8F60-43C7-91AD-2BA6C4F2C70C}" name="Medium" dataDxfId="238">
      <calculatedColumnFormula>INDEX(Encounter_Diff[], MATCH(Encounter06[[#This Row],[Lvl]], Encounter_Diff[Player Level], 0), MATCH(Encounter06[#Headers], Encounter_Diff[#Headers], 0))</calculatedColumnFormula>
    </tableColumn>
    <tableColumn id="19" xr3:uid="{9A6B4A8B-16E7-40E7-9E4D-03CB16CA7CB5}" name="Hard" dataDxfId="237">
      <calculatedColumnFormula>INDEX(Encounter_Diff[], MATCH(Encounter06[[#This Row],[Lvl]], Encounter_Diff[Player Level], 0), MATCH(Encounter06[#Headers], Encounter_Diff[#Headers], 0))</calculatedColumnFormula>
    </tableColumn>
    <tableColumn id="20" xr3:uid="{04514379-A2DE-4E2F-8CF8-5161FEA6EAC4}" name="Deadly" dataDxfId="236">
      <calculatedColumnFormula>INDEX(Encounter_Diff[], MATCH(Encounter06[[#This Row],[Lvl]], Encounter_Diff[Player Level], 0), MATCH(Encounter06[#Headers], Encounter_Diff[#Headers], 0))</calculatedColumnFormula>
    </tableColumn>
    <tableColumn id="16" xr3:uid="{E572C7BE-5FE7-453E-86FD-620BBB3A062B}" name="CR" dataDxfId="235">
      <calculatedColumnFormula>IFERROR(INDEX(Database[], MATCH(Encounter06[[#This Row],[Character/Creature]], Database[Character/Creature], 0), MATCH(Encounter06[#Headers], Database[#Headers], 0)), "")</calculatedColumnFormula>
    </tableColumn>
    <tableColumn id="17" xr3:uid="{6FAA6F30-F6C4-4776-AF48-C65F28544D1E}" name="XP" dataDxfId="234">
      <calculatedColumnFormula>IF(ISBLANK(Encounter06[Party]), INDEX(ChallengeRating[XP], MATCH(Encounter06[CR], ChallengeRating[Challenge Rating], 0)), 0)</calculatedColumnFormula>
    </tableColumn>
  </tableColumns>
  <tableStyleInfo name="TableStyleLight15 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A357693-304F-442B-BD0F-F0AC0D980126}" name="Encounter08" displayName="Encounter08" ref="B4:W15" totalsRowShown="0" headerRowDxfId="233" dataDxfId="232" tableBorderDxfId="231">
  <autoFilter ref="B4:W1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sortState ref="B5:W8">
    <sortCondition descending="1" ref="B4:B8"/>
  </sortState>
  <tableColumns count="22">
    <tableColumn id="1" xr3:uid="{8FD12377-7474-473C-87AF-9E07DECD010A}" name="Init" dataDxfId="230">
      <calculatedColumnFormula>IFERROR(INDEX(Database[], MATCH(Encounter08[[#This Row],[Character/Creature]], Database[Character/Creature], 0), MATCH(Encounter08[#Headers], Database[#Headers], 0)) + RANDBETWEEN(1,20), "")</calculatedColumnFormula>
    </tableColumn>
    <tableColumn id="14" xr3:uid="{D9AD968D-C8CD-41AB-9B54-F1A488D859BB}" name="Party" dataDxfId="229"/>
    <tableColumn id="2" xr3:uid="{A5022A36-0E10-4D74-9248-7020F01D919B}" name="Character/Creature" dataDxfId="228"/>
    <tableColumn id="3" xr3:uid="{C426C99D-0886-4645-8140-D887FACD81D4}" name="User" dataDxfId="227">
      <calculatedColumnFormula>IFERROR(INDEX(Database[], MATCH(Encounter08[[#This Row],[Character/Creature]], Database[Character/Creature], 0), MATCH(Encounter08[#Headers], Database[#Headers], 0)), "")</calculatedColumnFormula>
    </tableColumn>
    <tableColumn id="13" xr3:uid="{3A5A3EE9-E578-447B-AC4D-FF3385630C24}" name="Stealth" dataDxfId="226">
      <calculatedColumnFormula>IFERROR(INDEX(Database[], MATCH(Encounter08[[#This Row],[Character/Creature]], Database[Character/Creature], 0), MATCH(Encounter08[#Headers], Database[#Headers], 0)) + RANDBETWEEN(1,20), "")</calculatedColumnFormula>
    </tableColumn>
    <tableColumn id="5" xr3:uid="{ECB5A38E-6055-4EE7-8368-AF7388091AA0}" name="Pass Perc" dataDxfId="225">
      <calculatedColumnFormula>IFERROR(INDEX(Database[], MATCH(Encounter08[[#This Row],[Character/Creature]], Database[Character/Creature], 0), MATCH(Encounter08[#Headers], Database[#Headers], 0)), "")</calculatedColumnFormula>
    </tableColumn>
    <tableColumn id="6" xr3:uid="{C596A89E-06CA-4499-A551-9F059E9B5EDE}" name="AC" dataDxfId="224">
      <calculatedColumnFormula>IFERROR(INDEX(Database[], MATCH(Encounter08[[#This Row],[Character/Creature]], Database[Character/Creature], 0), MATCH(Encounter08[#Headers], Database[#Headers], 0)), "")</calculatedColumnFormula>
    </tableColumn>
    <tableColumn id="7" xr3:uid="{6092E75D-6033-4E4A-9C72-ED78BDF2352D}" name="Save DC" dataDxfId="223">
      <calculatedColumnFormula>IFERROR(INDEX(Database[], MATCH(Encounter08[[#This Row],[Character/Creature]], Database[Character/Creature], 0), MATCH(Encounter08[#Headers], Database[#Headers], 0)), "")</calculatedColumnFormula>
    </tableColumn>
    <tableColumn id="21" xr3:uid="{054F1039-6885-4FF8-A23A-F52E4EF35F07}" name="Add Stat" dataDxfId="222" dataCellStyle="Editable"/>
    <tableColumn id="8" xr3:uid="{A6C7A278-AFD0-4A22-98EE-7AA08584AB82}" name="Status/Notes" dataDxfId="221">
      <calculatedColumnFormula>IFERROR(INDEX(Database[], MATCH(Encounter08[[#This Row],[Character/Creature]], Database[Character/Creature], 0), MATCH(Encounter08[#Headers], Database[#Headers], 0)), "")</calculatedColumnFormula>
    </tableColumn>
    <tableColumn id="12" xr3:uid="{228E4422-6A3A-4758-B131-3AA28671D20A}" name="Temp HP" dataDxfId="220">
      <calculatedColumnFormula>IFERROR(INDEX(Database[], MATCH(Encounter08[[#This Row],[Character/Creature]], Database[Character/Creature], 0), MATCH(Encounter08[#Headers], Database[#Headers], 0)), "")</calculatedColumnFormula>
    </tableColumn>
    <tableColumn id="9" xr3:uid="{78B76214-D5EF-4179-ABB7-064F9FDD9515}" name="Base HP" dataDxfId="219">
      <calculatedColumnFormula>IFERROR(INDEX(Database[], MATCH(Encounter08[[#This Row],[Character/Creature]], Database[Character/Creature], 0), MATCH(Encounter08[#Headers], Database[#Headers], 0)), "")</calculatedColumnFormula>
    </tableColumn>
    <tableColumn id="23" xr3:uid="{B284BD1B-1BC7-49E5-9A2F-522E1FF17C39}" name="Mod Dmg" dataDxfId="218" dataCellStyle="Editable"/>
    <tableColumn id="10" xr3:uid="{1CF87D55-9365-400F-8522-8FA5B23C9D9C}" name="Dmg Taken" dataDxfId="217">
      <calculatedColumnFormula>IFERROR(INDEX(Database[], MATCH(Encounter08[[#This Row],[Character/Creature]], Database[Character/Creature], 0), MATCH(Encounter08[#Headers], Database[#Headers], 0)), "")</calculatedColumnFormula>
    </tableColumn>
    <tableColumn id="11" xr3:uid="{32F12AEB-8F92-4270-AE65-E0CFBD3B5FE3}" name="Current HP" dataDxfId="216">
      <calculatedColumnFormula>IFERROR(Encounter08[[#This Row],[Base HP]]+Encounter08[Temp HP]-Encounter08[[#This Row],[Dmg Taken]], "")</calculatedColumnFormula>
    </tableColumn>
    <tableColumn id="15" xr3:uid="{6B432D3E-F7DA-44BC-B654-EEE11A9851BD}" name="Lvl" dataDxfId="215">
      <calculatedColumnFormula>IFERROR(INDEX(Database[], MATCH(Encounter08[[#This Row],[Character/Creature]], Database[Character/Creature], 0), MATCH(Encounter08[#Headers], Database[#Headers], 0)), "")</calculatedColumnFormula>
    </tableColumn>
    <tableColumn id="4" xr3:uid="{A4A32C11-5C91-445F-B5C4-67DD95C3809D}" name="Easy" dataDxfId="214">
      <calculatedColumnFormula>INDEX(Encounter_Diff[], MATCH(Encounter08[[#This Row],[Lvl]], Encounter_Diff[Player Level], 0), MATCH(Encounter08[#Headers], Encounter_Diff[#Headers], 0))</calculatedColumnFormula>
    </tableColumn>
    <tableColumn id="18" xr3:uid="{6A66958D-1DBF-43A1-A2C6-BBA873A282B0}" name="Medium" dataDxfId="213">
      <calculatedColumnFormula>INDEX(Encounter_Diff[], MATCH(Encounter08[[#This Row],[Lvl]], Encounter_Diff[Player Level], 0), MATCH(Encounter08[#Headers], Encounter_Diff[#Headers], 0))</calculatedColumnFormula>
    </tableColumn>
    <tableColumn id="19" xr3:uid="{ED1D6152-0AEB-4A09-80E6-D28124D074DB}" name="Hard" dataDxfId="212">
      <calculatedColumnFormula>INDEX(Encounter_Diff[], MATCH(Encounter08[[#This Row],[Lvl]], Encounter_Diff[Player Level], 0), MATCH(Encounter08[#Headers], Encounter_Diff[#Headers], 0))</calculatedColumnFormula>
    </tableColumn>
    <tableColumn id="20" xr3:uid="{0F163CF8-E7C0-4AC2-9682-130FFBFB691C}" name="Deadly" dataDxfId="211">
      <calculatedColumnFormula>INDEX(Encounter_Diff[], MATCH(Encounter08[[#This Row],[Lvl]], Encounter_Diff[Player Level], 0), MATCH(Encounter08[#Headers], Encounter_Diff[#Headers], 0))</calculatedColumnFormula>
    </tableColumn>
    <tableColumn id="16" xr3:uid="{DBF32726-8EFF-4DB3-9E32-7F92D270E888}" name="CR" dataDxfId="210">
      <calculatedColumnFormula>IFERROR(INDEX(Database[], MATCH(Encounter08[[#This Row],[Character/Creature]], Database[Character/Creature], 0), MATCH(Encounter08[#Headers], Database[#Headers], 0)), "")</calculatedColumnFormula>
    </tableColumn>
    <tableColumn id="17" xr3:uid="{81A0C0BE-8092-48EC-8F4B-8EAF4D0735DD}" name="XP" dataDxfId="209">
      <calculatedColumnFormula>IF(ISBLANK(Encounter08[Party]), INDEX(ChallengeRating[XP], MATCH(Encounter08[CR], ChallengeRating[Challenge Rating], 0)), 0)</calculatedColumnFormula>
    </tableColumn>
  </tableColumns>
  <tableStyleInfo name="TableStyleLight15 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27768E9-2FDB-4E34-AAF8-3F1FA8433539}" name="Encounter011" displayName="Encounter011" ref="B4:W12" totalsRowShown="0" headerRowDxfId="142" dataDxfId="141" tableBorderDxfId="140">
  <autoFilter ref="B4:W12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sortState ref="B5:W8">
    <sortCondition descending="1" ref="B4:B8"/>
  </sortState>
  <tableColumns count="22">
    <tableColumn id="1" xr3:uid="{3EE10301-5935-4833-B712-F578E3CCB60D}" name="Init" dataDxfId="139">
      <calculatedColumnFormula>IFERROR(INDEX(Database[], MATCH(Encounter011[[#This Row],[Character/Creature]], Database[Character/Creature], 0), MATCH(Encounter011[#Headers], Database[#Headers], 0)) + RANDBETWEEN(1,20), "")</calculatedColumnFormula>
    </tableColumn>
    <tableColumn id="14" xr3:uid="{1CECC01F-986D-4BFF-97AE-90D0E87655EE}" name="Party" dataDxfId="138"/>
    <tableColumn id="2" xr3:uid="{B6972197-E6BE-4894-B5FF-FE96C0051F55}" name="Character/Creature" dataDxfId="137"/>
    <tableColumn id="3" xr3:uid="{B337ABFC-67A4-47A1-9E78-3B9A3C495553}" name="User" dataDxfId="136">
      <calculatedColumnFormula>IFERROR(INDEX(Database[], MATCH(Encounter011[[#This Row],[Character/Creature]], Database[Character/Creature], 0), MATCH(Encounter011[#Headers], Database[#Headers], 0)), "")</calculatedColumnFormula>
    </tableColumn>
    <tableColumn id="13" xr3:uid="{FDE14C5A-F62D-485F-A1AA-6F91622E626F}" name="Stealth" dataDxfId="135">
      <calculatedColumnFormula>IFERROR(INDEX(Database[], MATCH(Encounter011[[#This Row],[Character/Creature]], Database[Character/Creature], 0), MATCH(Encounter011[#Headers], Database[#Headers], 0)) + RANDBETWEEN(1,20), "")</calculatedColumnFormula>
    </tableColumn>
    <tableColumn id="5" xr3:uid="{D30BC387-3C31-47B1-8D99-1A2473E0C98F}" name="Pass Perc" dataDxfId="134">
      <calculatedColumnFormula>IFERROR(INDEX(Database[], MATCH(Encounter011[[#This Row],[Character/Creature]], Database[Character/Creature], 0), MATCH(Encounter011[#Headers], Database[#Headers], 0)), "")</calculatedColumnFormula>
    </tableColumn>
    <tableColumn id="6" xr3:uid="{D5789C38-35A8-42F5-A252-FBCC641359BA}" name="AC" dataDxfId="133">
      <calculatedColumnFormula>IFERROR(INDEX(Database[], MATCH(Encounter011[[#This Row],[Character/Creature]], Database[Character/Creature], 0), MATCH(Encounter011[#Headers], Database[#Headers], 0)), "")</calculatedColumnFormula>
    </tableColumn>
    <tableColumn id="7" xr3:uid="{A92F0CE4-FD64-4B55-9A6B-FF2C10256532}" name="Save DC" dataDxfId="132">
      <calculatedColumnFormula>IFERROR(INDEX(Database[], MATCH(Encounter011[[#This Row],[Character/Creature]], Database[Character/Creature], 0), MATCH(Encounter011[#Headers], Database[#Headers], 0)), "")</calculatedColumnFormula>
    </tableColumn>
    <tableColumn id="21" xr3:uid="{E357B0A7-BA4C-4480-BBCE-31879ED6B747}" name="Add Stat" dataDxfId="131" dataCellStyle="Editable"/>
    <tableColumn id="8" xr3:uid="{10D76662-4B0E-4A59-ADD3-6622951FE28C}" name="Status/Notes" dataDxfId="130">
      <calculatedColumnFormula>IFERROR(INDEX(Database[], MATCH(Encounter011[[#This Row],[Character/Creature]], Database[Character/Creature], 0), MATCH(Encounter011[#Headers], Database[#Headers], 0)), "")</calculatedColumnFormula>
    </tableColumn>
    <tableColumn id="12" xr3:uid="{4DD02B76-0226-4383-BE23-D830AD95245E}" name="Temp HP" dataDxfId="129">
      <calculatedColumnFormula>IFERROR(INDEX(Database[], MATCH(Encounter011[[#This Row],[Character/Creature]], Database[Character/Creature], 0), MATCH(Encounter011[#Headers], Database[#Headers], 0)), "")</calculatedColumnFormula>
    </tableColumn>
    <tableColumn id="9" xr3:uid="{112E12DC-ED99-4068-AB93-BB904D75EC96}" name="Base HP" dataDxfId="128">
      <calculatedColumnFormula>IFERROR(INDEX(Database[], MATCH(Encounter011[[#This Row],[Character/Creature]], Database[Character/Creature], 0), MATCH(Encounter011[#Headers], Database[#Headers], 0)), "")</calculatedColumnFormula>
    </tableColumn>
    <tableColumn id="23" xr3:uid="{D7C53319-E613-4233-B7BC-B390E7EFF82D}" name="Mod Dmg" dataDxfId="127" dataCellStyle="Editable"/>
    <tableColumn id="10" xr3:uid="{F5F53567-9712-4D99-B8FA-3E51EC9F056A}" name="Dmg Taken" dataDxfId="126">
      <calculatedColumnFormula>IFERROR(INDEX(Database[], MATCH(Encounter011[[#This Row],[Character/Creature]], Database[Character/Creature], 0), MATCH(Encounter011[#Headers], Database[#Headers], 0)), "")</calculatedColumnFormula>
    </tableColumn>
    <tableColumn id="11" xr3:uid="{51D0693F-98C6-4EDF-A385-DBA660639617}" name="Current HP" dataDxfId="125">
      <calculatedColumnFormula>IFERROR(Encounter011[[#This Row],[Base HP]]+Encounter011[Temp HP]-Encounter011[[#This Row],[Dmg Taken]], "")</calculatedColumnFormula>
    </tableColumn>
    <tableColumn id="15" xr3:uid="{D99A4949-0920-46D5-A16E-1697E3F286BF}" name="Lvl" dataDxfId="124">
      <calculatedColumnFormula>IFERROR(INDEX(Database[], MATCH(Encounter011[[#This Row],[Character/Creature]], Database[Character/Creature], 0), MATCH(Encounter011[#Headers], Database[#Headers], 0)), "")</calculatedColumnFormula>
    </tableColumn>
    <tableColumn id="4" xr3:uid="{42DC3C03-0D1D-4E2E-8F45-02006E930E6C}" name="Easy" dataDxfId="123">
      <calculatedColumnFormula>INDEX(Encounter_Diff[], MATCH(Encounter011[[#This Row],[Lvl]], Encounter_Diff[Player Level], 0), MATCH(Encounter011[#Headers], Encounter_Diff[#Headers], 0))</calculatedColumnFormula>
    </tableColumn>
    <tableColumn id="18" xr3:uid="{63A2A886-5C78-48B2-848C-7E5C89CBBD70}" name="Medium" dataDxfId="122">
      <calculatedColumnFormula>INDEX(Encounter_Diff[], MATCH(Encounter011[[#This Row],[Lvl]], Encounter_Diff[Player Level], 0), MATCH(Encounter011[#Headers], Encounter_Diff[#Headers], 0))</calculatedColumnFormula>
    </tableColumn>
    <tableColumn id="19" xr3:uid="{E153392B-35D5-4602-94DC-324F9D111B38}" name="Hard" dataDxfId="121">
      <calculatedColumnFormula>INDEX(Encounter_Diff[], MATCH(Encounter011[[#This Row],[Lvl]], Encounter_Diff[Player Level], 0), MATCH(Encounter011[#Headers], Encounter_Diff[#Headers], 0))</calculatedColumnFormula>
    </tableColumn>
    <tableColumn id="20" xr3:uid="{8D06C805-9CDE-4FF3-A630-D3809BD57382}" name="Deadly" dataDxfId="120">
      <calculatedColumnFormula>INDEX(Encounter_Diff[], MATCH(Encounter011[[#This Row],[Lvl]], Encounter_Diff[Player Level], 0), MATCH(Encounter011[#Headers], Encounter_Diff[#Headers], 0))</calculatedColumnFormula>
    </tableColumn>
    <tableColumn id="16" xr3:uid="{68E59F3F-3C39-4305-98B6-1B95FDF0EAD6}" name="CR" dataDxfId="119">
      <calculatedColumnFormula>IFERROR(INDEX(Database[], MATCH(Encounter011[[#This Row],[Character/Creature]], Database[Character/Creature], 0), MATCH(Encounter011[#Headers], Database[#Headers], 0)), "")</calculatedColumnFormula>
    </tableColumn>
    <tableColumn id="17" xr3:uid="{20D8E329-4778-4C63-865B-D538BAE8B737}" name="XP" dataDxfId="118">
      <calculatedColumnFormula>IF(ISBLANK(Encounter011[Party]), INDEX(ChallengeRating[XP], MATCH(Encounter011[CR], ChallengeRating[Challenge Rating], 0)), 0)</calculatedColumnFormula>
    </tableColumn>
  </tableColumns>
  <tableStyleInfo name="TableStyleLight15 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EE65990-8883-4E6A-A9BD-2355093E0F22}" name="Encounter012" displayName="Encounter012" ref="B4:W13" totalsRowShown="0" headerRowDxfId="108" dataDxfId="107" tableBorderDxfId="106">
  <autoFilter ref="B4:W13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sortState ref="B5:W8">
    <sortCondition descending="1" ref="B4:B8"/>
  </sortState>
  <tableColumns count="22">
    <tableColumn id="1" xr3:uid="{89321763-5C53-496F-B6AA-51DBB7EF93AA}" name="Init" dataDxfId="105">
      <calculatedColumnFormula>IFERROR(INDEX(Database[], MATCH(Encounter012[[#This Row],[Character/Creature]], Database[Character/Creature], 0), MATCH(Encounter012[#Headers], Database[#Headers], 0)) + RANDBETWEEN(1,20), "")</calculatedColumnFormula>
    </tableColumn>
    <tableColumn id="14" xr3:uid="{B4AF2A81-356C-40F6-BA58-B479A0FA9219}" name="Party" dataDxfId="104"/>
    <tableColumn id="2" xr3:uid="{0D807439-4791-4233-8778-8A07342B8FFE}" name="Character/Creature" dataDxfId="103"/>
    <tableColumn id="3" xr3:uid="{84C09E28-2BED-4B93-B898-0A07E9337045}" name="User" dataDxfId="102">
      <calculatedColumnFormula>IFERROR(INDEX(Database[], MATCH(Encounter012[[#This Row],[Character/Creature]], Database[Character/Creature], 0), MATCH(Encounter012[#Headers], Database[#Headers], 0)), "")</calculatedColumnFormula>
    </tableColumn>
    <tableColumn id="13" xr3:uid="{C0D6AEC5-0FD6-41FC-800D-D6DB2E919FB0}" name="Stealth" dataDxfId="101">
      <calculatedColumnFormula>IFERROR(INDEX(Database[], MATCH(Encounter012[[#This Row],[Character/Creature]], Database[Character/Creature], 0), MATCH(Encounter012[#Headers], Database[#Headers], 0)) + RANDBETWEEN(1,20), "")</calculatedColumnFormula>
    </tableColumn>
    <tableColumn id="5" xr3:uid="{53BB3E02-35A4-4BD2-97C9-006CB1873A38}" name="Pass Perc" dataDxfId="100">
      <calculatedColumnFormula>IFERROR(INDEX(Database[], MATCH(Encounter012[[#This Row],[Character/Creature]], Database[Character/Creature], 0), MATCH(Encounter012[#Headers], Database[#Headers], 0)), "")</calculatedColumnFormula>
    </tableColumn>
    <tableColumn id="6" xr3:uid="{7A8710FB-C6AD-4225-A37A-8A9A64D83DB8}" name="AC" dataDxfId="99">
      <calculatedColumnFormula>IFERROR(INDEX(Database[], MATCH(Encounter012[[#This Row],[Character/Creature]], Database[Character/Creature], 0), MATCH(Encounter012[#Headers], Database[#Headers], 0)), "")</calculatedColumnFormula>
    </tableColumn>
    <tableColumn id="7" xr3:uid="{6C844210-F7B1-40AB-BDBC-39965ED4CBF5}" name="Save DC" dataDxfId="98">
      <calculatedColumnFormula>IFERROR(INDEX(Database[], MATCH(Encounter012[[#This Row],[Character/Creature]], Database[Character/Creature], 0), MATCH(Encounter012[#Headers], Database[#Headers], 0)), "")</calculatedColumnFormula>
    </tableColumn>
    <tableColumn id="21" xr3:uid="{DB29DDF5-F6A8-4720-AA90-1553C8AC9E40}" name="Add Stat" dataDxfId="97" dataCellStyle="Editable"/>
    <tableColumn id="8" xr3:uid="{AC62AC92-8A1A-4180-97F0-D4F2500F3632}" name="Status/Notes" dataDxfId="96">
      <calculatedColumnFormula>IFERROR(INDEX(Database[], MATCH(Encounter012[[#This Row],[Character/Creature]], Database[Character/Creature], 0), MATCH(Encounter012[#Headers], Database[#Headers], 0)), "")</calculatedColumnFormula>
    </tableColumn>
    <tableColumn id="12" xr3:uid="{4ED8F64B-915E-41D5-99D2-4C9BE15571CF}" name="Temp HP" dataDxfId="95">
      <calculatedColumnFormula>IFERROR(INDEX(Database[], MATCH(Encounter012[[#This Row],[Character/Creature]], Database[Character/Creature], 0), MATCH(Encounter012[#Headers], Database[#Headers], 0)), "")</calculatedColumnFormula>
    </tableColumn>
    <tableColumn id="9" xr3:uid="{A51C1651-18E3-404C-AD66-A87B2A6BBE71}" name="Base HP" dataDxfId="94">
      <calculatedColumnFormula>IFERROR(INDEX(Database[], MATCH(Encounter012[[#This Row],[Character/Creature]], Database[Character/Creature], 0), MATCH(Encounter012[#Headers], Database[#Headers], 0)), "")</calculatedColumnFormula>
    </tableColumn>
    <tableColumn id="23" xr3:uid="{B9791E33-AE2A-4A3C-B78C-4844AD8C0EFF}" name="Mod Dmg" dataDxfId="93" dataCellStyle="Editable"/>
    <tableColumn id="10" xr3:uid="{3EB3CB05-3A5E-410A-BF77-ACB80541F5A0}" name="Dmg Taken" dataDxfId="92">
      <calculatedColumnFormula>IFERROR(INDEX(Database[], MATCH(Encounter012[[#This Row],[Character/Creature]], Database[Character/Creature], 0), MATCH(Encounter012[#Headers], Database[#Headers], 0)), "")</calculatedColumnFormula>
    </tableColumn>
    <tableColumn id="11" xr3:uid="{1F7758DC-4D10-446F-845E-F40F99A82EFE}" name="Current HP" dataDxfId="91">
      <calculatedColumnFormula>IFERROR(Encounter012[[#This Row],[Base HP]]+Encounter012[Temp HP]-Encounter012[[#This Row],[Dmg Taken]], "")</calculatedColumnFormula>
    </tableColumn>
    <tableColumn id="15" xr3:uid="{1EF3BBA4-E8E3-4D6C-81B3-488CE033D0BF}" name="Lvl" dataDxfId="90">
      <calculatedColumnFormula>IFERROR(INDEX(Database[], MATCH(Encounter012[[#This Row],[Character/Creature]], Database[Character/Creature], 0), MATCH(Encounter012[#Headers], Database[#Headers], 0)), "")</calculatedColumnFormula>
    </tableColumn>
    <tableColumn id="4" xr3:uid="{6E9DF5E1-D09C-4C6A-A38F-8433AD6D7708}" name="Easy" dataDxfId="89">
      <calculatedColumnFormula>INDEX(Encounter_Diff[], MATCH(Encounter012[[#This Row],[Lvl]], Encounter_Diff[Player Level], 0), MATCH(Encounter012[#Headers], Encounter_Diff[#Headers], 0))</calculatedColumnFormula>
    </tableColumn>
    <tableColumn id="18" xr3:uid="{90E3785F-3E2E-426F-AFA9-853B8F8FEBB1}" name="Medium" dataDxfId="88">
      <calculatedColumnFormula>INDEX(Encounter_Diff[], MATCH(Encounter012[[#This Row],[Lvl]], Encounter_Diff[Player Level], 0), MATCH(Encounter012[#Headers], Encounter_Diff[#Headers], 0))</calculatedColumnFormula>
    </tableColumn>
    <tableColumn id="19" xr3:uid="{5F8A440C-A3CF-4D53-BABF-1128287CB4BB}" name="Hard" dataDxfId="87">
      <calculatedColumnFormula>INDEX(Encounter_Diff[], MATCH(Encounter012[[#This Row],[Lvl]], Encounter_Diff[Player Level], 0), MATCH(Encounter012[#Headers], Encounter_Diff[#Headers], 0))</calculatedColumnFormula>
    </tableColumn>
    <tableColumn id="20" xr3:uid="{B240F390-09E3-47BC-8A81-FAB5EDFDB396}" name="Deadly" dataDxfId="86">
      <calculatedColumnFormula>INDEX(Encounter_Diff[], MATCH(Encounter012[[#This Row],[Lvl]], Encounter_Diff[Player Level], 0), MATCH(Encounter012[#Headers], Encounter_Diff[#Headers], 0))</calculatedColumnFormula>
    </tableColumn>
    <tableColumn id="16" xr3:uid="{CCC666E5-EA7A-4E1B-ABED-F5772AEDC9A5}" name="CR" dataDxfId="85">
      <calculatedColumnFormula>IFERROR(INDEX(Database[], MATCH(Encounter012[[#This Row],[Character/Creature]], Database[Character/Creature], 0), MATCH(Encounter012[#Headers], Database[#Headers], 0)), "")</calculatedColumnFormula>
    </tableColumn>
    <tableColumn id="17" xr3:uid="{5FBE59B6-7DA6-4542-BCFB-8F88063DA6B3}" name="XP" dataDxfId="84">
      <calculatedColumnFormula>IF(ISBLANK(Encounter012[Party]), INDEX(ChallengeRating[XP], MATCH(Encounter012[CR], ChallengeRating[Challenge Rating], 0)), 0)</calculatedColumnFormula>
    </tableColumn>
  </tableColumns>
  <tableStyleInfo name="TableStyleLight15 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0AF3D7D-284D-444E-97A8-F9B993DFA12B}" name="Encounter013" displayName="Encounter013" ref="B4:W10" totalsRowShown="0" headerRowDxfId="74" dataDxfId="73" tableBorderDxfId="72">
  <autoFilter ref="B4:W10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sortState ref="B5:W8">
    <sortCondition descending="1" ref="B4:B8"/>
  </sortState>
  <tableColumns count="22">
    <tableColumn id="1" xr3:uid="{572946D7-B8C1-49F5-ABA0-1BF247D94A78}" name="Init" dataDxfId="71">
      <calculatedColumnFormula>IFERROR(INDEX(Database[], MATCH(Encounter013[[#This Row],[Character/Creature]], Database[Character/Creature], 0), MATCH(Encounter013[#Headers], Database[#Headers], 0)) + RANDBETWEEN(1,20), "")</calculatedColumnFormula>
    </tableColumn>
    <tableColumn id="14" xr3:uid="{1C8CE122-EC99-4A9B-890A-01BFAF4590D4}" name="Party" dataDxfId="70"/>
    <tableColumn id="2" xr3:uid="{C2DA5211-6F10-4F1B-B9A9-66C8595E05BF}" name="Character/Creature" dataDxfId="69"/>
    <tableColumn id="3" xr3:uid="{D9E29D2A-9EB5-47A8-98F7-FF2B107F2C43}" name="User" dataDxfId="68">
      <calculatedColumnFormula>IFERROR(INDEX(Database[], MATCH(Encounter013[[#This Row],[Character/Creature]], Database[Character/Creature], 0), MATCH(Encounter013[#Headers], Database[#Headers], 0)), "")</calculatedColumnFormula>
    </tableColumn>
    <tableColumn id="13" xr3:uid="{4604168F-3834-4290-B057-8F95372221D6}" name="Stealth" dataDxfId="67">
      <calculatedColumnFormula>IFERROR(INDEX(Database[], MATCH(Encounter013[[#This Row],[Character/Creature]], Database[Character/Creature], 0), MATCH(Encounter013[#Headers], Database[#Headers], 0)) + RANDBETWEEN(1,20), "")</calculatedColumnFormula>
    </tableColumn>
    <tableColumn id="5" xr3:uid="{E50FB162-5BD4-4400-829A-AD66FBFB1CF5}" name="Pass Perc" dataDxfId="66">
      <calculatedColumnFormula>IFERROR(INDEX(Database[], MATCH(Encounter013[[#This Row],[Character/Creature]], Database[Character/Creature], 0), MATCH(Encounter013[#Headers], Database[#Headers], 0)), "")</calculatedColumnFormula>
    </tableColumn>
    <tableColumn id="6" xr3:uid="{6563C8A6-448C-4B17-98D1-5618C80AD07E}" name="AC" dataDxfId="65">
      <calculatedColumnFormula>IFERROR(INDEX(Database[], MATCH(Encounter013[[#This Row],[Character/Creature]], Database[Character/Creature], 0), MATCH(Encounter013[#Headers], Database[#Headers], 0)), "")</calculatedColumnFormula>
    </tableColumn>
    <tableColumn id="7" xr3:uid="{CB4A1CC0-0BA4-4BBA-A773-4EE5680186BE}" name="Save DC" dataDxfId="64">
      <calculatedColumnFormula>IFERROR(INDEX(Database[], MATCH(Encounter013[[#This Row],[Character/Creature]], Database[Character/Creature], 0), MATCH(Encounter013[#Headers], Database[#Headers], 0)), "")</calculatedColumnFormula>
    </tableColumn>
    <tableColumn id="21" xr3:uid="{3734BF50-2153-4541-8F28-162D9493B661}" name="Add Stat" dataDxfId="63" dataCellStyle="Editable"/>
    <tableColumn id="8" xr3:uid="{7C6584BD-D6BF-4F7E-8879-FB4C2FC5450C}" name="Status/Notes" dataDxfId="62">
      <calculatedColumnFormula>IFERROR(INDEX(Database[], MATCH(Encounter013[[#This Row],[Character/Creature]], Database[Character/Creature], 0), MATCH(Encounter013[#Headers], Database[#Headers], 0)), "")</calculatedColumnFormula>
    </tableColumn>
    <tableColumn id="12" xr3:uid="{59361882-191E-4C4F-9D80-B0897232EBA3}" name="Temp HP" dataDxfId="61">
      <calculatedColumnFormula>IFERROR(INDEX(Database[], MATCH(Encounter013[[#This Row],[Character/Creature]], Database[Character/Creature], 0), MATCH(Encounter013[#Headers], Database[#Headers], 0)), "")</calculatedColumnFormula>
    </tableColumn>
    <tableColumn id="9" xr3:uid="{2753104B-4810-443F-8063-61FD63186487}" name="Base HP" dataDxfId="60">
      <calculatedColumnFormula>IFERROR(INDEX(Database[], MATCH(Encounter013[[#This Row],[Character/Creature]], Database[Character/Creature], 0), MATCH(Encounter013[#Headers], Database[#Headers], 0)), "")</calculatedColumnFormula>
    </tableColumn>
    <tableColumn id="23" xr3:uid="{F7C36153-2B8F-4222-9902-74D8A97256D9}" name="Mod Dmg" dataDxfId="59" dataCellStyle="Editable"/>
    <tableColumn id="10" xr3:uid="{83B09617-7CD1-4CCB-83FC-B8C5DA4AFCFD}" name="Dmg Taken" dataDxfId="58">
      <calculatedColumnFormula>IFERROR(INDEX(Database[], MATCH(Encounter013[[#This Row],[Character/Creature]], Database[Character/Creature], 0), MATCH(Encounter013[#Headers], Database[#Headers], 0)), "")</calculatedColumnFormula>
    </tableColumn>
    <tableColumn id="11" xr3:uid="{E92003D8-D19A-4118-818C-8CBD2E04AEFD}" name="Current HP" dataDxfId="57">
      <calculatedColumnFormula>IFERROR(Encounter013[[#This Row],[Base HP]]+Encounter013[Temp HP]-Encounter013[[#This Row],[Dmg Taken]], "")</calculatedColumnFormula>
    </tableColumn>
    <tableColumn id="15" xr3:uid="{7863DD36-2B65-42E3-B623-C53345546FB3}" name="Lvl" dataDxfId="56">
      <calculatedColumnFormula>IFERROR(INDEX(Database[], MATCH(Encounter013[[#This Row],[Character/Creature]], Database[Character/Creature], 0), MATCH(Encounter013[#Headers], Database[#Headers], 0)), "")</calculatedColumnFormula>
    </tableColumn>
    <tableColumn id="4" xr3:uid="{106BE761-0139-4AFA-8120-23CBAA0F57DE}" name="Easy" dataDxfId="55">
      <calculatedColumnFormula>INDEX(Encounter_Diff[], MATCH(Encounter013[[#This Row],[Lvl]], Encounter_Diff[Player Level], 0), MATCH(Encounter013[#Headers], Encounter_Diff[#Headers], 0))</calculatedColumnFormula>
    </tableColumn>
    <tableColumn id="18" xr3:uid="{374E4D96-A585-48C5-BA9B-8AF095837568}" name="Medium" dataDxfId="54">
      <calculatedColumnFormula>INDEX(Encounter_Diff[], MATCH(Encounter013[[#This Row],[Lvl]], Encounter_Diff[Player Level], 0), MATCH(Encounter013[#Headers], Encounter_Diff[#Headers], 0))</calculatedColumnFormula>
    </tableColumn>
    <tableColumn id="19" xr3:uid="{53747313-AFB9-41EE-9EDC-E74A9CD32915}" name="Hard" dataDxfId="53">
      <calculatedColumnFormula>INDEX(Encounter_Diff[], MATCH(Encounter013[[#This Row],[Lvl]], Encounter_Diff[Player Level], 0), MATCH(Encounter013[#Headers], Encounter_Diff[#Headers], 0))</calculatedColumnFormula>
    </tableColumn>
    <tableColumn id="20" xr3:uid="{C3565467-9ECA-4819-89D1-C8A9DE7476BB}" name="Deadly" dataDxfId="52">
      <calculatedColumnFormula>INDEX(Encounter_Diff[], MATCH(Encounter013[[#This Row],[Lvl]], Encounter_Diff[Player Level], 0), MATCH(Encounter013[#Headers], Encounter_Diff[#Headers], 0))</calculatedColumnFormula>
    </tableColumn>
    <tableColumn id="16" xr3:uid="{88E42271-6EE7-497B-831B-2F530EC3CE70}" name="CR" dataDxfId="51">
      <calculatedColumnFormula>IFERROR(INDEX(Database[], MATCH(Encounter013[[#This Row],[Character/Creature]], Database[Character/Creature], 0), MATCH(Encounter013[#Headers], Database[#Headers], 0)), "")</calculatedColumnFormula>
    </tableColumn>
    <tableColumn id="17" xr3:uid="{F847C63C-EFEF-4BDB-BB15-A297DF8972F1}" name="XP" dataDxfId="50">
      <calculatedColumnFormula>IF(ISBLANK(Encounter013[Party]), INDEX(ChallengeRating[XP], MATCH(Encounter013[CR], ChallengeRating[Challenge Rating], 0)), 0)</calculatedColumnFormula>
    </tableColumn>
  </tableColumns>
  <tableStyleInfo name="TableStyleLight15 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A0D5CB1-2F2E-44CF-A3EF-A4EE3FE8674A}" name="Encounter014" displayName="Encounter014" ref="B4:W11" totalsRowShown="0" headerRowDxfId="36" dataDxfId="35" tableBorderDxfId="34">
  <autoFilter ref="B4:W11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sortState ref="B5:W8">
    <sortCondition descending="1" ref="B4:B8"/>
  </sortState>
  <tableColumns count="22">
    <tableColumn id="1" xr3:uid="{6CE2951E-7953-4C43-A4D2-9CA8EC9C5F42}" name="Init" dataDxfId="33">
      <calculatedColumnFormula>IFERROR(INDEX(Database[], MATCH(Encounter014[[#This Row],[Character/Creature]], Database[Character/Creature], 0), MATCH(Encounter014[#Headers], Database[#Headers], 0)) + RANDBETWEEN(1,20), "")</calculatedColumnFormula>
    </tableColumn>
    <tableColumn id="14" xr3:uid="{5D48C4DB-AC8D-422F-B937-A9838BFF93A0}" name="Party" dataDxfId="32"/>
    <tableColumn id="2" xr3:uid="{15D8F01C-0FA8-4A30-8776-27FFA372B188}" name="Character/Creature" dataDxfId="31"/>
    <tableColumn id="3" xr3:uid="{0E691EBE-15CD-4F74-93D9-468160EE5F28}" name="User" dataDxfId="30">
      <calculatedColumnFormula>IFERROR(INDEX(Database[], MATCH(Encounter014[[#This Row],[Character/Creature]], Database[Character/Creature], 0), MATCH(Encounter014[#Headers], Database[#Headers], 0)), "")</calculatedColumnFormula>
    </tableColumn>
    <tableColumn id="13" xr3:uid="{03923C37-B754-45CE-B7EA-2F195BF63761}" name="Stealth" dataDxfId="29">
      <calculatedColumnFormula>IFERROR(INDEX(Database[], MATCH(Encounter014[[#This Row],[Character/Creature]], Database[Character/Creature], 0), MATCH(Encounter014[#Headers], Database[#Headers], 0)) + RANDBETWEEN(1,20), "")</calculatedColumnFormula>
    </tableColumn>
    <tableColumn id="5" xr3:uid="{6AA61796-1AC0-41F6-9FF3-2E2FA4C89BD1}" name="Pass Perc" dataDxfId="28">
      <calculatedColumnFormula>IFERROR(INDEX(Database[], MATCH(Encounter014[[#This Row],[Character/Creature]], Database[Character/Creature], 0), MATCH(Encounter014[#Headers], Database[#Headers], 0)), "")</calculatedColumnFormula>
    </tableColumn>
    <tableColumn id="6" xr3:uid="{97531CA2-C48F-4120-AE66-0F966C97DABD}" name="AC" dataDxfId="27">
      <calculatedColumnFormula>IFERROR(INDEX(Database[], MATCH(Encounter014[[#This Row],[Character/Creature]], Database[Character/Creature], 0), MATCH(Encounter014[#Headers], Database[#Headers], 0)), "")</calculatedColumnFormula>
    </tableColumn>
    <tableColumn id="7" xr3:uid="{39255F83-D7E6-4E66-BC4C-6C89BF659D17}" name="Save DC" dataDxfId="26">
      <calculatedColumnFormula>IFERROR(INDEX(Database[], MATCH(Encounter014[[#This Row],[Character/Creature]], Database[Character/Creature], 0), MATCH(Encounter014[#Headers], Database[#Headers], 0)), "")</calculatedColumnFormula>
    </tableColumn>
    <tableColumn id="21" xr3:uid="{6A53D728-E2F6-4AA0-86C4-7520FD8FA08F}" name="Add Stat" dataDxfId="25" dataCellStyle="Editable"/>
    <tableColumn id="8" xr3:uid="{7A8FCE89-5698-42E8-8114-BFE8EF6C6EA6}" name="Status/Notes" dataDxfId="24">
      <calculatedColumnFormula>IFERROR(INDEX(Database[], MATCH(Encounter014[[#This Row],[Character/Creature]], Database[Character/Creature], 0), MATCH(Encounter014[#Headers], Database[#Headers], 0)), "")</calculatedColumnFormula>
    </tableColumn>
    <tableColumn id="12" xr3:uid="{B65D4E5F-2C43-45C8-8140-A8A5B7E524EE}" name="Temp HP" dataDxfId="23">
      <calculatedColumnFormula>IFERROR(INDEX(Database[], MATCH(Encounter014[[#This Row],[Character/Creature]], Database[Character/Creature], 0), MATCH(Encounter014[#Headers], Database[#Headers], 0)), "")</calculatedColumnFormula>
    </tableColumn>
    <tableColumn id="9" xr3:uid="{65462C89-5CB5-40EA-84D3-58E297BE2146}" name="Base HP" dataDxfId="22">
      <calculatedColumnFormula>IFERROR(INDEX(Database[], MATCH(Encounter014[[#This Row],[Character/Creature]], Database[Character/Creature], 0), MATCH(Encounter014[#Headers], Database[#Headers], 0)), "")</calculatedColumnFormula>
    </tableColumn>
    <tableColumn id="23" xr3:uid="{C6C71691-B8FA-422B-BB08-15DDD6C51FFA}" name="Mod Dmg" dataDxfId="21" dataCellStyle="Editable"/>
    <tableColumn id="10" xr3:uid="{DF553632-5221-4E28-8FD8-32555D1DAE86}" name="Dmg Taken" dataDxfId="20">
      <calculatedColumnFormula>IFERROR(INDEX(Database[], MATCH(Encounter014[[#This Row],[Character/Creature]], Database[Character/Creature], 0), MATCH(Encounter014[#Headers], Database[#Headers], 0)), "")</calculatedColumnFormula>
    </tableColumn>
    <tableColumn id="11" xr3:uid="{639569B3-FDAE-497C-875B-E0D86EF5ED41}" name="Current HP" dataDxfId="19">
      <calculatedColumnFormula>IFERROR(Encounter014[[#This Row],[Base HP]]+Encounter014[Temp HP]-Encounter014[[#This Row],[Dmg Taken]], "")</calculatedColumnFormula>
    </tableColumn>
    <tableColumn id="15" xr3:uid="{5D58BC08-9CF7-4CC4-855B-A321B566DF86}" name="Lvl" dataDxfId="18">
      <calculatedColumnFormula>IFERROR(INDEX(Database[], MATCH(Encounter014[[#This Row],[Character/Creature]], Database[Character/Creature], 0), MATCH(Encounter014[#Headers], Database[#Headers], 0)), "")</calculatedColumnFormula>
    </tableColumn>
    <tableColumn id="4" xr3:uid="{CB278965-83C0-42B0-8E24-EE8ED8C6601C}" name="Easy" dataDxfId="17">
      <calculatedColumnFormula>INDEX(Encounter_Diff[], MATCH(Encounter014[[#This Row],[Lvl]], Encounter_Diff[Player Level], 0), MATCH(Encounter014[#Headers], Encounter_Diff[#Headers], 0))</calculatedColumnFormula>
    </tableColumn>
    <tableColumn id="18" xr3:uid="{E825FC8F-227E-4C55-8D33-FE8F1BCD3AC5}" name="Medium" dataDxfId="16">
      <calculatedColumnFormula>INDEX(Encounter_Diff[], MATCH(Encounter014[[#This Row],[Lvl]], Encounter_Diff[Player Level], 0), MATCH(Encounter014[#Headers], Encounter_Diff[#Headers], 0))</calculatedColumnFormula>
    </tableColumn>
    <tableColumn id="19" xr3:uid="{6B28E3F8-5007-4237-B0E8-5EF45572791C}" name="Hard" dataDxfId="15">
      <calculatedColumnFormula>INDEX(Encounter_Diff[], MATCH(Encounter014[[#This Row],[Lvl]], Encounter_Diff[Player Level], 0), MATCH(Encounter014[#Headers], Encounter_Diff[#Headers], 0))</calculatedColumnFormula>
    </tableColumn>
    <tableColumn id="20" xr3:uid="{2F47CBFC-2C39-49DF-BCB5-6B85BA76611E}" name="Deadly" dataDxfId="14">
      <calculatedColumnFormula>INDEX(Encounter_Diff[], MATCH(Encounter014[[#This Row],[Lvl]], Encounter_Diff[Player Level], 0), MATCH(Encounter014[#Headers], Encounter_Diff[#Headers], 0))</calculatedColumnFormula>
    </tableColumn>
    <tableColumn id="16" xr3:uid="{6F7C582B-5247-401E-833E-B57EBEBDDC4A}" name="CR" dataDxfId="13">
      <calculatedColumnFormula>IFERROR(INDEX(Database[], MATCH(Encounter014[[#This Row],[Character/Creature]], Database[Character/Creature], 0), MATCH(Encounter014[#Headers], Database[#Headers], 0)), "")</calculatedColumnFormula>
    </tableColumn>
    <tableColumn id="17" xr3:uid="{3DB6E757-C36D-4002-9CB9-4171D29322DF}" name="XP" dataDxfId="12">
      <calculatedColumnFormula>IF(ISBLANK(Encounter014[Party]), INDEX(ChallengeRating[XP], MATCH(Encounter014[CR], ChallengeRating[Challenge Rating], 0)), 0)</calculatedColumnFormula>
    </tableColumn>
  </tableColumns>
  <tableStyleInfo name="TableStyleLight15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11" Type="http://schemas.openxmlformats.org/officeDocument/2006/relationships/comments" Target="../comments4.xml"/><Relationship Id="rId5" Type="http://schemas.openxmlformats.org/officeDocument/2006/relationships/ctrlProp" Target="../ctrlProps/ctrlProp8.xml"/><Relationship Id="rId10" Type="http://schemas.openxmlformats.org/officeDocument/2006/relationships/table" Target="../tables/table1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11" Type="http://schemas.openxmlformats.org/officeDocument/2006/relationships/comments" Target="../comments5.xml"/><Relationship Id="rId5" Type="http://schemas.openxmlformats.org/officeDocument/2006/relationships/ctrlProp" Target="../ctrlProps/ctrlProp14.xml"/><Relationship Id="rId10" Type="http://schemas.openxmlformats.org/officeDocument/2006/relationships/table" Target="../tables/table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1.xml"/><Relationship Id="rId11" Type="http://schemas.openxmlformats.org/officeDocument/2006/relationships/comments" Target="../comments6.xml"/><Relationship Id="rId5" Type="http://schemas.openxmlformats.org/officeDocument/2006/relationships/ctrlProp" Target="../ctrlProps/ctrlProp20.xml"/><Relationship Id="rId10" Type="http://schemas.openxmlformats.org/officeDocument/2006/relationships/table" Target="../tables/table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11" Type="http://schemas.openxmlformats.org/officeDocument/2006/relationships/comments" Target="../comments7.xml"/><Relationship Id="rId5" Type="http://schemas.openxmlformats.org/officeDocument/2006/relationships/ctrlProp" Target="../ctrlProps/ctrlProp26.xml"/><Relationship Id="rId10" Type="http://schemas.openxmlformats.org/officeDocument/2006/relationships/table" Target="../tables/table2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11" Type="http://schemas.openxmlformats.org/officeDocument/2006/relationships/comments" Target="../comments8.xml"/><Relationship Id="rId5" Type="http://schemas.openxmlformats.org/officeDocument/2006/relationships/ctrlProp" Target="../ctrlProps/ctrlProp32.xml"/><Relationship Id="rId10" Type="http://schemas.openxmlformats.org/officeDocument/2006/relationships/table" Target="../tables/table2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9.xml"/><Relationship Id="rId11" Type="http://schemas.openxmlformats.org/officeDocument/2006/relationships/comments" Target="../comments9.xml"/><Relationship Id="rId5" Type="http://schemas.openxmlformats.org/officeDocument/2006/relationships/ctrlProp" Target="../ctrlProps/ctrlProp38.xml"/><Relationship Id="rId10" Type="http://schemas.openxmlformats.org/officeDocument/2006/relationships/table" Target="../tables/table2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C1447-768E-4D6F-ABDB-29D8DADB95A0}">
  <sheetPr codeName="Sheet1"/>
  <dimension ref="B1:AH37"/>
  <sheetViews>
    <sheetView topLeftCell="B1" workbookViewId="0">
      <selection activeCell="M6" sqref="M6"/>
    </sheetView>
  </sheetViews>
  <sheetFormatPr defaultRowHeight="15" x14ac:dyDescent="0.2"/>
  <cols>
    <col min="2" max="2" width="13.109375" style="10" customWidth="1"/>
    <col min="3" max="5" width="10.6640625" style="10" customWidth="1"/>
    <col min="6" max="6" width="7.6640625" style="10" customWidth="1"/>
    <col min="7" max="7" width="23.44140625" style="10" customWidth="1"/>
    <col min="8" max="8" width="10.109375" style="10" customWidth="1"/>
    <col min="9" max="9" width="11.88671875" style="10" customWidth="1"/>
    <col min="10" max="10" width="10" style="10" customWidth="1"/>
    <col min="11" max="11" width="7.6640625" style="10" customWidth="1"/>
    <col min="12" max="12" width="11.109375" style="10" customWidth="1"/>
    <col min="13" max="13" width="7" style="10" customWidth="1"/>
    <col min="14" max="14" width="6.44140625" style="10" customWidth="1"/>
    <col min="15" max="17" width="9.5546875" style="10" customWidth="1"/>
    <col min="21" max="21" width="20.88671875" customWidth="1"/>
    <col min="22" max="22" width="11.88671875" customWidth="1"/>
    <col min="26" max="26" width="6.109375" customWidth="1"/>
    <col min="27" max="27" width="15.33203125" customWidth="1"/>
    <col min="28" max="28" width="10" customWidth="1"/>
    <col min="29" max="29" width="12.109375" customWidth="1"/>
  </cols>
  <sheetData>
    <row r="1" spans="2:34" ht="15.75" thickBot="1" x14ac:dyDescent="0.25"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</row>
    <row r="2" spans="2:34" ht="31.5" thickBot="1" x14ac:dyDescent="0.35">
      <c r="B2" s="203" t="s">
        <v>44</v>
      </c>
      <c r="C2" s="204"/>
      <c r="D2" s="214"/>
      <c r="E2" s="11"/>
      <c r="F2" s="203" t="s">
        <v>43</v>
      </c>
      <c r="G2" s="204"/>
      <c r="H2" s="204"/>
      <c r="I2" s="204"/>
      <c r="J2" s="214"/>
      <c r="K2" s="203" t="s">
        <v>128</v>
      </c>
      <c r="L2" s="204"/>
      <c r="M2" s="217"/>
      <c r="N2" s="217"/>
      <c r="O2" s="218"/>
      <c r="P2" s="133"/>
      <c r="Q2" s="133"/>
      <c r="T2" s="203" t="s">
        <v>254</v>
      </c>
      <c r="U2" s="204"/>
      <c r="V2" s="204"/>
      <c r="W2" s="204"/>
      <c r="X2" s="204"/>
      <c r="Y2" s="204"/>
      <c r="Z2" s="204"/>
      <c r="AA2" s="204"/>
      <c r="AB2" s="204"/>
      <c r="AC2" s="204"/>
      <c r="AD2" s="214"/>
    </row>
    <row r="3" spans="2:34" ht="47.25" x14ac:dyDescent="0.3">
      <c r="B3" s="12" t="s">
        <v>21</v>
      </c>
      <c r="C3" s="5" t="s">
        <v>45</v>
      </c>
      <c r="D3" s="5" t="s">
        <v>19</v>
      </c>
      <c r="E3" s="11"/>
      <c r="F3" s="12" t="s">
        <v>46</v>
      </c>
      <c r="G3" s="5" t="s">
        <v>36</v>
      </c>
      <c r="H3" s="5" t="s">
        <v>37</v>
      </c>
      <c r="I3" s="5" t="s">
        <v>38</v>
      </c>
      <c r="J3" s="5" t="s">
        <v>40</v>
      </c>
      <c r="K3" s="215" t="s">
        <v>120</v>
      </c>
      <c r="L3" s="219"/>
      <c r="M3" s="215" t="s">
        <v>119</v>
      </c>
      <c r="N3" s="215"/>
      <c r="O3" s="216"/>
      <c r="P3" s="131"/>
      <c r="Q3" s="131"/>
      <c r="T3" s="5" t="s">
        <v>0</v>
      </c>
      <c r="U3" s="5" t="s">
        <v>2</v>
      </c>
      <c r="V3" s="5" t="s">
        <v>3</v>
      </c>
      <c r="W3" s="5" t="s">
        <v>12</v>
      </c>
      <c r="X3" s="5" t="s">
        <v>1</v>
      </c>
      <c r="Y3" s="5" t="s">
        <v>13</v>
      </c>
      <c r="Z3" s="5" t="s">
        <v>83</v>
      </c>
      <c r="AA3" s="105" t="s">
        <v>255</v>
      </c>
      <c r="AB3" s="5" t="s">
        <v>56</v>
      </c>
      <c r="AC3" s="5" t="s">
        <v>11</v>
      </c>
      <c r="AD3" s="21" t="s">
        <v>259</v>
      </c>
    </row>
    <row r="4" spans="2:34" ht="15.75" thickBot="1" x14ac:dyDescent="0.25">
      <c r="B4" s="20">
        <v>0</v>
      </c>
      <c r="C4" s="1">
        <v>2</v>
      </c>
      <c r="D4" s="1">
        <v>10</v>
      </c>
      <c r="F4" s="13">
        <v>0</v>
      </c>
      <c r="G4" s="1">
        <v>0</v>
      </c>
      <c r="H4" s="1">
        <v>0</v>
      </c>
      <c r="I4" s="1">
        <v>0</v>
      </c>
      <c r="J4" s="1">
        <v>0</v>
      </c>
      <c r="K4" s="220"/>
      <c r="L4" s="221"/>
      <c r="M4" s="26" t="s">
        <v>125</v>
      </c>
      <c r="N4" s="26" t="s">
        <v>126</v>
      </c>
      <c r="O4" s="27" t="s">
        <v>127</v>
      </c>
      <c r="P4" s="134"/>
      <c r="Q4" s="134"/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08"/>
      <c r="AB4" s="107"/>
      <c r="AC4" s="1">
        <v>1</v>
      </c>
      <c r="AD4" s="107"/>
    </row>
    <row r="5" spans="2:34" ht="16.5" thickBot="1" x14ac:dyDescent="0.25">
      <c r="B5" s="20">
        <v>0.125</v>
      </c>
      <c r="C5" s="1">
        <v>2</v>
      </c>
      <c r="D5" s="1">
        <v>25</v>
      </c>
      <c r="F5" s="13">
        <v>1</v>
      </c>
      <c r="G5" s="1">
        <v>25</v>
      </c>
      <c r="H5" s="1">
        <v>50</v>
      </c>
      <c r="I5" s="1">
        <v>75</v>
      </c>
      <c r="J5" s="1">
        <v>100</v>
      </c>
      <c r="K5" s="7" t="s">
        <v>124</v>
      </c>
      <c r="L5" s="12" t="s">
        <v>106</v>
      </c>
      <c r="M5" s="23" t="s">
        <v>122</v>
      </c>
      <c r="N5" s="24" t="s">
        <v>121</v>
      </c>
      <c r="O5" s="25" t="s">
        <v>123</v>
      </c>
      <c r="P5" s="135"/>
      <c r="Q5" s="135"/>
    </row>
    <row r="6" spans="2:34" ht="32.25" thickBot="1" x14ac:dyDescent="0.25">
      <c r="B6" s="20">
        <v>0.25</v>
      </c>
      <c r="C6" s="1">
        <v>2</v>
      </c>
      <c r="D6" s="1">
        <v>50</v>
      </c>
      <c r="F6" s="13">
        <v>2</v>
      </c>
      <c r="G6" s="1">
        <v>50</v>
      </c>
      <c r="H6" s="1">
        <v>100</v>
      </c>
      <c r="I6" s="1">
        <v>150</v>
      </c>
      <c r="J6" s="1">
        <v>200</v>
      </c>
      <c r="K6" s="28" t="s">
        <v>113</v>
      </c>
      <c r="L6" s="13" t="s">
        <v>107</v>
      </c>
      <c r="M6" s="1">
        <v>1.5</v>
      </c>
      <c r="N6" s="1">
        <v>1</v>
      </c>
      <c r="O6" s="1">
        <v>0.5</v>
      </c>
      <c r="P6" s="1"/>
      <c r="Q6" s="1"/>
      <c r="S6" s="203" t="s">
        <v>244</v>
      </c>
      <c r="T6" s="204"/>
      <c r="U6" s="205"/>
      <c r="V6" s="205"/>
      <c r="W6" s="205"/>
      <c r="X6" s="205"/>
      <c r="Y6" s="205"/>
      <c r="Z6" s="205"/>
      <c r="AA6" s="205"/>
      <c r="AB6" s="205"/>
      <c r="AC6" s="205"/>
      <c r="AD6" s="205"/>
      <c r="AE6" s="206"/>
      <c r="AF6" s="207" t="s">
        <v>234</v>
      </c>
      <c r="AG6" s="208"/>
      <c r="AH6" s="126">
        <v>0</v>
      </c>
    </row>
    <row r="7" spans="2:34" ht="20.25" thickBot="1" x14ac:dyDescent="0.35">
      <c r="B7" s="20">
        <v>0.5</v>
      </c>
      <c r="C7" s="1">
        <v>2</v>
      </c>
      <c r="D7" s="1">
        <v>100</v>
      </c>
      <c r="F7" s="13">
        <v>3</v>
      </c>
      <c r="G7" s="1">
        <v>75</v>
      </c>
      <c r="H7" s="1">
        <v>150</v>
      </c>
      <c r="I7" s="1">
        <v>225</v>
      </c>
      <c r="J7" s="1">
        <v>400</v>
      </c>
      <c r="K7" s="28" t="s">
        <v>114</v>
      </c>
      <c r="L7" s="13" t="s">
        <v>108</v>
      </c>
      <c r="M7" s="1">
        <v>2</v>
      </c>
      <c r="N7" s="1">
        <v>1.5</v>
      </c>
      <c r="O7" s="1">
        <v>1</v>
      </c>
      <c r="P7" s="1"/>
      <c r="Q7" s="1"/>
      <c r="S7" s="209" t="s">
        <v>252</v>
      </c>
      <c r="T7" s="210"/>
      <c r="U7" s="210"/>
      <c r="V7" s="211"/>
      <c r="W7" s="212" t="s">
        <v>7</v>
      </c>
      <c r="X7" s="210"/>
      <c r="Y7" s="210"/>
      <c r="Z7" s="210"/>
      <c r="AA7" s="211"/>
      <c r="AB7" s="212" t="s">
        <v>8</v>
      </c>
      <c r="AC7" s="210"/>
      <c r="AD7" s="210"/>
      <c r="AE7" s="211"/>
      <c r="AF7" s="210" t="s">
        <v>20</v>
      </c>
      <c r="AG7" s="210"/>
      <c r="AH7" s="213"/>
    </row>
    <row r="8" spans="2:34" ht="31.5" x14ac:dyDescent="0.2">
      <c r="B8" s="20">
        <v>1</v>
      </c>
      <c r="C8" s="1">
        <v>2</v>
      </c>
      <c r="D8" s="1">
        <v>200</v>
      </c>
      <c r="F8" s="13">
        <v>4</v>
      </c>
      <c r="G8" s="1">
        <v>125</v>
      </c>
      <c r="H8" s="1">
        <v>250</v>
      </c>
      <c r="I8" s="1">
        <v>375</v>
      </c>
      <c r="J8" s="1">
        <v>500</v>
      </c>
      <c r="K8" s="28" t="s">
        <v>115</v>
      </c>
      <c r="L8" s="13" t="s">
        <v>109</v>
      </c>
      <c r="M8" s="1">
        <v>2.5</v>
      </c>
      <c r="N8" s="1">
        <v>2</v>
      </c>
      <c r="O8" s="1">
        <v>1.5</v>
      </c>
      <c r="P8" s="1"/>
      <c r="Q8" s="1"/>
      <c r="S8" s="6" t="s">
        <v>245</v>
      </c>
      <c r="T8" s="128" t="s">
        <v>236</v>
      </c>
      <c r="U8" s="128" t="s">
        <v>260</v>
      </c>
      <c r="V8" s="130" t="s">
        <v>5</v>
      </c>
      <c r="W8" s="113" t="s">
        <v>2</v>
      </c>
      <c r="X8" s="128" t="s">
        <v>246</v>
      </c>
      <c r="Y8" s="128" t="s">
        <v>247</v>
      </c>
      <c r="Z8" s="128" t="s">
        <v>83</v>
      </c>
      <c r="AA8" s="132" t="s">
        <v>255</v>
      </c>
      <c r="AB8" s="115" t="s">
        <v>56</v>
      </c>
      <c r="AC8" s="128" t="s">
        <v>4</v>
      </c>
      <c r="AD8" s="21" t="s">
        <v>259</v>
      </c>
      <c r="AE8" s="130" t="s">
        <v>251</v>
      </c>
      <c r="AF8" s="131" t="s">
        <v>258</v>
      </c>
      <c r="AG8" s="131" t="s">
        <v>248</v>
      </c>
      <c r="AH8" s="129" t="s">
        <v>19</v>
      </c>
    </row>
    <row r="9" spans="2:34" ht="20.25" x14ac:dyDescent="0.2">
      <c r="B9" s="20">
        <v>2</v>
      </c>
      <c r="C9" s="1">
        <v>2</v>
      </c>
      <c r="D9" s="1">
        <v>450</v>
      </c>
      <c r="F9" s="13">
        <v>5</v>
      </c>
      <c r="G9" s="1">
        <v>250</v>
      </c>
      <c r="H9" s="1">
        <v>500</v>
      </c>
      <c r="I9" s="1">
        <v>750</v>
      </c>
      <c r="J9" s="1">
        <v>1100</v>
      </c>
      <c r="K9" s="28" t="s">
        <v>116</v>
      </c>
      <c r="L9" s="13" t="s">
        <v>110</v>
      </c>
      <c r="M9" s="1">
        <v>3</v>
      </c>
      <c r="N9" s="1">
        <v>2.5</v>
      </c>
      <c r="O9" s="1">
        <v>2</v>
      </c>
      <c r="P9" s="1"/>
      <c r="Q9" s="1"/>
      <c r="S9" s="117" t="str">
        <f ca="1">IFERROR(INDEX(Database[Init],MATCH(OldEncounter[[#This Row],[Character/Creature]],Database[Character/Creature],0)) + RANDBETWEEN(1,20), "")</f>
        <v/>
      </c>
      <c r="T9" s="117" t="s">
        <v>253</v>
      </c>
      <c r="U9" s="112"/>
      <c r="V9" s="116" t="str">
        <f>IFERROR(INDEX(Database[User],MATCH(OldEncounter[[#This Row],[Character/Creature]],Database[Character/Creature],0)), "")</f>
        <v/>
      </c>
      <c r="W9" s="118" t="str">
        <f ca="1">IFERROR(INDEX(Database[Stealth],MATCH(OldEncounter[[#This Row],[Character/Creature]],Database[Character/Creature],0)) + RANDBETWEEN(1,20) + IF(ISBLANK(OldEncounter[[#This Row],[Party]]), Boost[Stealth], 0), "")</f>
        <v/>
      </c>
      <c r="X9" s="117" t="str">
        <f>IFERROR(INDEX(Database[Pass Perc],MATCH(OldEncounter[[#This Row],[Character/Creature]],Database[Character/Creature],0)) + Boost[Passive Perception] + IF(ISBLANK(OldEncounter[[#This Row],[Party]]), Boost[Passive Perception], 0), "")</f>
        <v/>
      </c>
      <c r="Y9" s="117" t="str">
        <f>IFERROR(INDEX(Database[AC],MATCH(OldEncounter[[#This Row],[Character/Creature]],Database[Character/Creature],0))  + IF(ISBLANK(OldEncounter[[#This Row],[Party]]), Boost[Armor Class], 0), "")</f>
        <v/>
      </c>
      <c r="Z9" s="117" t="str">
        <f>IFERROR(INDEX(Database[Save DC],MATCH(OldEncounter[[#This Row],[Character/Creature]],Database[Character/Creature],0)) + IF(ISBLANK(OldEncounter[[#This Row],[Party]]), Boost[Save DC], 0), "")</f>
        <v/>
      </c>
      <c r="AA9" s="119" t="str">
        <f>IFERROR(INDEX(Database[Status/Notes],MATCH(OldEncounter[[#This Row],[Character/Creature]],Database[Character/Creature],0)), "")</f>
        <v/>
      </c>
      <c r="AB9" s="118" t="str">
        <f>IFERROR(INDEX(Database[Temp HP],MATCH(OldEncounter[[#This Row],[Character/Creature]],Database[Character/Creature],0)) + IF(ISBLANK(OldEncounter[[#This Row],[Party]]), Boost[Temp HP], 0), "")</f>
        <v/>
      </c>
      <c r="AC9" s="117" t="str">
        <f>IFERROR(INDEX(Database[Base HP],MATCH(OldEncounter[[#This Row],[Character/Creature]],Database[Character/Creature],0)) * IF(ISBLANK(OldEncounter[[#This Row],[Party]]), Boost[Total HP (multiplier)], 1) + OldEncounter[[#This Row],[Temp HP]], "")</f>
        <v/>
      </c>
      <c r="AD9" s="117" t="str">
        <f>IFERROR(INDEX(Database[Dmg Taken],MATCH(OldEncounter[[#This Row],[Character/Creature]],Database[Character/Creature],0)) + IF(ISBLANK(OldEncounter[[#This Row],[Party]]), Boost[Dmg Taken], 0), "")</f>
        <v/>
      </c>
      <c r="AE9" s="111" t="str">
        <f>IFERROR(OldEncounter[[#This Row],[Total HP]]-OldEncounter[[#This Row],[Dmg Taken]], "")</f>
        <v/>
      </c>
      <c r="AF9" s="101" t="str">
        <f>IFERROR(INDEX(Database[Lvl],MATCH(OldEncounter[[#This Row],[Character/Creature]],Database[Character/Creature],0)), "")</f>
        <v/>
      </c>
      <c r="AG9" s="101" t="str">
        <f>IFERROR(INDEX(Database[CR],MATCH(OldEncounter[[#This Row],[Character/Creature]],Database[Character/Creature],0)), "")</f>
        <v/>
      </c>
      <c r="AH9" s="101"/>
    </row>
    <row r="10" spans="2:34" x14ac:dyDescent="0.2">
      <c r="B10" s="20">
        <v>3</v>
      </c>
      <c r="C10" s="1">
        <v>2</v>
      </c>
      <c r="D10" s="1">
        <v>700</v>
      </c>
      <c r="F10" s="13">
        <v>6</v>
      </c>
      <c r="G10" s="1">
        <v>300</v>
      </c>
      <c r="H10" s="1">
        <v>600</v>
      </c>
      <c r="I10" s="1">
        <v>900</v>
      </c>
      <c r="J10" s="1">
        <v>1400</v>
      </c>
      <c r="K10" s="28" t="s">
        <v>117</v>
      </c>
      <c r="L10" s="13" t="s">
        <v>111</v>
      </c>
      <c r="M10" s="1">
        <v>4</v>
      </c>
      <c r="N10" s="1">
        <v>3</v>
      </c>
      <c r="O10" s="1">
        <v>2.5</v>
      </c>
      <c r="P10" s="1"/>
      <c r="Q10" s="1"/>
    </row>
    <row r="11" spans="2:34" x14ac:dyDescent="0.2">
      <c r="B11" s="20">
        <v>4</v>
      </c>
      <c r="C11" s="1">
        <v>2</v>
      </c>
      <c r="D11" s="1">
        <v>1100</v>
      </c>
      <c r="F11" s="13">
        <v>7</v>
      </c>
      <c r="G11" s="1">
        <v>350</v>
      </c>
      <c r="H11" s="1">
        <v>750</v>
      </c>
      <c r="I11" s="1">
        <v>1100</v>
      </c>
      <c r="J11" s="1">
        <v>1700</v>
      </c>
      <c r="K11" s="28" t="s">
        <v>118</v>
      </c>
      <c r="L11" s="13" t="s">
        <v>112</v>
      </c>
      <c r="M11" s="1">
        <v>5</v>
      </c>
      <c r="N11" s="1">
        <v>4</v>
      </c>
      <c r="O11" s="1">
        <v>3</v>
      </c>
      <c r="P11" s="1"/>
      <c r="Q11" s="1"/>
    </row>
    <row r="12" spans="2:34" x14ac:dyDescent="0.2">
      <c r="B12" s="20">
        <v>5</v>
      </c>
      <c r="C12" s="1">
        <v>3</v>
      </c>
      <c r="D12" s="1">
        <v>1800</v>
      </c>
      <c r="F12" s="13">
        <v>8</v>
      </c>
      <c r="G12" s="1">
        <v>450</v>
      </c>
      <c r="H12" s="1">
        <v>900</v>
      </c>
      <c r="I12" s="1">
        <v>1400</v>
      </c>
      <c r="J12" s="1">
        <v>2100</v>
      </c>
    </row>
    <row r="13" spans="2:34" x14ac:dyDescent="0.2">
      <c r="B13" s="20">
        <v>6</v>
      </c>
      <c r="C13" s="1">
        <v>3</v>
      </c>
      <c r="D13" s="1">
        <v>2300</v>
      </c>
      <c r="F13" s="13">
        <v>9</v>
      </c>
      <c r="G13" s="1">
        <v>550</v>
      </c>
      <c r="H13" s="1">
        <v>1100</v>
      </c>
      <c r="I13" s="1">
        <v>1600</v>
      </c>
      <c r="J13" s="1">
        <v>2400</v>
      </c>
    </row>
    <row r="14" spans="2:34" x14ac:dyDescent="0.2">
      <c r="B14" s="20">
        <v>7</v>
      </c>
      <c r="C14" s="1">
        <v>3</v>
      </c>
      <c r="D14" s="1">
        <v>2900</v>
      </c>
      <c r="F14" s="13">
        <v>10</v>
      </c>
      <c r="G14" s="1">
        <v>600</v>
      </c>
      <c r="H14" s="1">
        <v>1200</v>
      </c>
      <c r="I14" s="1">
        <v>1900</v>
      </c>
      <c r="J14" s="1">
        <v>2800</v>
      </c>
    </row>
    <row r="15" spans="2:34" x14ac:dyDescent="0.2">
      <c r="B15" s="20">
        <v>8</v>
      </c>
      <c r="C15" s="1">
        <v>3</v>
      </c>
      <c r="D15" s="1">
        <v>3900</v>
      </c>
      <c r="F15" s="13">
        <v>11</v>
      </c>
      <c r="G15" s="1">
        <v>800</v>
      </c>
      <c r="H15" s="1">
        <v>1600</v>
      </c>
      <c r="I15" s="1">
        <v>2400</v>
      </c>
      <c r="J15" s="1">
        <v>3600</v>
      </c>
    </row>
    <row r="16" spans="2:34" x14ac:dyDescent="0.2">
      <c r="B16" s="20">
        <v>9</v>
      </c>
      <c r="C16" s="1">
        <v>4</v>
      </c>
      <c r="D16" s="1">
        <v>5000</v>
      </c>
      <c r="F16" s="13">
        <v>12</v>
      </c>
      <c r="G16" s="1">
        <v>1000</v>
      </c>
      <c r="H16" s="1">
        <v>2000</v>
      </c>
      <c r="I16" s="1">
        <v>3000</v>
      </c>
      <c r="J16" s="1">
        <v>4500</v>
      </c>
    </row>
    <row r="17" spans="2:10" x14ac:dyDescent="0.2">
      <c r="B17" s="20">
        <v>10</v>
      </c>
      <c r="C17" s="1">
        <v>4</v>
      </c>
      <c r="D17" s="1">
        <v>5900</v>
      </c>
      <c r="F17" s="13">
        <v>13</v>
      </c>
      <c r="G17" s="1">
        <v>1100</v>
      </c>
      <c r="H17" s="1">
        <v>2200</v>
      </c>
      <c r="I17" s="1">
        <v>3400</v>
      </c>
      <c r="J17" s="1">
        <v>5100</v>
      </c>
    </row>
    <row r="18" spans="2:10" x14ac:dyDescent="0.2">
      <c r="B18" s="20">
        <v>11</v>
      </c>
      <c r="C18" s="1">
        <v>4</v>
      </c>
      <c r="D18" s="1">
        <v>7200</v>
      </c>
      <c r="F18" s="13">
        <v>14</v>
      </c>
      <c r="G18" s="1">
        <v>1250</v>
      </c>
      <c r="H18" s="1">
        <v>2500</v>
      </c>
      <c r="I18" s="1">
        <v>3800</v>
      </c>
      <c r="J18" s="1">
        <v>5700</v>
      </c>
    </row>
    <row r="19" spans="2:10" x14ac:dyDescent="0.2">
      <c r="B19" s="20">
        <v>12</v>
      </c>
      <c r="C19" s="1">
        <v>4</v>
      </c>
      <c r="D19" s="1">
        <v>8400</v>
      </c>
      <c r="F19" s="13">
        <v>15</v>
      </c>
      <c r="G19" s="1">
        <v>1400</v>
      </c>
      <c r="H19" s="1">
        <v>2800</v>
      </c>
      <c r="I19" s="1">
        <v>4300</v>
      </c>
      <c r="J19" s="1">
        <v>6400</v>
      </c>
    </row>
    <row r="20" spans="2:10" x14ac:dyDescent="0.2">
      <c r="B20" s="20">
        <v>13</v>
      </c>
      <c r="C20" s="1">
        <v>5</v>
      </c>
      <c r="D20" s="1">
        <v>10000</v>
      </c>
      <c r="F20" s="13">
        <v>16</v>
      </c>
      <c r="G20" s="1">
        <v>1600</v>
      </c>
      <c r="H20" s="1">
        <v>3200</v>
      </c>
      <c r="I20" s="1">
        <v>4800</v>
      </c>
      <c r="J20" s="1">
        <v>7200</v>
      </c>
    </row>
    <row r="21" spans="2:10" x14ac:dyDescent="0.2">
      <c r="B21" s="20">
        <v>14</v>
      </c>
      <c r="C21" s="1">
        <v>5</v>
      </c>
      <c r="D21" s="1">
        <v>11500</v>
      </c>
      <c r="F21" s="13">
        <v>17</v>
      </c>
      <c r="G21" s="1">
        <v>2000</v>
      </c>
      <c r="H21" s="1">
        <v>3900</v>
      </c>
      <c r="I21" s="1">
        <v>5900</v>
      </c>
      <c r="J21" s="1">
        <v>8800</v>
      </c>
    </row>
    <row r="22" spans="2:10" x14ac:dyDescent="0.2">
      <c r="B22" s="20">
        <v>15</v>
      </c>
      <c r="C22" s="1">
        <v>5</v>
      </c>
      <c r="D22" s="1">
        <v>13000</v>
      </c>
      <c r="F22" s="13">
        <v>18</v>
      </c>
      <c r="G22" s="1">
        <v>2100</v>
      </c>
      <c r="H22" s="1">
        <v>4200</v>
      </c>
      <c r="I22" s="1">
        <v>6300</v>
      </c>
      <c r="J22" s="1">
        <v>9500</v>
      </c>
    </row>
    <row r="23" spans="2:10" x14ac:dyDescent="0.2">
      <c r="B23" s="20">
        <v>16</v>
      </c>
      <c r="C23" s="1">
        <v>5</v>
      </c>
      <c r="D23" s="1">
        <v>15000</v>
      </c>
      <c r="F23" s="13">
        <v>19</v>
      </c>
      <c r="G23" s="1">
        <v>2400</v>
      </c>
      <c r="H23" s="1">
        <v>4900</v>
      </c>
      <c r="I23" s="1">
        <v>7300</v>
      </c>
      <c r="J23" s="1">
        <v>10900</v>
      </c>
    </row>
    <row r="24" spans="2:10" x14ac:dyDescent="0.2">
      <c r="B24" s="20">
        <v>17</v>
      </c>
      <c r="C24" s="1">
        <v>6</v>
      </c>
      <c r="D24" s="1">
        <v>18000</v>
      </c>
      <c r="F24" s="13">
        <v>20</v>
      </c>
      <c r="G24" s="1">
        <v>2800</v>
      </c>
      <c r="H24" s="1">
        <v>5700</v>
      </c>
      <c r="I24" s="1">
        <v>8500</v>
      </c>
      <c r="J24" s="1">
        <v>12700</v>
      </c>
    </row>
    <row r="25" spans="2:10" x14ac:dyDescent="0.2">
      <c r="B25" s="20">
        <v>18</v>
      </c>
      <c r="C25" s="1">
        <v>6</v>
      </c>
      <c r="D25" s="1">
        <v>20000</v>
      </c>
    </row>
    <row r="26" spans="2:10" x14ac:dyDescent="0.2">
      <c r="B26" s="20">
        <v>19</v>
      </c>
      <c r="C26" s="1">
        <v>6</v>
      </c>
      <c r="D26" s="1">
        <v>22000</v>
      </c>
    </row>
    <row r="27" spans="2:10" x14ac:dyDescent="0.2">
      <c r="B27" s="20">
        <v>20</v>
      </c>
      <c r="C27" s="1">
        <v>6</v>
      </c>
      <c r="D27" s="1">
        <v>25000</v>
      </c>
    </row>
    <row r="28" spans="2:10" x14ac:dyDescent="0.2">
      <c r="B28" s="20">
        <v>21</v>
      </c>
      <c r="C28" s="1">
        <v>7</v>
      </c>
      <c r="D28" s="1">
        <v>33000</v>
      </c>
    </row>
    <row r="29" spans="2:10" x14ac:dyDescent="0.2">
      <c r="B29" s="20">
        <v>22</v>
      </c>
      <c r="C29" s="1">
        <v>7</v>
      </c>
      <c r="D29" s="1">
        <v>41000</v>
      </c>
    </row>
    <row r="30" spans="2:10" x14ac:dyDescent="0.2">
      <c r="B30" s="20">
        <v>23</v>
      </c>
      <c r="C30" s="1">
        <v>7</v>
      </c>
      <c r="D30" s="1">
        <v>50000</v>
      </c>
    </row>
    <row r="31" spans="2:10" x14ac:dyDescent="0.2">
      <c r="B31" s="20">
        <v>24</v>
      </c>
      <c r="C31" s="1">
        <v>7</v>
      </c>
      <c r="D31" s="1">
        <v>62000</v>
      </c>
    </row>
    <row r="32" spans="2:10" x14ac:dyDescent="0.2">
      <c r="B32" s="20">
        <v>25</v>
      </c>
      <c r="C32" s="1">
        <v>8</v>
      </c>
      <c r="D32" s="1">
        <v>75000</v>
      </c>
    </row>
    <row r="33" spans="2:4" x14ac:dyDescent="0.2">
      <c r="B33" s="20">
        <v>26</v>
      </c>
      <c r="C33" s="1">
        <v>8</v>
      </c>
      <c r="D33" s="1">
        <v>90000</v>
      </c>
    </row>
    <row r="34" spans="2:4" x14ac:dyDescent="0.2">
      <c r="B34" s="20">
        <v>27</v>
      </c>
      <c r="C34" s="1">
        <v>8</v>
      </c>
      <c r="D34" s="1">
        <v>105000</v>
      </c>
    </row>
    <row r="35" spans="2:4" x14ac:dyDescent="0.2">
      <c r="B35" s="20">
        <v>28</v>
      </c>
      <c r="C35" s="1">
        <v>8</v>
      </c>
      <c r="D35" s="1">
        <v>120000</v>
      </c>
    </row>
    <row r="36" spans="2:4" x14ac:dyDescent="0.2">
      <c r="B36" s="20">
        <v>29</v>
      </c>
      <c r="C36" s="1">
        <v>9</v>
      </c>
      <c r="D36" s="1">
        <v>135000</v>
      </c>
    </row>
    <row r="37" spans="2:4" x14ac:dyDescent="0.2">
      <c r="B37" s="20">
        <v>30</v>
      </c>
      <c r="C37" s="1">
        <v>9</v>
      </c>
      <c r="D37" s="1">
        <v>155000</v>
      </c>
    </row>
  </sheetData>
  <mergeCells count="12">
    <mergeCell ref="T2:AD2"/>
    <mergeCell ref="M3:O3"/>
    <mergeCell ref="B2:D2"/>
    <mergeCell ref="F2:J2"/>
    <mergeCell ref="K2:O2"/>
    <mergeCell ref="K3:L4"/>
    <mergeCell ref="S6:AE6"/>
    <mergeCell ref="AF6:AG6"/>
    <mergeCell ref="S7:V7"/>
    <mergeCell ref="W7:AA7"/>
    <mergeCell ref="AB7:AE7"/>
    <mergeCell ref="AF7:AH7"/>
  </mergeCells>
  <conditionalFormatting sqref="S9:AH9">
    <cfRule type="expression" dxfId="180" priority="1">
      <formula>ROUND($N9,0)&lt;1</formula>
    </cfRule>
    <cfRule type="expression" dxfId="179" priority="2">
      <formula>$E9="NPC"</formula>
    </cfRule>
    <cfRule type="expression" dxfId="178" priority="3">
      <formula xml:space="preserve"> AND( NOT(ISBLANK($C9)), NOT(ISBLANK($E9)), NOT($E9=""), NOT($E9=0))</formula>
    </cfRule>
  </conditionalFormatting>
  <pageMargins left="0.7" right="0.7" top="0.75" bottom="0.75" header="0.3" footer="0.3"/>
  <legacyDrawing r:id="rId1"/>
  <tableParts count="5">
    <tablePart r:id="rId2"/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4A5B8C-BE97-4D23-9771-1E98ACC60200}">
          <x14:formula1>
            <xm:f>Database!$E$4:$E$145</xm:f>
          </x14:formula1>
          <xm:sqref>U9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171"/>
  <sheetViews>
    <sheetView topLeftCell="A160" zoomScale="85" zoomScaleNormal="85" workbookViewId="0">
      <selection activeCell="E171" sqref="E171"/>
    </sheetView>
  </sheetViews>
  <sheetFormatPr defaultColWidth="9" defaultRowHeight="15" x14ac:dyDescent="0.2"/>
  <cols>
    <col min="1" max="1" width="9" style="10"/>
    <col min="2" max="2" width="13.5546875" style="10" customWidth="1"/>
    <col min="3" max="3" width="9.88671875" style="10" customWidth="1"/>
    <col min="4" max="4" width="10" style="10" customWidth="1"/>
    <col min="5" max="5" width="23.44140625" style="10" customWidth="1"/>
    <col min="6" max="6" width="11" style="10" customWidth="1"/>
    <col min="7" max="7" width="10.21875" style="10" customWidth="1"/>
    <col min="8" max="8" width="10.44140625" style="10" customWidth="1"/>
    <col min="9" max="9" width="7.33203125" style="10" customWidth="1"/>
    <col min="10" max="10" width="8" style="10" customWidth="1"/>
    <col min="11" max="11" width="6.77734375" style="10" customWidth="1"/>
    <col min="12" max="12" width="6.6640625" style="10" customWidth="1"/>
    <col min="13" max="13" width="6" style="10" customWidth="1"/>
    <col min="14" max="14" width="6.109375" style="10" customWidth="1"/>
    <col min="15" max="15" width="7.109375" style="10" customWidth="1"/>
    <col min="16" max="16" width="27" style="10" customWidth="1"/>
    <col min="17" max="17" width="6.21875" style="10" customWidth="1"/>
    <col min="18" max="18" width="6.33203125" style="10" customWidth="1"/>
    <col min="19" max="19" width="7.6640625" style="10" customWidth="1"/>
    <col min="20" max="20" width="8.21875" style="10" customWidth="1"/>
    <col min="21" max="21" width="6.44140625" style="10" customWidth="1"/>
    <col min="22" max="22" width="6.77734375" style="10" customWidth="1"/>
    <col min="37" max="37" width="9" style="10"/>
    <col min="38" max="38" width="15.5546875" style="10" customWidth="1"/>
    <col min="39" max="39" width="16" style="10" customWidth="1"/>
    <col min="40" max="40" width="9" style="10"/>
    <col min="41" max="41" width="7.88671875" style="10" customWidth="1"/>
    <col min="42" max="42" width="9" style="10"/>
    <col min="43" max="43" width="10.6640625" style="10" customWidth="1"/>
    <col min="44" max="46" width="9" style="10"/>
    <col min="47" max="47" width="15.5546875" style="10" customWidth="1"/>
    <col min="48" max="50" width="9" style="10"/>
    <col min="51" max="51" width="9.5546875" style="10" customWidth="1"/>
    <col min="52" max="16384" width="9" style="10"/>
  </cols>
  <sheetData>
    <row r="1" spans="2:38" ht="16.5" thickBot="1" x14ac:dyDescent="0.25">
      <c r="B1" s="7"/>
      <c r="C1" s="94"/>
      <c r="D1" s="104"/>
      <c r="E1" s="104"/>
    </row>
    <row r="2" spans="2:38" ht="31.5" thickBot="1" x14ac:dyDescent="0.25">
      <c r="B2" s="203" t="s">
        <v>265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14"/>
    </row>
    <row r="3" spans="2:38" ht="31.5" x14ac:dyDescent="0.2">
      <c r="B3" s="174" t="s">
        <v>109</v>
      </c>
      <c r="C3" s="94" t="s">
        <v>5</v>
      </c>
      <c r="D3" s="94" t="s">
        <v>264</v>
      </c>
      <c r="E3" s="174" t="s">
        <v>260</v>
      </c>
      <c r="F3" s="94" t="s">
        <v>21</v>
      </c>
      <c r="G3" s="174" t="s">
        <v>263</v>
      </c>
      <c r="H3" s="175" t="s">
        <v>283</v>
      </c>
      <c r="I3" s="94" t="s">
        <v>245</v>
      </c>
      <c r="J3" s="94" t="s">
        <v>2</v>
      </c>
      <c r="K3" s="94" t="s">
        <v>246</v>
      </c>
      <c r="L3" s="94" t="s">
        <v>261</v>
      </c>
      <c r="M3" s="94" t="s">
        <v>247</v>
      </c>
      <c r="N3" s="94" t="s">
        <v>262</v>
      </c>
      <c r="O3" s="94" t="s">
        <v>83</v>
      </c>
      <c r="P3" s="95" t="s">
        <v>255</v>
      </c>
      <c r="Q3" s="94" t="s">
        <v>56</v>
      </c>
      <c r="R3" s="94" t="s">
        <v>266</v>
      </c>
      <c r="S3" s="178" t="s">
        <v>259</v>
      </c>
      <c r="T3" s="95" t="s">
        <v>251</v>
      </c>
      <c r="U3" s="8" t="s">
        <v>258</v>
      </c>
      <c r="V3" s="8" t="s">
        <v>248</v>
      </c>
      <c r="W3" s="10"/>
      <c r="AK3"/>
    </row>
    <row r="4" spans="2:38" ht="20.25" x14ac:dyDescent="0.2">
      <c r="B4" s="141" t="s">
        <v>456</v>
      </c>
      <c r="C4" s="137" t="s">
        <v>457</v>
      </c>
      <c r="D4" s="101">
        <v>3</v>
      </c>
      <c r="E4" s="109" t="s">
        <v>455</v>
      </c>
      <c r="F4" s="102"/>
      <c r="G4" s="138" t="str">
        <f>IF(NOT( ISBLANK(Database[[#This Row],[Challenge Rating]])), LOOKUP(Database[Challenge Rating],ChallengeRating[Challenge Rating],ChallengeRating[XP]), "-")</f>
        <v>-</v>
      </c>
      <c r="H4" s="144"/>
      <c r="I4" s="139"/>
      <c r="J4" s="139"/>
      <c r="K4" s="139"/>
      <c r="L4" s="139"/>
      <c r="M4" s="139"/>
      <c r="N4" s="139"/>
      <c r="O4" s="139"/>
      <c r="P4" s="183"/>
      <c r="Q4" s="117"/>
      <c r="R4" s="117">
        <v>1</v>
      </c>
      <c r="S4" s="117"/>
      <c r="T4" s="106">
        <f>Database[[#This Row],[Base HP]]+Database[[#This Row],[Temp HP]]-Database[[#This Row],[Dmg Taken]]</f>
        <v>1</v>
      </c>
      <c r="U4" s="102">
        <f t="array" ref="U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4" s="102">
        <f t="array" ref="V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4" s="10"/>
      <c r="AK4"/>
    </row>
    <row r="5" spans="2:38" ht="20.25" x14ac:dyDescent="0.2">
      <c r="B5" s="141" t="s">
        <v>296</v>
      </c>
      <c r="C5" s="137" t="s">
        <v>271</v>
      </c>
      <c r="D5" s="101">
        <v>6</v>
      </c>
      <c r="E5" s="109" t="s">
        <v>272</v>
      </c>
      <c r="F5" s="102"/>
      <c r="G5" s="138" t="str">
        <f>IF(NOT( ISBLANK(Database[[#This Row],[Challenge Rating]])), LOOKUP(Database[Challenge Rating],ChallengeRating[Challenge Rating],ChallengeRating[XP]), "-")</f>
        <v>-</v>
      </c>
      <c r="H5" s="144"/>
      <c r="I5" s="139" t="s">
        <v>139</v>
      </c>
      <c r="J5" s="139" t="s">
        <v>139</v>
      </c>
      <c r="K5" s="139">
        <v>18</v>
      </c>
      <c r="L5" s="139" t="s">
        <v>139</v>
      </c>
      <c r="M5" s="139">
        <v>16</v>
      </c>
      <c r="N5" s="139" t="s">
        <v>139</v>
      </c>
      <c r="O5" s="139">
        <v>14</v>
      </c>
      <c r="P5" s="183"/>
      <c r="Q5" s="117"/>
      <c r="R5" s="117">
        <v>51</v>
      </c>
      <c r="S5" s="117"/>
      <c r="T5" s="106">
        <f>Database[[#This Row],[Base HP]]+Database[[#This Row],[Temp HP]]-Database[[#This Row],[Dmg Taken]]</f>
        <v>51</v>
      </c>
      <c r="U5" s="102">
        <f t="array" ref="U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6</v>
      </c>
      <c r="V5" s="102">
        <f t="array" ref="V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5" s="10"/>
      <c r="AK5"/>
    </row>
    <row r="6" spans="2:38" ht="30" x14ac:dyDescent="0.2">
      <c r="B6" s="141" t="s">
        <v>296</v>
      </c>
      <c r="C6" s="137" t="s">
        <v>276</v>
      </c>
      <c r="D6" s="101">
        <v>6</v>
      </c>
      <c r="E6" s="109" t="s">
        <v>293</v>
      </c>
      <c r="F6" s="102"/>
      <c r="G6" s="138" t="str">
        <f>IF(NOT( ISBLANK(Database[[#This Row],[Challenge Rating]])), LOOKUP(Database[Challenge Rating],ChallengeRating[Challenge Rating],ChallengeRating[XP]), "-")</f>
        <v>-</v>
      </c>
      <c r="H6" s="144"/>
      <c r="I6" s="139" t="s">
        <v>139</v>
      </c>
      <c r="J6" s="139" t="s">
        <v>139</v>
      </c>
      <c r="K6" s="139">
        <v>12</v>
      </c>
      <c r="L6" s="139" t="s">
        <v>139</v>
      </c>
      <c r="M6" s="138" t="s">
        <v>385</v>
      </c>
      <c r="N6" s="139" t="s">
        <v>139</v>
      </c>
      <c r="O6" s="139">
        <v>15</v>
      </c>
      <c r="P6" s="184" t="s">
        <v>380</v>
      </c>
      <c r="Q6" s="117"/>
      <c r="R6" s="117">
        <v>46</v>
      </c>
      <c r="S6" s="117"/>
      <c r="T6" s="106">
        <f>Database[[#This Row],[Base HP]]+Database[[#This Row],[Temp HP]]-Database[[#This Row],[Dmg Taken]]</f>
        <v>46</v>
      </c>
      <c r="U6" s="102">
        <f t="array" ref="U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6</v>
      </c>
      <c r="V6" s="102">
        <f t="array" ref="V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6" s="10"/>
      <c r="AK6"/>
    </row>
    <row r="7" spans="2:38" ht="20.25" x14ac:dyDescent="0.2">
      <c r="B7" s="141" t="s">
        <v>296</v>
      </c>
      <c r="C7" s="137" t="s">
        <v>273</v>
      </c>
      <c r="D7" s="101">
        <v>6</v>
      </c>
      <c r="E7" s="109" t="s">
        <v>281</v>
      </c>
      <c r="F7" s="102"/>
      <c r="G7" s="138" t="str">
        <f>IF(NOT( ISBLANK(Database[[#This Row],[Challenge Rating]])), LOOKUP(Database[Challenge Rating],ChallengeRating[Challenge Rating],ChallengeRating[XP]), "-")</f>
        <v>-</v>
      </c>
      <c r="H7" s="144"/>
      <c r="I7" s="139" t="s">
        <v>139</v>
      </c>
      <c r="J7" s="139" t="s">
        <v>139</v>
      </c>
      <c r="K7" s="139">
        <v>17</v>
      </c>
      <c r="L7" s="139" t="s">
        <v>139</v>
      </c>
      <c r="M7" s="138" t="s">
        <v>384</v>
      </c>
      <c r="N7" s="139" t="s">
        <v>139</v>
      </c>
      <c r="O7" s="139">
        <v>15</v>
      </c>
      <c r="P7" s="183"/>
      <c r="Q7" s="117"/>
      <c r="R7" s="117">
        <v>65</v>
      </c>
      <c r="S7" s="117"/>
      <c r="T7" s="106">
        <f>Database[[#This Row],[Base HP]]+Database[[#This Row],[Temp HP]]-Database[[#This Row],[Dmg Taken]]</f>
        <v>65</v>
      </c>
      <c r="U7" s="102">
        <f t="array" ref="U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6</v>
      </c>
      <c r="V7" s="102">
        <f t="array" ref="V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7" s="10"/>
      <c r="AK7"/>
    </row>
    <row r="8" spans="2:38" ht="20.25" x14ac:dyDescent="0.2">
      <c r="B8" s="141" t="s">
        <v>296</v>
      </c>
      <c r="C8" s="137" t="s">
        <v>273</v>
      </c>
      <c r="D8" s="101">
        <v>0</v>
      </c>
      <c r="E8" s="109" t="s">
        <v>376</v>
      </c>
      <c r="F8" s="102"/>
      <c r="G8" s="138" t="str">
        <f>IF(NOT( ISBLANK(Database[[#This Row],[Challenge Rating]])), LOOKUP(Database[Challenge Rating],ChallengeRating[Challenge Rating],ChallengeRating[XP]), "-")</f>
        <v>-</v>
      </c>
      <c r="H8" s="144"/>
      <c r="I8" s="139" t="s">
        <v>139</v>
      </c>
      <c r="J8" s="139" t="s">
        <v>139</v>
      </c>
      <c r="K8" s="139"/>
      <c r="L8" s="139" t="s">
        <v>139</v>
      </c>
      <c r="M8" s="139"/>
      <c r="N8" s="139" t="s">
        <v>139</v>
      </c>
      <c r="O8" s="139"/>
      <c r="P8" s="183"/>
      <c r="Q8" s="117"/>
      <c r="R8" s="117">
        <v>1</v>
      </c>
      <c r="S8" s="117"/>
      <c r="T8" s="106">
        <f>Database[[#This Row],[Base HP]]+Database[[#This Row],[Temp HP]]-Database[[#This Row],[Dmg Taken]]</f>
        <v>1</v>
      </c>
      <c r="U8" s="102">
        <f t="array" ref="U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8" s="102">
        <f t="array" ref="V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8" s="10"/>
      <c r="AK8"/>
    </row>
    <row r="9" spans="2:38" ht="22.5" x14ac:dyDescent="0.2">
      <c r="B9" s="141" t="s">
        <v>296</v>
      </c>
      <c r="C9" s="137" t="s">
        <v>274</v>
      </c>
      <c r="D9" s="101">
        <v>6</v>
      </c>
      <c r="E9" s="109" t="s">
        <v>282</v>
      </c>
      <c r="F9" s="102"/>
      <c r="G9" s="138" t="str">
        <f>IF(NOT( ISBLANK(Database[[#This Row],[Challenge Rating]])), LOOKUP(Database[Challenge Rating],ChallengeRating[Challenge Rating],ChallengeRating[XP]), "-")</f>
        <v>-</v>
      </c>
      <c r="H9" s="144"/>
      <c r="I9" s="139" t="s">
        <v>139</v>
      </c>
      <c r="J9" s="139" t="s">
        <v>139</v>
      </c>
      <c r="K9" s="139">
        <v>15</v>
      </c>
      <c r="L9" s="139" t="s">
        <v>139</v>
      </c>
      <c r="M9" s="139">
        <v>15</v>
      </c>
      <c r="N9" s="139" t="s">
        <v>139</v>
      </c>
      <c r="O9" s="139">
        <v>13</v>
      </c>
      <c r="P9" s="183" t="s">
        <v>387</v>
      </c>
      <c r="Q9" s="117"/>
      <c r="R9" s="117">
        <v>46</v>
      </c>
      <c r="S9" s="117"/>
      <c r="T9" s="106">
        <f>Database[[#This Row],[Base HP]]+Database[[#This Row],[Temp HP]]-Database[[#This Row],[Dmg Taken]]</f>
        <v>46</v>
      </c>
      <c r="U9" s="102">
        <f t="array" ref="U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6</v>
      </c>
      <c r="V9" s="102">
        <f t="array" ref="V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9" s="10"/>
      <c r="AK9"/>
    </row>
    <row r="10" spans="2:38" ht="20.25" x14ac:dyDescent="0.2">
      <c r="B10" s="141" t="s">
        <v>296</v>
      </c>
      <c r="C10" s="137" t="s">
        <v>274</v>
      </c>
      <c r="D10" s="101">
        <v>0</v>
      </c>
      <c r="E10" s="109" t="s">
        <v>294</v>
      </c>
      <c r="F10" s="102"/>
      <c r="G10" s="138" t="str">
        <f>IF(NOT( ISBLANK(Database[[#This Row],[Challenge Rating]])), LOOKUP(Database[Challenge Rating],ChallengeRating[Challenge Rating],ChallengeRating[XP]), "-")</f>
        <v>-</v>
      </c>
      <c r="H10" s="144"/>
      <c r="I10" s="139" t="s">
        <v>139</v>
      </c>
      <c r="J10" s="139" t="s">
        <v>139</v>
      </c>
      <c r="K10" s="139">
        <v>14</v>
      </c>
      <c r="L10" s="139" t="s">
        <v>139</v>
      </c>
      <c r="M10" s="139">
        <v>16</v>
      </c>
      <c r="N10" s="139" t="s">
        <v>139</v>
      </c>
      <c r="O10" s="139">
        <v>12</v>
      </c>
      <c r="P10" s="184" t="s">
        <v>386</v>
      </c>
      <c r="Q10" s="117"/>
      <c r="R10" s="117">
        <v>35</v>
      </c>
      <c r="S10" s="117"/>
      <c r="T10" s="106">
        <f>Database[[#This Row],[Base HP]]+Database[[#This Row],[Temp HP]]-Database[[#This Row],[Dmg Taken]]</f>
        <v>35</v>
      </c>
      <c r="U10" s="102">
        <f t="array" ref="U1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0" s="102">
        <f t="array" ref="V1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10" s="10"/>
      <c r="AK10"/>
    </row>
    <row r="11" spans="2:38" ht="20.25" x14ac:dyDescent="0.2">
      <c r="B11" s="141" t="s">
        <v>296</v>
      </c>
      <c r="C11" s="137" t="s">
        <v>250</v>
      </c>
      <c r="D11" s="101">
        <v>6</v>
      </c>
      <c r="E11" s="109" t="s">
        <v>275</v>
      </c>
      <c r="F11" s="102"/>
      <c r="G11" s="138" t="str">
        <f>IF(NOT( ISBLANK(Database[[#This Row],[Challenge Rating]])), LOOKUP(Database[Challenge Rating],ChallengeRating[Challenge Rating],ChallengeRating[XP]), "-")</f>
        <v>-</v>
      </c>
      <c r="H11" s="144"/>
      <c r="I11" s="139" t="s">
        <v>139</v>
      </c>
      <c r="J11" s="139" t="s">
        <v>139</v>
      </c>
      <c r="K11" s="139">
        <v>16</v>
      </c>
      <c r="L11" s="139" t="s">
        <v>139</v>
      </c>
      <c r="M11" s="138" t="s">
        <v>383</v>
      </c>
      <c r="N11" s="139" t="s">
        <v>139</v>
      </c>
      <c r="O11" s="139">
        <v>14</v>
      </c>
      <c r="P11" s="184"/>
      <c r="Q11" s="117"/>
      <c r="R11" s="117">
        <v>54</v>
      </c>
      <c r="S11" s="117"/>
      <c r="T11" s="106">
        <f>Database[[#This Row],[Base HP]]+Database[[#This Row],[Temp HP]]-Database[[#This Row],[Dmg Taken]]</f>
        <v>54</v>
      </c>
      <c r="U11" s="102">
        <f t="array" ref="U1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6</v>
      </c>
      <c r="V11" s="102">
        <f t="array" ref="V1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11" s="10"/>
      <c r="AK11"/>
    </row>
    <row r="12" spans="2:38" ht="20.25" x14ac:dyDescent="0.2">
      <c r="B12" s="141" t="s">
        <v>295</v>
      </c>
      <c r="C12" s="137" t="s">
        <v>267</v>
      </c>
      <c r="D12" s="101">
        <v>5</v>
      </c>
      <c r="E12" s="109" t="s">
        <v>10</v>
      </c>
      <c r="F12" s="102"/>
      <c r="G12" s="138" t="str">
        <f>IF(NOT( ISBLANK(Database[[#This Row],[Challenge Rating]])), LOOKUP(Database[Challenge Rating],ChallengeRating[Challenge Rating],ChallengeRating[XP]), "-")</f>
        <v>-</v>
      </c>
      <c r="H12" s="144"/>
      <c r="I12" s="138" t="s">
        <v>139</v>
      </c>
      <c r="J12" s="139" t="s">
        <v>139</v>
      </c>
      <c r="K12" s="139">
        <v>16</v>
      </c>
      <c r="L12" s="139" t="s">
        <v>139</v>
      </c>
      <c r="M12" s="139">
        <v>15</v>
      </c>
      <c r="N12" s="139" t="s">
        <v>139</v>
      </c>
      <c r="O12" s="139">
        <v>14</v>
      </c>
      <c r="P12" s="184"/>
      <c r="Q12" s="117">
        <v>0</v>
      </c>
      <c r="R12" s="117">
        <v>38</v>
      </c>
      <c r="S12" s="117">
        <v>0</v>
      </c>
      <c r="T12" s="106">
        <f>Database[[#This Row],[Base HP]]+Database[[#This Row],[Temp HP]]-Database[[#This Row],[Dmg Taken]]</f>
        <v>38</v>
      </c>
      <c r="U12" s="102">
        <f t="array" ref="U1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2" s="102">
        <f t="array" ref="V1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12" s="10"/>
      <c r="AK12"/>
    </row>
    <row r="13" spans="2:38" ht="20.25" x14ac:dyDescent="0.2">
      <c r="B13" s="141" t="s">
        <v>295</v>
      </c>
      <c r="C13" s="137" t="s">
        <v>267</v>
      </c>
      <c r="D13" s="101"/>
      <c r="E13" s="109" t="s">
        <v>280</v>
      </c>
      <c r="F13" s="102">
        <v>0.5</v>
      </c>
      <c r="G13" s="138">
        <f>IF(NOT( ISBLANK(Database[[#This Row],[Challenge Rating]])), LOOKUP(Database[Challenge Rating],ChallengeRating[Challenge Rating],ChallengeRating[XP]), "-")</f>
        <v>100</v>
      </c>
      <c r="H13" s="144"/>
      <c r="I13" s="139" t="s">
        <v>139</v>
      </c>
      <c r="J13" s="139" t="s">
        <v>139</v>
      </c>
      <c r="K13" s="139">
        <v>13</v>
      </c>
      <c r="L13" s="139" t="s">
        <v>139</v>
      </c>
      <c r="M13" s="139">
        <v>13</v>
      </c>
      <c r="N13" s="139" t="s">
        <v>139</v>
      </c>
      <c r="O13" s="139">
        <v>12</v>
      </c>
      <c r="P13" s="184" t="s">
        <v>256</v>
      </c>
      <c r="Q13" s="117"/>
      <c r="R13" s="117">
        <v>16</v>
      </c>
      <c r="S13" s="117">
        <v>16</v>
      </c>
      <c r="T13" s="106">
        <f>Database[[#This Row],[Base HP]]+Database[[#This Row],[Temp HP]]-Database[[#This Row],[Dmg Taken]]</f>
        <v>0</v>
      </c>
      <c r="U13" s="102">
        <f t="array" ref="U1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3" s="102">
        <f t="array" ref="V1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13" s="10"/>
      <c r="AK13"/>
    </row>
    <row r="14" spans="2:38" ht="20.25" x14ac:dyDescent="0.2">
      <c r="B14" s="141" t="s">
        <v>295</v>
      </c>
      <c r="C14" s="137" t="s">
        <v>268</v>
      </c>
      <c r="D14" s="101">
        <v>5</v>
      </c>
      <c r="E14" s="109" t="s">
        <v>279</v>
      </c>
      <c r="F14" s="102"/>
      <c r="G14" s="138" t="str">
        <f>IF(NOT( ISBLANK(Database[[#This Row],[Challenge Rating]])), LOOKUP(Database[Challenge Rating],ChallengeRating[Challenge Rating],ChallengeRating[XP]), "-")</f>
        <v>-</v>
      </c>
      <c r="H14" s="144"/>
      <c r="I14" s="139" t="s">
        <v>139</v>
      </c>
      <c r="J14" s="139" t="s">
        <v>139</v>
      </c>
      <c r="K14" s="139">
        <v>20</v>
      </c>
      <c r="L14" s="139" t="s">
        <v>139</v>
      </c>
      <c r="M14" s="139">
        <v>15</v>
      </c>
      <c r="N14" s="139" t="s">
        <v>139</v>
      </c>
      <c r="O14" s="139">
        <v>15</v>
      </c>
      <c r="P14" s="184" t="s">
        <v>380</v>
      </c>
      <c r="Q14" s="117">
        <v>0</v>
      </c>
      <c r="R14" s="117">
        <v>32</v>
      </c>
      <c r="S14" s="117">
        <v>1</v>
      </c>
      <c r="T14" s="106">
        <f>Database[[#This Row],[Base HP]]+Database[[#This Row],[Temp HP]]-Database[[#This Row],[Dmg Taken]]</f>
        <v>31</v>
      </c>
      <c r="U14" s="102">
        <f t="array" ref="U1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4" s="102">
        <f t="array" ref="V1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14" s="10"/>
      <c r="AK14"/>
    </row>
    <row r="15" spans="2:38" ht="20.25" x14ac:dyDescent="0.2">
      <c r="B15" s="177" t="s">
        <v>295</v>
      </c>
      <c r="C15" s="103" t="s">
        <v>250</v>
      </c>
      <c r="D15" s="101">
        <v>10</v>
      </c>
      <c r="E15" s="110" t="s">
        <v>105</v>
      </c>
      <c r="F15" s="179"/>
      <c r="G15" s="138" t="str">
        <f>IF(NOT( ISBLANK(Database[[#This Row],[Challenge Rating]])), LOOKUP(Database[Challenge Rating],ChallengeRating[Challenge Rating],ChallengeRating[XP]), "-")</f>
        <v>-</v>
      </c>
      <c r="H15" s="144"/>
      <c r="I15" s="140"/>
      <c r="J15" s="140"/>
      <c r="K15" s="140"/>
      <c r="L15" s="140"/>
      <c r="M15" s="140"/>
      <c r="N15" s="140"/>
      <c r="O15" s="140"/>
      <c r="P15" s="184" t="s">
        <v>22</v>
      </c>
      <c r="Q15" s="117"/>
      <c r="R15" s="127">
        <v>5</v>
      </c>
      <c r="S15" s="117"/>
      <c r="T15" s="106">
        <f>Database[[#This Row],[Base HP]]+Database[[#This Row],[Temp HP]]-Database[[#This Row],[Dmg Taken]]</f>
        <v>5</v>
      </c>
      <c r="U15" s="102">
        <f t="array" ref="U1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10</v>
      </c>
      <c r="V15" s="102">
        <f t="array" ref="V1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15" s="10"/>
      <c r="AK15"/>
    </row>
    <row r="16" spans="2:38" ht="20.25" x14ac:dyDescent="0.2">
      <c r="B16" s="177" t="s">
        <v>295</v>
      </c>
      <c r="C16" s="137" t="s">
        <v>250</v>
      </c>
      <c r="D16" s="101">
        <v>5</v>
      </c>
      <c r="E16" s="109" t="s">
        <v>6</v>
      </c>
      <c r="F16" s="102"/>
      <c r="G16" s="138" t="str">
        <f>IF(NOT( ISBLANK(Database[[#This Row],[Challenge Rating]])), LOOKUP(Database[Challenge Rating],ChallengeRating[Challenge Rating],ChallengeRating[XP]), "-")</f>
        <v>-</v>
      </c>
      <c r="H16" s="144"/>
      <c r="I16" s="139">
        <v>2</v>
      </c>
      <c r="J16" s="139">
        <v>2</v>
      </c>
      <c r="K16" s="139">
        <v>13</v>
      </c>
      <c r="L16" s="139" t="s">
        <v>139</v>
      </c>
      <c r="M16" s="139">
        <v>19</v>
      </c>
      <c r="N16" s="139" t="s">
        <v>139</v>
      </c>
      <c r="O16" s="139">
        <v>13</v>
      </c>
      <c r="P16" s="183" t="s">
        <v>381</v>
      </c>
      <c r="Q16" s="117">
        <v>0</v>
      </c>
      <c r="R16" s="117">
        <v>52</v>
      </c>
      <c r="S16" s="117"/>
      <c r="T16" s="106">
        <f>Database[[#This Row],[Base HP]]+Database[[#This Row],[Temp HP]]-Database[[#This Row],[Dmg Taken]]</f>
        <v>52</v>
      </c>
      <c r="U16" s="102">
        <f t="array" ref="U1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6" s="102">
        <f t="array" ref="V1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16" s="10"/>
      <c r="AK16"/>
      <c r="AL16" s="9"/>
    </row>
    <row r="17" spans="2:38" ht="20.25" x14ac:dyDescent="0.2">
      <c r="B17" s="177" t="s">
        <v>295</v>
      </c>
      <c r="C17" s="103" t="s">
        <v>250</v>
      </c>
      <c r="D17" s="101">
        <v>4</v>
      </c>
      <c r="E17" s="110" t="s">
        <v>277</v>
      </c>
      <c r="F17" s="179"/>
      <c r="G17" s="138" t="str">
        <f>IF(NOT( ISBLANK(Database[[#This Row],[Challenge Rating]])), LOOKUP(Database[Challenge Rating],ChallengeRating[Challenge Rating],ChallengeRating[XP]), "-")</f>
        <v>-</v>
      </c>
      <c r="H17" s="144"/>
      <c r="I17" s="140">
        <v>2</v>
      </c>
      <c r="J17" s="140">
        <v>4</v>
      </c>
      <c r="K17" s="140">
        <v>11</v>
      </c>
      <c r="L17" s="140">
        <v>1</v>
      </c>
      <c r="M17" s="140">
        <v>16</v>
      </c>
      <c r="N17" s="140">
        <v>5</v>
      </c>
      <c r="O17" s="140">
        <v>13</v>
      </c>
      <c r="P17" s="184" t="s">
        <v>22</v>
      </c>
      <c r="Q17" s="117"/>
      <c r="R17" s="127">
        <v>22</v>
      </c>
      <c r="S17" s="117"/>
      <c r="T17" s="106">
        <f>Database[[#This Row],[Base HP]]+Database[[#This Row],[Temp HP]]-Database[[#This Row],[Dmg Taken]]</f>
        <v>22</v>
      </c>
      <c r="U17" s="102">
        <f t="array" ref="U1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4</v>
      </c>
      <c r="V17" s="102">
        <f t="array" ref="V1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17" s="10"/>
      <c r="AK17"/>
      <c r="AL17" s="9"/>
    </row>
    <row r="18" spans="2:38" ht="20.25" x14ac:dyDescent="0.2">
      <c r="B18" s="177" t="s">
        <v>295</v>
      </c>
      <c r="C18" s="103" t="s">
        <v>250</v>
      </c>
      <c r="D18" s="101">
        <v>6</v>
      </c>
      <c r="E18" s="110" t="s">
        <v>57</v>
      </c>
      <c r="F18" s="179"/>
      <c r="G18" s="138" t="str">
        <f>IF(NOT( ISBLANK(Database[[#This Row],[Challenge Rating]])), LOOKUP(Database[Challenge Rating],ChallengeRating[Challenge Rating],ChallengeRating[XP]), "-")</f>
        <v>-</v>
      </c>
      <c r="H18" s="144"/>
      <c r="I18" s="140">
        <v>2</v>
      </c>
      <c r="J18" s="140">
        <v>2</v>
      </c>
      <c r="K18" s="140">
        <v>11</v>
      </c>
      <c r="L18" s="140">
        <v>6</v>
      </c>
      <c r="M18" s="140">
        <v>15</v>
      </c>
      <c r="N18" s="140">
        <v>7</v>
      </c>
      <c r="O18" s="140">
        <v>15</v>
      </c>
      <c r="P18" s="184" t="s">
        <v>22</v>
      </c>
      <c r="Q18" s="117"/>
      <c r="R18" s="127">
        <v>32</v>
      </c>
      <c r="S18" s="117"/>
      <c r="T18" s="106">
        <f>Database[[#This Row],[Base HP]]+Database[[#This Row],[Temp HP]]-Database[[#This Row],[Dmg Taken]]</f>
        <v>32</v>
      </c>
      <c r="U18" s="102">
        <f t="array" ref="U1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6</v>
      </c>
      <c r="V18" s="102">
        <f t="array" ref="V1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18" s="10"/>
      <c r="AK18"/>
      <c r="AL18" s="9"/>
    </row>
    <row r="19" spans="2:38" ht="20.25" x14ac:dyDescent="0.2">
      <c r="B19" s="177" t="s">
        <v>295</v>
      </c>
      <c r="C19" s="103" t="s">
        <v>250</v>
      </c>
      <c r="D19" s="101">
        <v>4</v>
      </c>
      <c r="E19" s="110" t="s">
        <v>58</v>
      </c>
      <c r="F19" s="179"/>
      <c r="G19" s="138" t="str">
        <f>IF(NOT( ISBLANK(Database[[#This Row],[Challenge Rating]])), LOOKUP(Database[Challenge Rating],ChallengeRating[Challenge Rating],ChallengeRating[XP]), "-")</f>
        <v>-</v>
      </c>
      <c r="H19" s="144"/>
      <c r="I19" s="140">
        <v>1</v>
      </c>
      <c r="J19" s="140">
        <v>3</v>
      </c>
      <c r="K19" s="140">
        <v>14</v>
      </c>
      <c r="L19" s="140">
        <v>1</v>
      </c>
      <c r="M19" s="140">
        <v>14</v>
      </c>
      <c r="N19" s="140">
        <v>5</v>
      </c>
      <c r="O19" s="140">
        <v>13</v>
      </c>
      <c r="P19" s="184" t="s">
        <v>257</v>
      </c>
      <c r="Q19" s="117"/>
      <c r="R19" s="127">
        <v>27</v>
      </c>
      <c r="S19" s="117">
        <v>27</v>
      </c>
      <c r="T19" s="106">
        <f>Database[[#This Row],[Base HP]]+Database[[#This Row],[Temp HP]]-Database[[#This Row],[Dmg Taken]]</f>
        <v>0</v>
      </c>
      <c r="U19" s="102">
        <f t="array" ref="U1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4</v>
      </c>
      <c r="V19" s="102">
        <f t="array" ref="V1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19" s="10"/>
      <c r="AK19"/>
      <c r="AL19" s="9"/>
    </row>
    <row r="20" spans="2:38" ht="20.25" x14ac:dyDescent="0.2">
      <c r="B20" s="141" t="s">
        <v>295</v>
      </c>
      <c r="C20" s="137" t="s">
        <v>250</v>
      </c>
      <c r="D20" s="101">
        <v>5</v>
      </c>
      <c r="E20" s="109" t="s">
        <v>278</v>
      </c>
      <c r="F20" s="102"/>
      <c r="G20" s="138" t="str">
        <f>IF(NOT( ISBLANK(Database[[#This Row],[Challenge Rating]])), LOOKUP(Database[Challenge Rating],ChallengeRating[Challenge Rating],ChallengeRating[XP]), "-")</f>
        <v>-</v>
      </c>
      <c r="H20" s="144"/>
      <c r="I20" s="139" t="s">
        <v>139</v>
      </c>
      <c r="J20" s="139" t="s">
        <v>139</v>
      </c>
      <c r="K20" s="139">
        <v>14</v>
      </c>
      <c r="L20" s="139" t="s">
        <v>139</v>
      </c>
      <c r="M20" s="139">
        <v>19</v>
      </c>
      <c r="N20" s="139" t="s">
        <v>139</v>
      </c>
      <c r="O20" s="139">
        <v>15</v>
      </c>
      <c r="P20" s="184" t="s">
        <v>382</v>
      </c>
      <c r="Q20" s="117">
        <v>0</v>
      </c>
      <c r="R20" s="117">
        <v>48</v>
      </c>
      <c r="S20" s="117">
        <v>1</v>
      </c>
      <c r="T20" s="106">
        <f>Database[[#This Row],[Base HP]]+Database[[#This Row],[Temp HP]]-Database[[#This Row],[Dmg Taken]]</f>
        <v>47</v>
      </c>
      <c r="U20" s="102">
        <f t="array" ref="U2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0" s="102">
        <f t="array" ref="V2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20" s="10"/>
      <c r="AK20"/>
      <c r="AL20" s="9"/>
    </row>
    <row r="21" spans="2:38" ht="20.25" x14ac:dyDescent="0.2">
      <c r="B21" s="145"/>
      <c r="C21" s="145"/>
      <c r="D21" s="145"/>
      <c r="E21" s="147" t="s">
        <v>426</v>
      </c>
      <c r="F21" s="149">
        <v>2</v>
      </c>
      <c r="G21" s="148">
        <f>IF(NOT( ISBLANK(Database[[#This Row],[Challenge Rating]])), LOOKUP(Database[Challenge Rating],ChallengeRating[Challenge Rating],ChallengeRating[XP]), "-")</f>
        <v>450</v>
      </c>
      <c r="H21" s="144" t="s">
        <v>427</v>
      </c>
      <c r="I21" s="138">
        <v>1</v>
      </c>
      <c r="J21" s="148">
        <v>1</v>
      </c>
      <c r="K21" s="148">
        <v>15</v>
      </c>
      <c r="L21" s="148">
        <v>6</v>
      </c>
      <c r="M21" s="148">
        <v>13</v>
      </c>
      <c r="N21" s="148"/>
      <c r="O21" s="148">
        <v>13</v>
      </c>
      <c r="P21" s="185"/>
      <c r="Q21" s="141"/>
      <c r="R21" s="145">
        <v>51</v>
      </c>
      <c r="S21" s="145"/>
      <c r="T21" s="142">
        <f>Database[[#This Row],[Base HP]]+Database[[#This Row],[Temp HP]]-Database[[#This Row],[Dmg Taken]]</f>
        <v>51</v>
      </c>
      <c r="U21" s="149">
        <f t="array" ref="U2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1" s="149">
        <f t="array" ref="V2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21" s="10"/>
      <c r="AK21"/>
      <c r="AL21" s="9"/>
    </row>
    <row r="22" spans="2:38" ht="20.25" x14ac:dyDescent="0.2">
      <c r="B22" s="141"/>
      <c r="C22" s="117"/>
      <c r="D22" s="117"/>
      <c r="E22" s="109" t="s">
        <v>85</v>
      </c>
      <c r="F22" s="102">
        <v>1</v>
      </c>
      <c r="G22" s="138">
        <f>IF(NOT( ISBLANK(Database[[#This Row],[Challenge Rating]])), LOOKUP(Database[Challenge Rating],ChallengeRating[Challenge Rating],ChallengeRating[XP]), "-")</f>
        <v>200</v>
      </c>
      <c r="H22" s="144" t="s">
        <v>352</v>
      </c>
      <c r="I22" s="139">
        <v>0</v>
      </c>
      <c r="J22" s="139">
        <v>0</v>
      </c>
      <c r="K22" s="139">
        <v>6</v>
      </c>
      <c r="L22" s="139">
        <v>4</v>
      </c>
      <c r="M22" s="139">
        <v>18</v>
      </c>
      <c r="N22" s="139"/>
      <c r="O22" s="139"/>
      <c r="P22" s="184" t="s">
        <v>22</v>
      </c>
      <c r="Q22" s="117"/>
      <c r="R22" s="117">
        <v>33</v>
      </c>
      <c r="S22" s="117"/>
      <c r="T22" s="106">
        <f>Database[[#This Row],[Base HP]]+Database[[#This Row],[Temp HP]]-Database[[#This Row],[Dmg Taken]]</f>
        <v>33</v>
      </c>
      <c r="U22" s="102">
        <f t="array" ref="U2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22" s="102">
        <f t="array" ref="V2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22" s="10"/>
      <c r="AK22"/>
      <c r="AL22" s="9"/>
    </row>
    <row r="23" spans="2:38" ht="20.25" x14ac:dyDescent="0.2">
      <c r="B23" s="177"/>
      <c r="C23" s="103"/>
      <c r="D23" s="101"/>
      <c r="E23" s="110" t="s">
        <v>297</v>
      </c>
      <c r="F23" s="179">
        <v>2</v>
      </c>
      <c r="G23" s="138">
        <f>IF(NOT( ISBLANK(Database[[#This Row],[Challenge Rating]])), LOOKUP(Database[Challenge Rating],ChallengeRating[Challenge Rating],ChallengeRating[XP]), "-")</f>
        <v>450</v>
      </c>
      <c r="H23" s="144" t="s">
        <v>298</v>
      </c>
      <c r="I23" s="140">
        <v>0</v>
      </c>
      <c r="J23" s="140">
        <v>0</v>
      </c>
      <c r="K23" s="140">
        <v>11</v>
      </c>
      <c r="L23" s="140">
        <v>7</v>
      </c>
      <c r="M23" s="140">
        <v>11</v>
      </c>
      <c r="N23" s="140"/>
      <c r="O23" s="140">
        <v>15</v>
      </c>
      <c r="P23" s="184"/>
      <c r="Q23" s="117"/>
      <c r="R23" s="127">
        <v>38</v>
      </c>
      <c r="S23" s="117"/>
      <c r="T23" s="106">
        <f>Database[[#This Row],[Base HP]]+Database[[#This Row],[Temp HP]]-Database[[#This Row],[Dmg Taken]]</f>
        <v>38</v>
      </c>
      <c r="U23" s="102">
        <f t="array" ref="U2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3" s="102">
        <f t="array" ref="V2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23" s="10"/>
      <c r="AK23"/>
      <c r="AL23" s="9"/>
    </row>
    <row r="24" spans="2:38" ht="20.25" x14ac:dyDescent="0.2">
      <c r="B24" s="177"/>
      <c r="C24" s="103"/>
      <c r="D24" s="101"/>
      <c r="E24" s="110" t="s">
        <v>315</v>
      </c>
      <c r="F24" s="179">
        <v>2</v>
      </c>
      <c r="G24" s="138">
        <f>IF(NOT( ISBLANK(Database[[#This Row],[Challenge Rating]])), LOOKUP(Database[Challenge Rating],ChallengeRating[Challenge Rating],ChallengeRating[XP]), "-")</f>
        <v>450</v>
      </c>
      <c r="H24" s="144" t="s">
        <v>316</v>
      </c>
      <c r="I24" s="140">
        <v>-2</v>
      </c>
      <c r="J24" s="140">
        <v>-2</v>
      </c>
      <c r="K24" s="140">
        <v>10</v>
      </c>
      <c r="L24" s="140">
        <v>6</v>
      </c>
      <c r="M24" s="140">
        <v>13</v>
      </c>
      <c r="N24" s="140"/>
      <c r="O24" s="140"/>
      <c r="P24" s="184"/>
      <c r="Q24" s="117"/>
      <c r="R24" s="127">
        <v>59</v>
      </c>
      <c r="S24" s="117"/>
      <c r="T24" s="106">
        <f>Database[[#This Row],[Base HP]]+Database[[#This Row],[Temp HP]]-Database[[#This Row],[Dmg Taken]]</f>
        <v>59</v>
      </c>
      <c r="U24" s="102">
        <f t="array" ref="U2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4" s="102">
        <f t="array" ref="V2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24" s="10"/>
      <c r="AK24"/>
      <c r="AL24" s="9"/>
    </row>
    <row r="25" spans="2:38" ht="20.25" x14ac:dyDescent="0.2">
      <c r="B25" s="177"/>
      <c r="C25" s="103"/>
      <c r="D25" s="101"/>
      <c r="E25" s="110" t="s">
        <v>339</v>
      </c>
      <c r="F25" s="179">
        <v>0</v>
      </c>
      <c r="G25" s="138">
        <f>IF(NOT( ISBLANK(Database[[#This Row],[Challenge Rating]])), LOOKUP(Database[Challenge Rating],ChallengeRating[Challenge Rating],ChallengeRating[XP]), "-")</f>
        <v>10</v>
      </c>
      <c r="H25" s="144" t="s">
        <v>340</v>
      </c>
      <c r="I25" s="140">
        <v>0</v>
      </c>
      <c r="J25" s="140">
        <v>0</v>
      </c>
      <c r="K25" s="140">
        <v>11</v>
      </c>
      <c r="L25" s="140">
        <v>2</v>
      </c>
      <c r="M25" s="140">
        <v>10</v>
      </c>
      <c r="N25" s="140"/>
      <c r="O25" s="140"/>
      <c r="P25" s="184"/>
      <c r="Q25" s="117"/>
      <c r="R25" s="127">
        <v>3</v>
      </c>
      <c r="S25" s="117"/>
      <c r="T25" s="106">
        <f>Database[[#This Row],[Base HP]]+Database[[#This Row],[Temp HP]]-Database[[#This Row],[Dmg Taken]]</f>
        <v>3</v>
      </c>
      <c r="U25" s="102">
        <f t="array" ref="U2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25" s="102">
        <f t="array" ref="V2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25" s="10"/>
      <c r="AK25"/>
      <c r="AL25" s="9"/>
    </row>
    <row r="26" spans="2:38" ht="20.25" x14ac:dyDescent="0.2">
      <c r="B26" s="145"/>
      <c r="C26" s="145"/>
      <c r="D26" s="145"/>
      <c r="E26" s="147" t="s">
        <v>438</v>
      </c>
      <c r="F26" s="149">
        <v>5</v>
      </c>
      <c r="G26" s="148">
        <f>IF(NOT( ISBLANK(Database[[#This Row],[Challenge Rating]])), LOOKUP(Database[Challenge Rating],ChallengeRating[Challenge Rating],ChallengeRating[XP]), "-")</f>
        <v>1800</v>
      </c>
      <c r="H26" s="144" t="s">
        <v>439</v>
      </c>
      <c r="I26" s="138">
        <v>1</v>
      </c>
      <c r="J26" s="148">
        <v>7</v>
      </c>
      <c r="K26" s="148">
        <v>12</v>
      </c>
      <c r="L26" s="148">
        <v>8</v>
      </c>
      <c r="M26" s="148">
        <v>15</v>
      </c>
      <c r="N26" s="148"/>
      <c r="O26" s="148">
        <v>15</v>
      </c>
      <c r="P26" s="185"/>
      <c r="Q26" s="141"/>
      <c r="R26" s="145">
        <v>84</v>
      </c>
      <c r="S26" s="145"/>
      <c r="T26" s="142">
        <f>Database[[#This Row],[Base HP]]+Database[[#This Row],[Temp HP]]-Database[[#This Row],[Dmg Taken]]</f>
        <v>84</v>
      </c>
      <c r="U26" s="149">
        <f t="array" ref="U2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26" s="149">
        <f t="array" ref="V2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26" s="10"/>
      <c r="AK26"/>
      <c r="AL26" s="9"/>
    </row>
    <row r="27" spans="2:38" ht="20.25" x14ac:dyDescent="0.2">
      <c r="B27" s="141"/>
      <c r="C27" s="117"/>
      <c r="D27" s="117"/>
      <c r="E27" s="109" t="s">
        <v>99</v>
      </c>
      <c r="F27" s="102">
        <v>4</v>
      </c>
      <c r="G27" s="138">
        <f>IF(NOT( ISBLANK(Database[[#This Row],[Challenge Rating]])), LOOKUP(Database[Challenge Rating],ChallengeRating[Challenge Rating],ChallengeRating[XP]), "-")</f>
        <v>1100</v>
      </c>
      <c r="H27" s="144" t="s">
        <v>428</v>
      </c>
      <c r="I27" s="139">
        <v>2</v>
      </c>
      <c r="J27" s="139">
        <v>2</v>
      </c>
      <c r="K27" s="139">
        <v>10</v>
      </c>
      <c r="L27" s="139">
        <v>0</v>
      </c>
      <c r="M27" s="139">
        <v>12</v>
      </c>
      <c r="N27" s="139">
        <v>4</v>
      </c>
      <c r="O27" s="139">
        <v>13</v>
      </c>
      <c r="P27" s="184" t="s">
        <v>22</v>
      </c>
      <c r="Q27" s="117"/>
      <c r="R27" s="117">
        <v>58</v>
      </c>
      <c r="S27" s="117"/>
      <c r="T27" s="106">
        <f>Database[[#This Row],[Base HP]]+Database[[#This Row],[Temp HP]]-Database[[#This Row],[Dmg Taken]]</f>
        <v>58</v>
      </c>
      <c r="U27" s="102">
        <f t="array" ref="U2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27" s="102">
        <f t="array" ref="V2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27" s="10"/>
      <c r="AK27"/>
    </row>
    <row r="28" spans="2:38" ht="20.25" x14ac:dyDescent="0.2">
      <c r="B28" s="141"/>
      <c r="C28" s="117"/>
      <c r="D28" s="117"/>
      <c r="E28" s="109" t="s">
        <v>101</v>
      </c>
      <c r="F28" s="102">
        <v>5</v>
      </c>
      <c r="G28" s="138">
        <f>IF(NOT( ISBLANK(Database[[#This Row],[Challenge Rating]])), LOOKUP(Database[Challenge Rating],ChallengeRating[Challenge Rating],ChallengeRating[XP]), "-")</f>
        <v>1800</v>
      </c>
      <c r="H28" s="144"/>
      <c r="I28" s="139">
        <v>-1</v>
      </c>
      <c r="J28" s="139">
        <v>-1</v>
      </c>
      <c r="K28" s="139">
        <v>9</v>
      </c>
      <c r="L28" s="139">
        <v>3</v>
      </c>
      <c r="M28" s="139">
        <v>15</v>
      </c>
      <c r="N28" s="139"/>
      <c r="O28" s="139">
        <v>14</v>
      </c>
      <c r="P28" s="184" t="s">
        <v>22</v>
      </c>
      <c r="Q28" s="117"/>
      <c r="R28" s="117">
        <v>93</v>
      </c>
      <c r="S28" s="117"/>
      <c r="T28" s="106">
        <f>Database[[#This Row],[Base HP]]+Database[[#This Row],[Temp HP]]-Database[[#This Row],[Dmg Taken]]</f>
        <v>93</v>
      </c>
      <c r="U28" s="102">
        <f t="array" ref="U2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28" s="102">
        <f t="array" ref="V2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28" s="10"/>
      <c r="AK28"/>
    </row>
    <row r="29" spans="2:38" ht="20.25" x14ac:dyDescent="0.2">
      <c r="B29" s="145"/>
      <c r="C29" s="145"/>
      <c r="D29" s="145"/>
      <c r="E29" s="147" t="s">
        <v>416</v>
      </c>
      <c r="F29" s="149">
        <v>7</v>
      </c>
      <c r="G29" s="148">
        <f>IF(NOT( ISBLANK(Database[[#This Row],[Challenge Rating]])), LOOKUP(Database[Challenge Rating],ChallengeRating[Challenge Rating],ChallengeRating[XP]), "-")</f>
        <v>2900</v>
      </c>
      <c r="H29" s="144" t="s">
        <v>417</v>
      </c>
      <c r="I29" s="138">
        <v>3</v>
      </c>
      <c r="J29" s="148">
        <v>6</v>
      </c>
      <c r="K29" s="148">
        <v>14</v>
      </c>
      <c r="L29" s="148">
        <v>4</v>
      </c>
      <c r="M29" s="148">
        <v>17</v>
      </c>
      <c r="N29" s="148">
        <v>6</v>
      </c>
      <c r="O29" s="148">
        <v>14</v>
      </c>
      <c r="P29" s="185"/>
      <c r="Q29" s="141"/>
      <c r="R29" s="145">
        <v>91</v>
      </c>
      <c r="S29" s="145"/>
      <c r="T29" s="142">
        <f>Database[[#This Row],[Base HP]]+Database[[#This Row],[Temp HP]]-Database[[#This Row],[Dmg Taken]]</f>
        <v>91</v>
      </c>
      <c r="U29" s="149">
        <f t="array" ref="U2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15</v>
      </c>
      <c r="V29" s="149">
        <f t="array" ref="V2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7</v>
      </c>
      <c r="W29" s="10"/>
      <c r="AK29"/>
    </row>
    <row r="30" spans="2:38" ht="20.25" x14ac:dyDescent="0.2">
      <c r="B30" s="141"/>
      <c r="C30" s="117"/>
      <c r="D30" s="117"/>
      <c r="E30" s="109" t="s">
        <v>14</v>
      </c>
      <c r="F30" s="102">
        <v>1</v>
      </c>
      <c r="G30" s="138">
        <f>IF(NOT( ISBLANK(Database[[#This Row],[Challenge Rating]])), LOOKUP(Database[Challenge Rating],ChallengeRating[Challenge Rating],ChallengeRating[XP]), "-")</f>
        <v>200</v>
      </c>
      <c r="H30" s="144" t="s">
        <v>358</v>
      </c>
      <c r="I30" s="139">
        <v>2</v>
      </c>
      <c r="J30" s="139">
        <v>6</v>
      </c>
      <c r="K30" s="139">
        <v>10</v>
      </c>
      <c r="L30" s="139">
        <v>4</v>
      </c>
      <c r="M30" s="139">
        <v>16</v>
      </c>
      <c r="N30" s="139"/>
      <c r="O30" s="139"/>
      <c r="P30" s="184" t="s">
        <v>22</v>
      </c>
      <c r="Q30" s="117"/>
      <c r="R30" s="117">
        <v>27</v>
      </c>
      <c r="S30" s="117"/>
      <c r="T30" s="106">
        <f>Database[[#This Row],[Base HP]]+Database[[#This Row],[Temp HP]]-Database[[#This Row],[Dmg Taken]]</f>
        <v>27</v>
      </c>
      <c r="U30" s="102">
        <f t="array" ref="U3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30" s="102">
        <f t="array" ref="V3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30" s="10"/>
      <c r="AK30"/>
    </row>
    <row r="31" spans="2:38" ht="20.25" x14ac:dyDescent="0.2">
      <c r="B31" s="141"/>
      <c r="C31" s="117"/>
      <c r="D31" s="117"/>
      <c r="E31" s="109" t="s">
        <v>359</v>
      </c>
      <c r="F31" s="102">
        <v>3</v>
      </c>
      <c r="G31" s="138">
        <f>IF(NOT( ISBLANK(Database[[#This Row],[Challenge Rating]])), LOOKUP(Database[Challenge Rating],ChallengeRating[Challenge Rating],ChallengeRating[XP]), "-")</f>
        <v>700</v>
      </c>
      <c r="H31" s="144" t="s">
        <v>358</v>
      </c>
      <c r="I31" s="139">
        <v>2</v>
      </c>
      <c r="J31" s="139">
        <v>6</v>
      </c>
      <c r="K31" s="139">
        <v>11</v>
      </c>
      <c r="L31" s="139">
        <v>5</v>
      </c>
      <c r="M31" s="139">
        <v>17</v>
      </c>
      <c r="N31" s="139"/>
      <c r="O31" s="139"/>
      <c r="P31" s="184" t="s">
        <v>22</v>
      </c>
      <c r="Q31" s="117"/>
      <c r="R31" s="117">
        <v>65</v>
      </c>
      <c r="S31" s="117"/>
      <c r="T31" s="106">
        <f>Database[[#This Row],[Base HP]]+Database[[#This Row],[Temp HP]]-Database[[#This Row],[Dmg Taken]]</f>
        <v>65</v>
      </c>
      <c r="U31" s="102">
        <f t="array" ref="U3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31" s="102">
        <f t="array" ref="V3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31" s="10"/>
      <c r="AK31"/>
    </row>
    <row r="32" spans="2:38" ht="20.25" x14ac:dyDescent="0.2">
      <c r="B32" s="177"/>
      <c r="C32" s="103"/>
      <c r="D32" s="101"/>
      <c r="E32" s="110" t="s">
        <v>351</v>
      </c>
      <c r="F32" s="179">
        <v>2</v>
      </c>
      <c r="G32" s="138">
        <f>IF(NOT( ISBLANK(Database[[#This Row],[Challenge Rating]])), LOOKUP(Database[Challenge Rating],ChallengeRating[Challenge Rating],ChallengeRating[XP]), "-")</f>
        <v>450</v>
      </c>
      <c r="H32" s="144"/>
      <c r="I32" s="140">
        <v>0</v>
      </c>
      <c r="J32" s="140">
        <v>0</v>
      </c>
      <c r="K32" s="140">
        <v>13</v>
      </c>
      <c r="L32" s="140">
        <v>7</v>
      </c>
      <c r="M32" s="140">
        <v>12</v>
      </c>
      <c r="N32" s="140"/>
      <c r="O32" s="140"/>
      <c r="P32" s="184"/>
      <c r="Q32" s="117"/>
      <c r="R32" s="127">
        <v>42</v>
      </c>
      <c r="S32" s="117"/>
      <c r="T32" s="106">
        <f>Database[[#This Row],[Base HP]]+Database[[#This Row],[Temp HP]]-Database[[#This Row],[Dmg Taken]]</f>
        <v>42</v>
      </c>
      <c r="U32" s="102">
        <f t="array" ref="U3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32" s="102">
        <f t="array" ref="V3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32" s="10"/>
      <c r="AK32"/>
    </row>
    <row r="33" spans="2:37" ht="20.25" x14ac:dyDescent="0.2">
      <c r="B33" s="145"/>
      <c r="C33" s="145"/>
      <c r="D33" s="145"/>
      <c r="E33" s="147" t="s">
        <v>450</v>
      </c>
      <c r="F33" s="149">
        <v>4</v>
      </c>
      <c r="G33" s="148">
        <f>IF(NOT( ISBLANK(Database[[#This Row],[Challenge Rating]])), LOOKUP(Database[Challenge Rating],ChallengeRating[Challenge Rating],ChallengeRating[XP]), "-")</f>
        <v>1100</v>
      </c>
      <c r="H33" s="144" t="s">
        <v>452</v>
      </c>
      <c r="I33" s="138">
        <v>0</v>
      </c>
      <c r="J33" s="148">
        <v>0</v>
      </c>
      <c r="K33" s="148">
        <v>14</v>
      </c>
      <c r="L33" s="148">
        <v>6</v>
      </c>
      <c r="M33" s="148">
        <v>16</v>
      </c>
      <c r="N33" s="148"/>
      <c r="O33" s="148">
        <v>14</v>
      </c>
      <c r="P33" s="185"/>
      <c r="Q33" s="141"/>
      <c r="R33" s="145">
        <v>93</v>
      </c>
      <c r="S33" s="145"/>
      <c r="T33" s="142">
        <f>Database[[#This Row],[Base HP]]+Database[[#This Row],[Temp HP]]-Database[[#This Row],[Dmg Taken]]</f>
        <v>93</v>
      </c>
      <c r="U33" s="149">
        <f t="array" ref="U3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33" s="149">
        <f t="array" ref="V3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33" s="10"/>
      <c r="AK33"/>
    </row>
    <row r="34" spans="2:37" ht="20.25" x14ac:dyDescent="0.2">
      <c r="B34" s="141"/>
      <c r="C34" s="141"/>
      <c r="D34" s="141"/>
      <c r="E34" s="109" t="s">
        <v>360</v>
      </c>
      <c r="F34" s="143">
        <v>4</v>
      </c>
      <c r="G34" s="138">
        <f>IF(NOT( ISBLANK(Database[[#This Row],[Challenge Rating]])), LOOKUP(Database[Challenge Rating],ChallengeRating[Challenge Rating],ChallengeRating[XP]), "-")</f>
        <v>1100</v>
      </c>
      <c r="H34" s="144" t="s">
        <v>361</v>
      </c>
      <c r="I34" s="138">
        <v>0</v>
      </c>
      <c r="J34" s="138">
        <v>0</v>
      </c>
      <c r="K34" s="138">
        <v>8</v>
      </c>
      <c r="L34" s="138">
        <v>6</v>
      </c>
      <c r="M34" s="138">
        <v>16</v>
      </c>
      <c r="N34" s="138"/>
      <c r="O34" s="138"/>
      <c r="P34" s="185"/>
      <c r="Q34" s="141"/>
      <c r="R34" s="141">
        <v>93</v>
      </c>
      <c r="S34" s="141"/>
      <c r="T34" s="142">
        <f>Database[[#This Row],[Base HP]]+Database[[#This Row],[Temp HP]]-Database[[#This Row],[Dmg Taken]]</f>
        <v>93</v>
      </c>
      <c r="U34" s="143">
        <f t="array" ref="U3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34" s="143">
        <f t="array" ref="V3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34" s="10"/>
      <c r="AK34"/>
    </row>
    <row r="35" spans="2:37" ht="20.25" x14ac:dyDescent="0.2">
      <c r="B35" s="141"/>
      <c r="C35" s="117"/>
      <c r="D35" s="117"/>
      <c r="E35" s="109" t="s">
        <v>54</v>
      </c>
      <c r="F35" s="102">
        <v>0</v>
      </c>
      <c r="G35" s="138">
        <f>IF(NOT( ISBLANK(Database[[#This Row],[Challenge Rating]])), LOOKUP(Database[Challenge Rating],ChallengeRating[Challenge Rating],ChallengeRating[XP]), "-")</f>
        <v>10</v>
      </c>
      <c r="H35" s="144"/>
      <c r="I35" s="139">
        <v>0</v>
      </c>
      <c r="J35" s="139">
        <v>0</v>
      </c>
      <c r="K35" s="139">
        <v>10</v>
      </c>
      <c r="L35" s="139">
        <v>2</v>
      </c>
      <c r="M35" s="139">
        <v>10</v>
      </c>
      <c r="N35" s="139"/>
      <c r="O35" s="139"/>
      <c r="P35" s="184" t="s">
        <v>22</v>
      </c>
      <c r="Q35" s="117"/>
      <c r="R35" s="117">
        <v>4</v>
      </c>
      <c r="S35" s="117"/>
      <c r="T35" s="106">
        <f>Database[[#This Row],[Base HP]]+Database[[#This Row],[Temp HP]]-Database[[#This Row],[Dmg Taken]]</f>
        <v>4</v>
      </c>
      <c r="U35" s="102">
        <f t="array" ref="U3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35" s="102">
        <f t="array" ref="V3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35" s="10"/>
      <c r="AK35"/>
    </row>
    <row r="36" spans="2:37" ht="20.25" x14ac:dyDescent="0.2">
      <c r="B36" s="145"/>
      <c r="C36" s="145"/>
      <c r="D36" s="145"/>
      <c r="E36" s="147" t="s">
        <v>414</v>
      </c>
      <c r="F36" s="149">
        <v>4</v>
      </c>
      <c r="G36" s="148">
        <f>IF(NOT( ISBLANK(Database[[#This Row],[Challenge Rating]])), LOOKUP(Database[Challenge Rating],ChallengeRating[Challenge Rating],ChallengeRating[XP]), "-")</f>
        <v>1100</v>
      </c>
      <c r="H36" s="144" t="s">
        <v>415</v>
      </c>
      <c r="I36" s="138">
        <v>5</v>
      </c>
      <c r="J36" s="148">
        <v>5</v>
      </c>
      <c r="K36" s="148">
        <v>15</v>
      </c>
      <c r="L36" s="148">
        <v>8</v>
      </c>
      <c r="M36" s="148">
        <v>19</v>
      </c>
      <c r="N36" s="148"/>
      <c r="O36" s="148">
        <v>14</v>
      </c>
      <c r="P36" s="185"/>
      <c r="Q36" s="141"/>
      <c r="R36" s="145">
        <v>97</v>
      </c>
      <c r="S36" s="145"/>
      <c r="T36" s="142">
        <f>Database[[#This Row],[Base HP]]+Database[[#This Row],[Temp HP]]-Database[[#This Row],[Dmg Taken]]</f>
        <v>97</v>
      </c>
      <c r="U36" s="149">
        <f t="array" ref="U3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36" s="149">
        <f t="array" ref="V3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36" s="10"/>
      <c r="AK36"/>
    </row>
    <row r="37" spans="2:37" ht="20.25" x14ac:dyDescent="0.2">
      <c r="B37" s="141"/>
      <c r="C37" s="117"/>
      <c r="D37" s="117"/>
      <c r="E37" s="109" t="s">
        <v>459</v>
      </c>
      <c r="F37" s="102">
        <v>0</v>
      </c>
      <c r="G37" s="138">
        <f>IF(NOT( ISBLANK(Database[[#This Row],[Challenge Rating]])), LOOKUP(Database[Challenge Rating],ChallengeRating[Challenge Rating],ChallengeRating[XP]), "-")</f>
        <v>10</v>
      </c>
      <c r="H37" s="144" t="s">
        <v>462</v>
      </c>
      <c r="I37" s="139">
        <v>2</v>
      </c>
      <c r="J37" s="139">
        <v>2</v>
      </c>
      <c r="K37" s="139">
        <v>10</v>
      </c>
      <c r="L37" s="139">
        <v>4</v>
      </c>
      <c r="M37" s="139">
        <v>12</v>
      </c>
      <c r="N37" s="139"/>
      <c r="O37" s="139"/>
      <c r="P37" s="184"/>
      <c r="Q37" s="117"/>
      <c r="R37" s="117">
        <v>2</v>
      </c>
      <c r="S37" s="117"/>
      <c r="T37" s="106">
        <f>Database[[#This Row],[Base HP]]+Database[[#This Row],[Temp HP]]-Database[[#This Row],[Dmg Taken]]</f>
        <v>2</v>
      </c>
      <c r="U37" s="102">
        <f t="array" ref="U3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37" s="102">
        <f t="array" ref="V3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37" s="10"/>
      <c r="AK37"/>
    </row>
    <row r="38" spans="2:37" ht="40.5" x14ac:dyDescent="0.2">
      <c r="B38" s="141"/>
      <c r="C38" s="117"/>
      <c r="D38" s="117"/>
      <c r="E38" s="109" t="s">
        <v>460</v>
      </c>
      <c r="F38" s="102">
        <v>5</v>
      </c>
      <c r="G38" s="138">
        <f>IF(NOT( ISBLANK(Database[[#This Row],[Challenge Rating]])), LOOKUP(Database[Challenge Rating],ChallengeRating[Challenge Rating],ChallengeRating[XP]), "-")</f>
        <v>1800</v>
      </c>
      <c r="H38" s="144" t="s">
        <v>462</v>
      </c>
      <c r="I38" s="139">
        <v>2</v>
      </c>
      <c r="J38" s="139">
        <v>2</v>
      </c>
      <c r="K38" s="139">
        <v>10</v>
      </c>
      <c r="L38" s="139">
        <v>5</v>
      </c>
      <c r="M38" s="139">
        <v>12</v>
      </c>
      <c r="N38" s="139"/>
      <c r="O38" s="139">
        <v>13</v>
      </c>
      <c r="P38" s="184"/>
      <c r="Q38" s="117"/>
      <c r="R38" s="117">
        <v>36</v>
      </c>
      <c r="S38" s="117"/>
      <c r="T38" s="106">
        <f>Database[[#This Row],[Base HP]]+Database[[#This Row],[Temp HP]]-Database[[#This Row],[Dmg Taken]]</f>
        <v>36</v>
      </c>
      <c r="U38" s="102">
        <f t="array" ref="U3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38" s="102">
        <f t="array" ref="V3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38" s="10"/>
      <c r="AK38"/>
    </row>
    <row r="39" spans="2:37" ht="20.25" x14ac:dyDescent="0.2">
      <c r="B39" s="141"/>
      <c r="C39" s="117"/>
      <c r="D39" s="117"/>
      <c r="E39" s="109" t="s">
        <v>84</v>
      </c>
      <c r="F39" s="102">
        <v>2</v>
      </c>
      <c r="G39" s="138">
        <f>IF(NOT( ISBLANK(Database[[#This Row],[Challenge Rating]])), LOOKUP(Database[Challenge Rating],ChallengeRating[Challenge Rating],ChallengeRating[XP]), "-")</f>
        <v>450</v>
      </c>
      <c r="H39" s="144"/>
      <c r="I39" s="139">
        <v>2</v>
      </c>
      <c r="J39" s="139">
        <v>2</v>
      </c>
      <c r="K39" s="139">
        <v>11</v>
      </c>
      <c r="L39" s="139">
        <v>4</v>
      </c>
      <c r="M39" s="139">
        <v>13</v>
      </c>
      <c r="N39" s="139">
        <v>3</v>
      </c>
      <c r="O39" s="139">
        <v>11</v>
      </c>
      <c r="P39" s="184" t="s">
        <v>22</v>
      </c>
      <c r="Q39" s="117"/>
      <c r="R39" s="117">
        <v>22</v>
      </c>
      <c r="S39" s="117"/>
      <c r="T39" s="106">
        <f>Database[[#This Row],[Base HP]]+Database[[#This Row],[Temp HP]]-Database[[#This Row],[Dmg Taken]]</f>
        <v>22</v>
      </c>
      <c r="U39" s="102">
        <f t="array" ref="U3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39" s="102">
        <f t="array" ref="V3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39" s="10"/>
      <c r="AK39"/>
    </row>
    <row r="40" spans="2:37" ht="20.25" x14ac:dyDescent="0.2">
      <c r="B40" s="141"/>
      <c r="C40" s="117"/>
      <c r="D40" s="117"/>
      <c r="E40" s="109" t="s">
        <v>47</v>
      </c>
      <c r="F40" s="102">
        <v>0.125</v>
      </c>
      <c r="G40" s="138">
        <f>IF(NOT( ISBLANK(Database[[#This Row],[Challenge Rating]])), LOOKUP(Database[Challenge Rating],ChallengeRating[Challenge Rating],ChallengeRating[XP]), "-")</f>
        <v>25</v>
      </c>
      <c r="H40" s="144"/>
      <c r="I40" s="139">
        <v>1</v>
      </c>
      <c r="J40" s="139">
        <v>1</v>
      </c>
      <c r="K40" s="139">
        <v>10</v>
      </c>
      <c r="L40" s="139">
        <v>3</v>
      </c>
      <c r="M40" s="139">
        <v>12</v>
      </c>
      <c r="N40" s="139"/>
      <c r="O40" s="139"/>
      <c r="P40" s="184" t="s">
        <v>22</v>
      </c>
      <c r="Q40" s="117"/>
      <c r="R40" s="117">
        <v>9</v>
      </c>
      <c r="S40" s="117"/>
      <c r="T40" s="106">
        <f>Database[[#This Row],[Base HP]]+Database[[#This Row],[Temp HP]]-Database[[#This Row],[Dmg Taken]]</f>
        <v>9</v>
      </c>
      <c r="U40" s="102">
        <f t="array" ref="U4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40" s="102">
        <f t="array" ref="V4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  <c r="W40" s="10"/>
      <c r="AK40"/>
    </row>
    <row r="41" spans="2:37" ht="20.25" x14ac:dyDescent="0.2">
      <c r="B41" s="141"/>
      <c r="C41" s="141"/>
      <c r="D41" s="141"/>
      <c r="E41" s="109" t="s">
        <v>284</v>
      </c>
      <c r="F41" s="143">
        <v>1</v>
      </c>
      <c r="G41" s="138">
        <f>IF(NOT( ISBLANK(Database[[#This Row],[Challenge Rating]])), LOOKUP(Database[Challenge Rating],ChallengeRating[Challenge Rating],ChallengeRating[XP]), "-")</f>
        <v>200</v>
      </c>
      <c r="H41" s="144" t="s">
        <v>285</v>
      </c>
      <c r="I41" s="193">
        <v>2</v>
      </c>
      <c r="J41" s="138">
        <v>4</v>
      </c>
      <c r="K41" s="138">
        <v>15</v>
      </c>
      <c r="L41" s="138">
        <v>4</v>
      </c>
      <c r="M41" s="138">
        <v>12</v>
      </c>
      <c r="N41" s="138"/>
      <c r="O41" s="138">
        <v>12</v>
      </c>
      <c r="P41" s="185"/>
      <c r="Q41" s="141"/>
      <c r="R41" s="141">
        <v>30</v>
      </c>
      <c r="S41" s="141"/>
      <c r="T41" s="142">
        <f>Database[[#This Row],[Base HP]]+Database[[#This Row],[Temp HP]]-Database[[#This Row],[Dmg Taken]]</f>
        <v>30</v>
      </c>
      <c r="U41" s="143">
        <f t="array" ref="U4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41" s="143">
        <f t="array" ref="V4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41" s="10"/>
      <c r="AK41"/>
    </row>
    <row r="42" spans="2:37" ht="20.25" x14ac:dyDescent="0.2">
      <c r="B42" s="141"/>
      <c r="C42" s="137"/>
      <c r="D42" s="101"/>
      <c r="E42" s="109" t="s">
        <v>409</v>
      </c>
      <c r="F42" s="102">
        <v>10</v>
      </c>
      <c r="G42" s="138">
        <f>IF(NOT( ISBLANK(Database[[#This Row],[Challenge Rating]])), LOOKUP(Database[Challenge Rating],ChallengeRating[Challenge Rating],ChallengeRating[XP]), "-")</f>
        <v>5900</v>
      </c>
      <c r="H42" s="144" t="s">
        <v>407</v>
      </c>
      <c r="I42" s="182">
        <v>2</v>
      </c>
      <c r="J42" s="139">
        <v>2</v>
      </c>
      <c r="K42" s="139">
        <v>15</v>
      </c>
      <c r="L42" s="139">
        <v>8</v>
      </c>
      <c r="M42" s="139">
        <v>16</v>
      </c>
      <c r="N42" s="139"/>
      <c r="O42" s="139">
        <v>14</v>
      </c>
      <c r="P42" s="184"/>
      <c r="Q42" s="117"/>
      <c r="R42" s="117">
        <v>161</v>
      </c>
      <c r="S42" s="117"/>
      <c r="T42" s="106">
        <f>Database[[#This Row],[Base HP]]+Database[[#This Row],[Temp HP]]-Database[[#This Row],[Dmg Taken]]</f>
        <v>161</v>
      </c>
      <c r="U42" s="102">
        <f t="array" ref="U4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42" s="102">
        <f t="array" ref="V4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10</v>
      </c>
      <c r="W42" s="10"/>
      <c r="AK42"/>
    </row>
    <row r="43" spans="2:37" ht="20.25" x14ac:dyDescent="0.2">
      <c r="B43" s="141"/>
      <c r="C43" s="117"/>
      <c r="D43" s="117"/>
      <c r="E43" s="109" t="s">
        <v>89</v>
      </c>
      <c r="F43" s="102">
        <v>3</v>
      </c>
      <c r="G43" s="138">
        <f>IF(NOT( ISBLANK(Database[[#This Row],[Challenge Rating]])), LOOKUP(Database[Challenge Rating],ChallengeRating[Challenge Rating],ChallengeRating[XP]), "-")</f>
        <v>700</v>
      </c>
      <c r="H43" s="144"/>
      <c r="I43" s="139">
        <v>2</v>
      </c>
      <c r="J43" s="139">
        <v>2</v>
      </c>
      <c r="K43" s="139">
        <v>11</v>
      </c>
      <c r="L43" s="139">
        <v>6</v>
      </c>
      <c r="M43" s="139">
        <v>13</v>
      </c>
      <c r="N43" s="139"/>
      <c r="O43" s="139"/>
      <c r="P43" s="184" t="s">
        <v>22</v>
      </c>
      <c r="Q43" s="117"/>
      <c r="R43" s="117">
        <v>85</v>
      </c>
      <c r="S43" s="117"/>
      <c r="T43" s="106">
        <f>Database[[#This Row],[Base HP]]+Database[[#This Row],[Temp HP]]-Database[[#This Row],[Dmg Taken]]</f>
        <v>85</v>
      </c>
      <c r="U43" s="102">
        <f t="array" ref="U4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43" s="102">
        <f t="array" ref="V4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43" s="10"/>
      <c r="AK43"/>
    </row>
    <row r="44" spans="2:37" ht="20.25" x14ac:dyDescent="0.2">
      <c r="B44" s="145"/>
      <c r="C44" s="145"/>
      <c r="D44" s="145"/>
      <c r="E44" s="147" t="s">
        <v>440</v>
      </c>
      <c r="F44" s="149">
        <v>0.125</v>
      </c>
      <c r="G44" s="148">
        <f>IF(NOT( ISBLANK(Database[[#This Row],[Challenge Rating]])), LOOKUP(Database[Challenge Rating],ChallengeRating[Challenge Rating],ChallengeRating[XP]), "-")</f>
        <v>25</v>
      </c>
      <c r="H44" s="144" t="s">
        <v>441</v>
      </c>
      <c r="I44" s="138">
        <v>1</v>
      </c>
      <c r="J44" s="148">
        <v>1</v>
      </c>
      <c r="K44" s="148">
        <v>13</v>
      </c>
      <c r="L44" s="148">
        <v>4</v>
      </c>
      <c r="M44" s="148">
        <v>12</v>
      </c>
      <c r="N44" s="148"/>
      <c r="O44" s="148"/>
      <c r="P44" s="185"/>
      <c r="Q44" s="141"/>
      <c r="R44" s="145">
        <v>11</v>
      </c>
      <c r="S44" s="145"/>
      <c r="T44" s="142">
        <f>Database[[#This Row],[Base HP]]+Database[[#This Row],[Temp HP]]-Database[[#This Row],[Dmg Taken]]</f>
        <v>11</v>
      </c>
      <c r="U44" s="149">
        <f t="array" ref="U4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44" s="149">
        <f t="array" ref="V4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  <c r="W44" s="10"/>
      <c r="AK44"/>
    </row>
    <row r="45" spans="2:37" ht="20.25" x14ac:dyDescent="0.2">
      <c r="B45" s="141"/>
      <c r="C45" s="117"/>
      <c r="D45" s="117"/>
      <c r="E45" s="109" t="s">
        <v>51</v>
      </c>
      <c r="F45" s="102">
        <v>3</v>
      </c>
      <c r="G45" s="138">
        <f>IF(NOT( ISBLANK(Database[[#This Row],[Challenge Rating]])), LOOKUP(Database[Challenge Rating],ChallengeRating[Challenge Rating],ChallengeRating[XP]), "-")</f>
        <v>700</v>
      </c>
      <c r="H45" s="144"/>
      <c r="I45" s="182">
        <v>4</v>
      </c>
      <c r="J45" s="139">
        <v>2</v>
      </c>
      <c r="K45" s="139">
        <v>11</v>
      </c>
      <c r="L45" s="139">
        <v>6</v>
      </c>
      <c r="M45" s="139">
        <v>14</v>
      </c>
      <c r="N45" s="139"/>
      <c r="O45" s="139"/>
      <c r="P45" s="184" t="s">
        <v>22</v>
      </c>
      <c r="Q45" s="117"/>
      <c r="R45" s="117">
        <v>52</v>
      </c>
      <c r="S45" s="117"/>
      <c r="T45" s="106">
        <f>Database[[#This Row],[Base HP]]+Database[[#This Row],[Temp HP]]-Database[[#This Row],[Dmg Taken]]</f>
        <v>52</v>
      </c>
      <c r="U45" s="102">
        <f t="array" ref="U4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45" s="102">
        <f t="array" ref="V4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45" s="10"/>
      <c r="AK45"/>
    </row>
    <row r="46" spans="2:37" ht="20.25" x14ac:dyDescent="0.2">
      <c r="B46" s="177"/>
      <c r="C46" s="103"/>
      <c r="D46" s="101"/>
      <c r="E46" s="110" t="s">
        <v>330</v>
      </c>
      <c r="F46" s="179">
        <v>0.25</v>
      </c>
      <c r="G46" s="138">
        <f>IF(NOT( ISBLANK(Database[[#This Row],[Challenge Rating]])), LOOKUP(Database[Challenge Rating],ChallengeRating[Challenge Rating],ChallengeRating[XP]), "-")</f>
        <v>50</v>
      </c>
      <c r="H46" s="144" t="s">
        <v>285</v>
      </c>
      <c r="I46" s="140">
        <v>0</v>
      </c>
      <c r="J46" s="140">
        <v>0</v>
      </c>
      <c r="K46" s="140">
        <v>10</v>
      </c>
      <c r="L46" s="140">
        <v>6</v>
      </c>
      <c r="M46" s="140">
        <v>10</v>
      </c>
      <c r="N46" s="140"/>
      <c r="O46" s="140"/>
      <c r="P46" s="184"/>
      <c r="Q46" s="117"/>
      <c r="R46" s="127">
        <v>19</v>
      </c>
      <c r="S46" s="117"/>
      <c r="T46" s="106">
        <f>Database[[#This Row],[Base HP]]+Database[[#This Row],[Temp HP]]-Database[[#This Row],[Dmg Taken]]</f>
        <v>19</v>
      </c>
      <c r="U46" s="102">
        <f t="array" ref="U4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46" s="102">
        <f t="array" ref="V4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46" s="10"/>
      <c r="AK46"/>
    </row>
    <row r="47" spans="2:37" ht="20.25" x14ac:dyDescent="0.2">
      <c r="B47" s="141"/>
      <c r="C47" s="141"/>
      <c r="D47" s="141"/>
      <c r="E47" s="109" t="s">
        <v>362</v>
      </c>
      <c r="F47" s="143">
        <v>0.25</v>
      </c>
      <c r="G47" s="138">
        <f>IF(NOT( ISBLANK(Database[[#This Row],[Challenge Rating]])), LOOKUP(Database[Challenge Rating],ChallengeRating[Challenge Rating],ChallengeRating[XP]), "-")</f>
        <v>50</v>
      </c>
      <c r="H47" s="144" t="s">
        <v>363</v>
      </c>
      <c r="I47" s="138">
        <v>2</v>
      </c>
      <c r="J47" s="138">
        <v>4</v>
      </c>
      <c r="K47" s="138">
        <v>12</v>
      </c>
      <c r="L47" s="138">
        <v>4</v>
      </c>
      <c r="M47" s="138">
        <v>15</v>
      </c>
      <c r="N47" s="138"/>
      <c r="O47" s="138">
        <v>11</v>
      </c>
      <c r="P47" s="183"/>
      <c r="Q47" s="141"/>
      <c r="R47" s="141">
        <v>15</v>
      </c>
      <c r="S47" s="141"/>
      <c r="T47" s="142">
        <f>Database[[#This Row],[Base HP]]+Database[[#This Row],[Temp HP]]-Database[[#This Row],[Dmg Taken]]</f>
        <v>15</v>
      </c>
      <c r="U47" s="143">
        <f t="array" ref="U4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47" s="143">
        <f t="array" ref="V4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47" s="10"/>
      <c r="AK47"/>
    </row>
    <row r="48" spans="2:37" ht="20.25" x14ac:dyDescent="0.2">
      <c r="B48" s="141"/>
      <c r="C48" s="141"/>
      <c r="D48" s="141"/>
      <c r="E48" s="109" t="s">
        <v>364</v>
      </c>
      <c r="F48" s="143">
        <v>5</v>
      </c>
      <c r="G48" s="138">
        <f>IF(NOT( ISBLANK(Database[[#This Row],[Challenge Rating]])), LOOKUP(Database[Challenge Rating],ChallengeRating[Challenge Rating],ChallengeRating[XP]), "-")</f>
        <v>1800</v>
      </c>
      <c r="H48" s="144" t="s">
        <v>363</v>
      </c>
      <c r="I48" s="138">
        <v>4</v>
      </c>
      <c r="J48" s="138">
        <v>10</v>
      </c>
      <c r="K48" s="138">
        <v>14</v>
      </c>
      <c r="L48" s="138">
        <v>7</v>
      </c>
      <c r="M48" s="138">
        <v>18</v>
      </c>
      <c r="N48" s="138"/>
      <c r="O48" s="138">
        <v>11</v>
      </c>
      <c r="P48" s="183"/>
      <c r="Q48" s="141"/>
      <c r="R48" s="141">
        <v>71</v>
      </c>
      <c r="S48" s="141"/>
      <c r="T48" s="142">
        <f>Database[[#This Row],[Base HP]]+Database[[#This Row],[Temp HP]]-Database[[#This Row],[Dmg Taken]]</f>
        <v>71</v>
      </c>
      <c r="U48" s="143">
        <f t="array" ref="U4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48" s="143">
        <f t="array" ref="V4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48" s="10"/>
      <c r="AK48"/>
    </row>
    <row r="49" spans="2:37" ht="20.25" x14ac:dyDescent="0.2">
      <c r="B49" s="177"/>
      <c r="C49" s="103"/>
      <c r="D49" s="101"/>
      <c r="E49" s="110" t="s">
        <v>342</v>
      </c>
      <c r="F49" s="179">
        <v>0</v>
      </c>
      <c r="G49" s="138">
        <f>IF(NOT( ISBLANK(Database[[#This Row],[Challenge Rating]])), LOOKUP(Database[Challenge Rating],ChallengeRating[Challenge Rating],ChallengeRating[XP]), "-")</f>
        <v>10</v>
      </c>
      <c r="H49" s="144" t="s">
        <v>328</v>
      </c>
      <c r="I49" s="140">
        <v>2</v>
      </c>
      <c r="J49" s="140">
        <v>2</v>
      </c>
      <c r="K49" s="140">
        <v>14</v>
      </c>
      <c r="L49" s="140">
        <v>4</v>
      </c>
      <c r="M49" s="140">
        <v>12</v>
      </c>
      <c r="N49" s="140"/>
      <c r="O49" s="140"/>
      <c r="P49" s="184"/>
      <c r="Q49" s="117"/>
      <c r="R49" s="127">
        <v>3</v>
      </c>
      <c r="S49" s="117"/>
      <c r="T49" s="106">
        <f>Database[[#This Row],[Base HP]]+Database[[#This Row],[Temp HP]]-Database[[#This Row],[Dmg Taken]]</f>
        <v>3</v>
      </c>
      <c r="U49" s="102">
        <f t="array" ref="U4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49" s="102">
        <f t="array" ref="V4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49" s="10"/>
      <c r="AK49"/>
    </row>
    <row r="50" spans="2:37" ht="20.25" x14ac:dyDescent="0.2">
      <c r="B50" s="141"/>
      <c r="C50" s="117"/>
      <c r="D50" s="117"/>
      <c r="E50" s="109" t="s">
        <v>64</v>
      </c>
      <c r="F50" s="102">
        <v>0.25</v>
      </c>
      <c r="G50" s="138">
        <f>IF(NOT( ISBLANK(Database[[#This Row],[Challenge Rating]])), LOOKUP(Database[Challenge Rating],ChallengeRating[Challenge Rating],ChallengeRating[XP]), "-")</f>
        <v>50</v>
      </c>
      <c r="H50" s="144" t="s">
        <v>328</v>
      </c>
      <c r="I50" s="139">
        <v>0</v>
      </c>
      <c r="J50" s="139">
        <v>0</v>
      </c>
      <c r="K50" s="139">
        <v>10</v>
      </c>
      <c r="L50" s="139">
        <v>5</v>
      </c>
      <c r="M50" s="139">
        <v>10</v>
      </c>
      <c r="N50" s="139"/>
      <c r="O50" s="139">
        <v>13</v>
      </c>
      <c r="P50" s="184" t="s">
        <v>22</v>
      </c>
      <c r="Q50" s="117"/>
      <c r="R50" s="117">
        <v>13</v>
      </c>
      <c r="S50" s="117"/>
      <c r="T50" s="106">
        <f>Database[[#This Row],[Base HP]]+Database[[#This Row],[Temp HP]]-Database[[#This Row],[Dmg Taken]]</f>
        <v>13</v>
      </c>
      <c r="U50" s="102">
        <f t="array" ref="U5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50" s="102">
        <f t="array" ref="V5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50" s="10"/>
      <c r="AK50"/>
    </row>
    <row r="51" spans="2:37" ht="20.25" x14ac:dyDescent="0.2">
      <c r="B51" s="141"/>
      <c r="C51" s="117"/>
      <c r="D51" s="117"/>
      <c r="E51" s="109" t="s">
        <v>60</v>
      </c>
      <c r="F51" s="102">
        <v>4</v>
      </c>
      <c r="G51" s="138">
        <f>IF(NOT( ISBLANK(Database[[#This Row],[Challenge Rating]])), LOOKUP(Database[Challenge Rating],ChallengeRating[Challenge Rating],ChallengeRating[XP]), "-")</f>
        <v>1100</v>
      </c>
      <c r="H51" s="144"/>
      <c r="I51" s="139">
        <v>-1</v>
      </c>
      <c r="J51" s="139">
        <v>-1</v>
      </c>
      <c r="K51" s="139">
        <v>14</v>
      </c>
      <c r="L51" s="139">
        <v>7</v>
      </c>
      <c r="M51" s="139">
        <v>12</v>
      </c>
      <c r="N51" s="139"/>
      <c r="O51" s="139"/>
      <c r="P51" s="184" t="s">
        <v>22</v>
      </c>
      <c r="Q51" s="117"/>
      <c r="R51" s="117">
        <v>85</v>
      </c>
      <c r="S51" s="117"/>
      <c r="T51" s="106">
        <f>Database[[#This Row],[Base HP]]+Database[[#This Row],[Temp HP]]-Database[[#This Row],[Dmg Taken]]</f>
        <v>85</v>
      </c>
      <c r="U51" s="102">
        <f t="array" ref="U5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51" s="102">
        <f t="array" ref="V5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51" s="10"/>
      <c r="AK51"/>
    </row>
    <row r="52" spans="2:37" ht="20.25" x14ac:dyDescent="0.2">
      <c r="B52" s="141"/>
      <c r="C52" s="117"/>
      <c r="D52" s="117"/>
      <c r="E52" s="109" t="s">
        <v>23</v>
      </c>
      <c r="F52" s="102">
        <v>1</v>
      </c>
      <c r="G52" s="138">
        <f>IF(NOT( ISBLANK(Database[[#This Row],[Challenge Rating]])), LOOKUP(Database[Challenge Rating],ChallengeRating[Challenge Rating],ChallengeRating[XP]), "-")</f>
        <v>200</v>
      </c>
      <c r="H52" s="144"/>
      <c r="I52" s="139">
        <v>2</v>
      </c>
      <c r="J52" s="139">
        <v>2</v>
      </c>
      <c r="K52" s="139">
        <v>11</v>
      </c>
      <c r="L52" s="139">
        <v>1</v>
      </c>
      <c r="M52" s="139">
        <v>12</v>
      </c>
      <c r="N52" s="139">
        <v>5</v>
      </c>
      <c r="O52" s="139">
        <v>13</v>
      </c>
      <c r="P52" s="184" t="s">
        <v>22</v>
      </c>
      <c r="Q52" s="117"/>
      <c r="R52" s="117">
        <v>22</v>
      </c>
      <c r="S52" s="117"/>
      <c r="T52" s="106">
        <f>Database[[#This Row],[Base HP]]+Database[[#This Row],[Temp HP]]-Database[[#This Row],[Dmg Taken]]</f>
        <v>22</v>
      </c>
      <c r="U52" s="102">
        <f t="array" ref="U5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52" s="102">
        <f t="array" ref="V5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52" s="10"/>
      <c r="AK52"/>
    </row>
    <row r="53" spans="2:37" ht="20.25" x14ac:dyDescent="0.2">
      <c r="B53" s="141"/>
      <c r="C53" s="117"/>
      <c r="D53" s="117"/>
      <c r="E53" s="109" t="s">
        <v>71</v>
      </c>
      <c r="F53" s="102">
        <v>2</v>
      </c>
      <c r="G53" s="138">
        <f>IF(NOT( ISBLANK(Database[[#This Row],[Challenge Rating]])), LOOKUP(Database[Challenge Rating],ChallengeRating[Challenge Rating],ChallengeRating[XP]), "-")</f>
        <v>450</v>
      </c>
      <c r="H53" s="144"/>
      <c r="I53" s="139">
        <v>5</v>
      </c>
      <c r="J53" s="139">
        <v>7</v>
      </c>
      <c r="K53" s="139">
        <v>13</v>
      </c>
      <c r="L53" s="139">
        <v>7</v>
      </c>
      <c r="M53" s="139">
        <v>15</v>
      </c>
      <c r="N53" s="139">
        <v>5</v>
      </c>
      <c r="O53" s="139">
        <v>13</v>
      </c>
      <c r="P53" s="184" t="s">
        <v>22</v>
      </c>
      <c r="Q53" s="117"/>
      <c r="R53" s="117">
        <v>14</v>
      </c>
      <c r="S53" s="117"/>
      <c r="T53" s="106">
        <f>Database[[#This Row],[Base HP]]+Database[[#This Row],[Temp HP]]-Database[[#This Row],[Dmg Taken]]</f>
        <v>14</v>
      </c>
      <c r="U53" s="102">
        <f t="array" ref="U5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53" s="102">
        <f t="array" ref="V5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53" s="10"/>
      <c r="AK53"/>
    </row>
    <row r="54" spans="2:37" ht="40.5" x14ac:dyDescent="0.2">
      <c r="B54" s="141"/>
      <c r="C54" s="117"/>
      <c r="D54" s="117"/>
      <c r="E54" s="109" t="s">
        <v>72</v>
      </c>
      <c r="F54" s="102">
        <v>2</v>
      </c>
      <c r="G54" s="138">
        <f>IF(NOT( ISBLANK(Database[[#This Row],[Challenge Rating]])), LOOKUP(Database[Challenge Rating],ChallengeRating[Challenge Rating],ChallengeRating[XP]), "-")</f>
        <v>450</v>
      </c>
      <c r="H54" s="144"/>
      <c r="I54" s="139">
        <v>5</v>
      </c>
      <c r="J54" s="139">
        <v>7</v>
      </c>
      <c r="K54" s="139">
        <v>13</v>
      </c>
      <c r="L54" s="139">
        <v>7</v>
      </c>
      <c r="M54" s="139">
        <v>15</v>
      </c>
      <c r="N54" s="139">
        <v>5</v>
      </c>
      <c r="O54" s="139">
        <v>13</v>
      </c>
      <c r="P54" s="184" t="s">
        <v>22</v>
      </c>
      <c r="Q54" s="117"/>
      <c r="R54" s="117">
        <v>14</v>
      </c>
      <c r="S54" s="117"/>
      <c r="T54" s="106">
        <f>Database[[#This Row],[Base HP]]+Database[[#This Row],[Temp HP]]-Database[[#This Row],[Dmg Taken]]</f>
        <v>14</v>
      </c>
      <c r="U54" s="102">
        <f t="array" ref="U5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54" s="102">
        <f t="array" ref="V5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54" s="10"/>
      <c r="AK54"/>
    </row>
    <row r="55" spans="2:37" ht="40.5" x14ac:dyDescent="0.2">
      <c r="B55" s="141"/>
      <c r="C55" s="117"/>
      <c r="D55" s="117"/>
      <c r="E55" s="109" t="s">
        <v>73</v>
      </c>
      <c r="F55" s="102">
        <v>2</v>
      </c>
      <c r="G55" s="138">
        <f>IF(NOT( ISBLANK(Database[[#This Row],[Challenge Rating]])), LOOKUP(Database[Challenge Rating],ChallengeRating[Challenge Rating],ChallengeRating[XP]), "-")</f>
        <v>450</v>
      </c>
      <c r="H55" s="144"/>
      <c r="I55" s="139">
        <v>5</v>
      </c>
      <c r="J55" s="139">
        <v>7</v>
      </c>
      <c r="K55" s="139">
        <v>13</v>
      </c>
      <c r="L55" s="139">
        <v>7</v>
      </c>
      <c r="M55" s="139">
        <v>15</v>
      </c>
      <c r="N55" s="139">
        <v>5</v>
      </c>
      <c r="O55" s="139">
        <v>13</v>
      </c>
      <c r="P55" s="184" t="s">
        <v>22</v>
      </c>
      <c r="Q55" s="117"/>
      <c r="R55" s="117">
        <v>14</v>
      </c>
      <c r="S55" s="117"/>
      <c r="T55" s="106">
        <f>Database[[#This Row],[Base HP]]+Database[[#This Row],[Temp HP]]-Database[[#This Row],[Dmg Taken]]</f>
        <v>14</v>
      </c>
      <c r="U55" s="102">
        <f t="array" ref="U5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55" s="102">
        <f t="array" ref="V5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55" s="10"/>
      <c r="AK55"/>
    </row>
    <row r="56" spans="2:37" ht="40.5" x14ac:dyDescent="0.2">
      <c r="B56" s="141"/>
      <c r="C56" s="117"/>
      <c r="D56" s="117"/>
      <c r="E56" s="109" t="s">
        <v>75</v>
      </c>
      <c r="F56" s="102">
        <v>1</v>
      </c>
      <c r="G56" s="138">
        <f>IF(NOT( ISBLANK(Database[[#This Row],[Challenge Rating]])), LOOKUP(Database[Challenge Rating],ChallengeRating[Challenge Rating],ChallengeRating[XP]), "-")</f>
        <v>200</v>
      </c>
      <c r="H56" s="144"/>
      <c r="I56" s="139">
        <v>5</v>
      </c>
      <c r="J56" s="139">
        <v>7</v>
      </c>
      <c r="K56" s="139">
        <v>13</v>
      </c>
      <c r="L56" s="139">
        <v>7</v>
      </c>
      <c r="M56" s="139">
        <v>15</v>
      </c>
      <c r="N56" s="139">
        <v>5</v>
      </c>
      <c r="O56" s="139">
        <v>13</v>
      </c>
      <c r="P56" s="184" t="s">
        <v>22</v>
      </c>
      <c r="Q56" s="117"/>
      <c r="R56" s="117">
        <v>14</v>
      </c>
      <c r="S56" s="117"/>
      <c r="T56" s="106">
        <f>Database[[#This Row],[Base HP]]+Database[[#This Row],[Temp HP]]-Database[[#This Row],[Dmg Taken]]</f>
        <v>14</v>
      </c>
      <c r="U56" s="102">
        <f t="array" ref="U5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56" s="102">
        <f t="array" ref="V5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56" s="10"/>
      <c r="AK56"/>
    </row>
    <row r="57" spans="2:37" ht="20.25" x14ac:dyDescent="0.2">
      <c r="B57" s="141"/>
      <c r="C57" s="117"/>
      <c r="D57" s="117"/>
      <c r="E57" s="109" t="s">
        <v>77</v>
      </c>
      <c r="F57" s="102">
        <v>1</v>
      </c>
      <c r="G57" s="138">
        <f>IF(NOT( ISBLANK(Database[[#This Row],[Challenge Rating]])), LOOKUP(Database[Challenge Rating],ChallengeRating[Challenge Rating],ChallengeRating[XP]), "-")</f>
        <v>200</v>
      </c>
      <c r="H57" s="144"/>
      <c r="I57" s="139">
        <v>5</v>
      </c>
      <c r="J57" s="139">
        <v>7</v>
      </c>
      <c r="K57" s="139">
        <v>13</v>
      </c>
      <c r="L57" s="139">
        <v>7</v>
      </c>
      <c r="M57" s="139">
        <v>15</v>
      </c>
      <c r="N57" s="139">
        <v>5</v>
      </c>
      <c r="O57" s="139">
        <v>13</v>
      </c>
      <c r="P57" s="184" t="s">
        <v>22</v>
      </c>
      <c r="Q57" s="117"/>
      <c r="R57" s="117">
        <v>14</v>
      </c>
      <c r="S57" s="117"/>
      <c r="T57" s="106">
        <f>Database[[#This Row],[Base HP]]+Database[[#This Row],[Temp HP]]-Database[[#This Row],[Dmg Taken]]</f>
        <v>14</v>
      </c>
      <c r="U57" s="102">
        <f t="array" ref="U5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57" s="102">
        <f t="array" ref="V5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57" s="10"/>
      <c r="AK57"/>
    </row>
    <row r="58" spans="2:37" ht="40.5" x14ac:dyDescent="0.2">
      <c r="B58" s="141"/>
      <c r="C58" s="117"/>
      <c r="D58" s="117"/>
      <c r="E58" s="109" t="s">
        <v>74</v>
      </c>
      <c r="F58" s="102">
        <v>2</v>
      </c>
      <c r="G58" s="138">
        <f>IF(NOT( ISBLANK(Database[[#This Row],[Challenge Rating]])), LOOKUP(Database[Challenge Rating],ChallengeRating[Challenge Rating],ChallengeRating[XP]), "-")</f>
        <v>450</v>
      </c>
      <c r="H58" s="144"/>
      <c r="I58" s="139">
        <v>5</v>
      </c>
      <c r="J58" s="139">
        <v>7</v>
      </c>
      <c r="K58" s="139">
        <v>13</v>
      </c>
      <c r="L58" s="139">
        <v>7</v>
      </c>
      <c r="M58" s="139">
        <v>15</v>
      </c>
      <c r="N58" s="139">
        <v>5</v>
      </c>
      <c r="O58" s="139">
        <v>13</v>
      </c>
      <c r="P58" s="184" t="s">
        <v>22</v>
      </c>
      <c r="Q58" s="117"/>
      <c r="R58" s="117">
        <v>14</v>
      </c>
      <c r="S58" s="117"/>
      <c r="T58" s="106">
        <f>Database[[#This Row],[Base HP]]+Database[[#This Row],[Temp HP]]-Database[[#This Row],[Dmg Taken]]</f>
        <v>14</v>
      </c>
      <c r="U58" s="102">
        <f t="array" ref="U5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58" s="102">
        <f t="array" ref="V5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58" s="10"/>
      <c r="AK58"/>
    </row>
    <row r="59" spans="2:37" ht="40.5" x14ac:dyDescent="0.2">
      <c r="B59" s="141"/>
      <c r="C59" s="117"/>
      <c r="D59" s="117"/>
      <c r="E59" s="109" t="s">
        <v>76</v>
      </c>
      <c r="F59" s="102">
        <v>1</v>
      </c>
      <c r="G59" s="138">
        <f>IF(NOT( ISBLANK(Database[[#This Row],[Challenge Rating]])), LOOKUP(Database[Challenge Rating],ChallengeRating[Challenge Rating],ChallengeRating[XP]), "-")</f>
        <v>200</v>
      </c>
      <c r="H59" s="144"/>
      <c r="I59" s="139">
        <v>5</v>
      </c>
      <c r="J59" s="139">
        <v>7</v>
      </c>
      <c r="K59" s="139">
        <v>13</v>
      </c>
      <c r="L59" s="139">
        <v>7</v>
      </c>
      <c r="M59" s="139">
        <v>15</v>
      </c>
      <c r="N59" s="139">
        <v>5</v>
      </c>
      <c r="O59" s="139">
        <v>13</v>
      </c>
      <c r="P59" s="184" t="s">
        <v>22</v>
      </c>
      <c r="Q59" s="117"/>
      <c r="R59" s="117">
        <v>14</v>
      </c>
      <c r="S59" s="117"/>
      <c r="T59" s="106">
        <f>Database[[#This Row],[Base HP]]+Database[[#This Row],[Temp HP]]-Database[[#This Row],[Dmg Taken]]</f>
        <v>14</v>
      </c>
      <c r="U59" s="102">
        <f t="array" ref="U5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59" s="102">
        <f t="array" ref="V5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59" s="10"/>
      <c r="AK59"/>
    </row>
    <row r="60" spans="2:37" ht="20.25" x14ac:dyDescent="0.2">
      <c r="B60" s="141"/>
      <c r="C60" s="117"/>
      <c r="D60" s="117"/>
      <c r="E60" s="109" t="s">
        <v>53</v>
      </c>
      <c r="F60" s="102">
        <v>4</v>
      </c>
      <c r="G60" s="138">
        <f>IF(NOT( ISBLANK(Database[[#This Row],[Challenge Rating]])), LOOKUP(Database[Challenge Rating],ChallengeRating[Challenge Rating],ChallengeRating[XP]), "-")</f>
        <v>1100</v>
      </c>
      <c r="H60" s="144"/>
      <c r="I60" s="139">
        <v>3</v>
      </c>
      <c r="J60" s="139">
        <v>3</v>
      </c>
      <c r="K60" s="139">
        <v>12</v>
      </c>
      <c r="L60" s="139">
        <v>0</v>
      </c>
      <c r="M60" s="139">
        <v>13</v>
      </c>
      <c r="N60" s="139">
        <v>5</v>
      </c>
      <c r="O60" s="139">
        <v>13</v>
      </c>
      <c r="P60" s="184" t="s">
        <v>22</v>
      </c>
      <c r="Q60" s="117"/>
      <c r="R60" s="117">
        <v>40</v>
      </c>
      <c r="S60" s="117"/>
      <c r="T60" s="106">
        <f>Database[[#This Row],[Base HP]]+Database[[#This Row],[Temp HP]]-Database[[#This Row],[Dmg Taken]]</f>
        <v>40</v>
      </c>
      <c r="U60" s="102">
        <f t="array" ref="U6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60" s="102">
        <f t="array" ref="V6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60" s="10"/>
      <c r="AK60"/>
    </row>
    <row r="61" spans="2:37" ht="20.25" x14ac:dyDescent="0.2">
      <c r="B61" s="141"/>
      <c r="C61" s="117"/>
      <c r="D61" s="117"/>
      <c r="E61" s="109" t="s">
        <v>100</v>
      </c>
      <c r="F61" s="102">
        <v>5</v>
      </c>
      <c r="G61" s="138">
        <f>IF(NOT( ISBLANK(Database[[#This Row],[Challenge Rating]])), LOOKUP(Database[Challenge Rating],ChallengeRating[Challenge Rating],ChallengeRating[XP]), "-")</f>
        <v>1800</v>
      </c>
      <c r="H61" s="144" t="s">
        <v>353</v>
      </c>
      <c r="I61" s="139">
        <v>-1</v>
      </c>
      <c r="J61" s="139">
        <v>-1</v>
      </c>
      <c r="K61" s="139">
        <v>10</v>
      </c>
      <c r="L61" s="139">
        <v>7</v>
      </c>
      <c r="M61" s="139">
        <v>9</v>
      </c>
      <c r="N61" s="139"/>
      <c r="O61" s="139">
        <v>15</v>
      </c>
      <c r="P61" s="184" t="s">
        <v>22</v>
      </c>
      <c r="Q61" s="117"/>
      <c r="R61" s="117">
        <v>93</v>
      </c>
      <c r="S61" s="117"/>
      <c r="T61" s="106">
        <f>Database[[#This Row],[Base HP]]+Database[[#This Row],[Temp HP]]-Database[[#This Row],[Dmg Taken]]</f>
        <v>93</v>
      </c>
      <c r="U61" s="102">
        <f t="array" ref="U6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61" s="102">
        <f t="array" ref="V6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61" s="10"/>
      <c r="AK61"/>
    </row>
    <row r="62" spans="2:37" ht="20.25" x14ac:dyDescent="0.2">
      <c r="B62" s="141"/>
      <c r="C62" s="137"/>
      <c r="D62" s="101"/>
      <c r="E62" s="109" t="s">
        <v>403</v>
      </c>
      <c r="F62" s="102">
        <v>0.125</v>
      </c>
      <c r="G62" s="138">
        <f>IF(NOT( ISBLANK(Database[[#This Row],[Challenge Rating]])), LOOKUP(Database[Challenge Rating],ChallengeRating[Challenge Rating],ChallengeRating[XP]), "-")</f>
        <v>25</v>
      </c>
      <c r="H62" s="144" t="s">
        <v>404</v>
      </c>
      <c r="I62" s="139">
        <v>2</v>
      </c>
      <c r="J62" s="139">
        <v>2</v>
      </c>
      <c r="K62" s="139">
        <v>12</v>
      </c>
      <c r="L62" s="139">
        <v>4</v>
      </c>
      <c r="M62" s="139">
        <v>12</v>
      </c>
      <c r="N62" s="139"/>
      <c r="O62" s="139">
        <v>10</v>
      </c>
      <c r="P62" s="184"/>
      <c r="Q62" s="117"/>
      <c r="R62" s="117">
        <v>7</v>
      </c>
      <c r="S62" s="117"/>
      <c r="T62" s="106">
        <f>Database[[#This Row],[Base HP]]+Database[[#This Row],[Temp HP]]-Database[[#This Row],[Dmg Taken]]</f>
        <v>7</v>
      </c>
      <c r="U62" s="102">
        <f t="array" ref="U6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62" s="102">
        <f t="array" ref="V6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  <c r="W62" s="10"/>
      <c r="AK62"/>
    </row>
    <row r="63" spans="2:37" ht="20.25" x14ac:dyDescent="0.2">
      <c r="B63" s="141"/>
      <c r="C63" s="117"/>
      <c r="D63" s="117"/>
      <c r="E63" s="109" t="s">
        <v>90</v>
      </c>
      <c r="F63" s="102">
        <v>0.25</v>
      </c>
      <c r="G63" s="138">
        <f>IF(NOT( ISBLANK(Database[[#This Row],[Challenge Rating]])), LOOKUP(Database[Challenge Rating],ChallengeRating[Challenge Rating],ChallengeRating[XP]), "-")</f>
        <v>50</v>
      </c>
      <c r="H63" s="144" t="s">
        <v>354</v>
      </c>
      <c r="I63" s="139">
        <v>2</v>
      </c>
      <c r="J63" s="139">
        <v>2</v>
      </c>
      <c r="K63" s="139">
        <v>7</v>
      </c>
      <c r="L63" s="139">
        <v>0</v>
      </c>
      <c r="M63" s="139">
        <v>17</v>
      </c>
      <c r="N63" s="139"/>
      <c r="O63" s="139">
        <v>14</v>
      </c>
      <c r="P63" s="184" t="s">
        <v>22</v>
      </c>
      <c r="Q63" s="117"/>
      <c r="R63" s="117">
        <v>13</v>
      </c>
      <c r="S63" s="117"/>
      <c r="T63" s="106">
        <f>Database[[#This Row],[Base HP]]+Database[[#This Row],[Temp HP]]-Database[[#This Row],[Dmg Taken]]</f>
        <v>13</v>
      </c>
      <c r="U63" s="102">
        <f t="array" ref="U6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63" s="102">
        <f t="array" ref="V6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63" s="10"/>
      <c r="AK63"/>
    </row>
    <row r="64" spans="2:37" ht="20.25" x14ac:dyDescent="0.2">
      <c r="B64" s="141"/>
      <c r="C64" s="117"/>
      <c r="D64" s="117"/>
      <c r="E64" s="109" t="s">
        <v>92</v>
      </c>
      <c r="F64" s="102">
        <v>0.25</v>
      </c>
      <c r="G64" s="138">
        <f>IF(NOT( ISBLANK(Database[[#This Row],[Challenge Rating]])), LOOKUP(Database[Challenge Rating],ChallengeRating[Challenge Rating],ChallengeRating[XP]), "-")</f>
        <v>50</v>
      </c>
      <c r="H64" s="144" t="s">
        <v>355</v>
      </c>
      <c r="I64" s="139">
        <v>2</v>
      </c>
      <c r="J64" s="139">
        <v>2</v>
      </c>
      <c r="K64" s="139">
        <v>7</v>
      </c>
      <c r="L64" s="139">
        <v>3</v>
      </c>
      <c r="M64" s="139">
        <v>17</v>
      </c>
      <c r="N64" s="139"/>
      <c r="O64" s="139"/>
      <c r="P64" s="184" t="s">
        <v>22</v>
      </c>
      <c r="Q64" s="117"/>
      <c r="R64" s="117">
        <v>17</v>
      </c>
      <c r="S64" s="117"/>
      <c r="T64" s="106">
        <f>Database[[#This Row],[Base HP]]+Database[[#This Row],[Temp HP]]-Database[[#This Row],[Dmg Taken]]</f>
        <v>17</v>
      </c>
      <c r="U64" s="102">
        <f t="array" ref="U6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64" s="102">
        <f t="array" ref="V6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64" s="10"/>
      <c r="AK64"/>
    </row>
    <row r="65" spans="2:37" ht="20.25" x14ac:dyDescent="0.2">
      <c r="B65" s="141"/>
      <c r="C65" s="117"/>
      <c r="D65" s="117"/>
      <c r="E65" s="109" t="s">
        <v>103</v>
      </c>
      <c r="F65" s="102">
        <v>2</v>
      </c>
      <c r="G65" s="138">
        <f>IF(NOT( ISBLANK(Database[[#This Row],[Challenge Rating]])), LOOKUP(Database[Challenge Rating],ChallengeRating[Challenge Rating],ChallengeRating[XP]), "-")</f>
        <v>450</v>
      </c>
      <c r="H65" s="144"/>
      <c r="I65" s="139">
        <v>0</v>
      </c>
      <c r="J65" s="139">
        <v>0</v>
      </c>
      <c r="K65" s="139">
        <v>10</v>
      </c>
      <c r="L65" s="139">
        <v>4</v>
      </c>
      <c r="M65" s="139">
        <v>15</v>
      </c>
      <c r="N65" s="139"/>
      <c r="O65" s="139"/>
      <c r="P65" s="184" t="s">
        <v>22</v>
      </c>
      <c r="Q65" s="117"/>
      <c r="R65" s="117">
        <v>52</v>
      </c>
      <c r="S65" s="117"/>
      <c r="T65" s="106">
        <f>Database[[#This Row],[Base HP]]+Database[[#This Row],[Temp HP]]-Database[[#This Row],[Dmg Taken]]</f>
        <v>52</v>
      </c>
      <c r="U65" s="102">
        <f t="array" ref="U6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65" s="102">
        <f t="array" ref="V6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65" s="10"/>
      <c r="AK65"/>
    </row>
    <row r="66" spans="2:37" ht="20.25" x14ac:dyDescent="0.2">
      <c r="B66" s="141"/>
      <c r="C66" s="137"/>
      <c r="D66" s="101"/>
      <c r="E66" s="109" t="s">
        <v>405</v>
      </c>
      <c r="F66" s="102">
        <v>0.5</v>
      </c>
      <c r="G66" s="138">
        <f>IF(NOT( ISBLANK(Database[[#This Row],[Challenge Rating]])), LOOKUP(Database[Challenge Rating],ChallengeRating[Challenge Rating],ChallengeRating[XP]), "-")</f>
        <v>100</v>
      </c>
      <c r="H66" s="144" t="s">
        <v>375</v>
      </c>
      <c r="I66" s="139">
        <v>-5</v>
      </c>
      <c r="J66" s="139">
        <v>-5</v>
      </c>
      <c r="K66" s="139">
        <v>5</v>
      </c>
      <c r="L66" s="139">
        <v>0</v>
      </c>
      <c r="M66" s="139">
        <v>5</v>
      </c>
      <c r="N66" s="139"/>
      <c r="O66" s="139">
        <v>15</v>
      </c>
      <c r="P66" s="184"/>
      <c r="Q66" s="117"/>
      <c r="R66" s="117">
        <v>1</v>
      </c>
      <c r="S66" s="117"/>
      <c r="T66" s="106">
        <f>Database[[#This Row],[Base HP]]+Database[[#This Row],[Temp HP]]-Database[[#This Row],[Dmg Taken]]</f>
        <v>1</v>
      </c>
      <c r="U66" s="102">
        <f t="array" ref="U6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66" s="102">
        <f t="array" ref="V6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66" s="10"/>
      <c r="AK66"/>
    </row>
    <row r="67" spans="2:37" ht="20.25" x14ac:dyDescent="0.2">
      <c r="B67" s="141"/>
      <c r="C67" s="137"/>
      <c r="D67" s="101"/>
      <c r="E67" s="109" t="s">
        <v>408</v>
      </c>
      <c r="F67" s="102">
        <v>6</v>
      </c>
      <c r="G67" s="138">
        <f>IF(NOT( ISBLANK(Database[[#This Row],[Challenge Rating]])), LOOKUP(Database[Challenge Rating],ChallengeRating[Challenge Rating],ChallengeRating[XP]), "-")</f>
        <v>2300</v>
      </c>
      <c r="H67" s="144" t="s">
        <v>406</v>
      </c>
      <c r="I67" s="139">
        <v>2</v>
      </c>
      <c r="J67" s="139">
        <v>2</v>
      </c>
      <c r="K67" s="139">
        <v>15</v>
      </c>
      <c r="L67" s="139">
        <v>6</v>
      </c>
      <c r="M67" s="139">
        <v>15</v>
      </c>
      <c r="N67" s="139"/>
      <c r="O67" s="139">
        <v>14</v>
      </c>
      <c r="P67" s="184"/>
      <c r="Q67" s="117"/>
      <c r="R67" s="117">
        <v>67</v>
      </c>
      <c r="S67" s="117"/>
      <c r="T67" s="106">
        <f>Database[[#This Row],[Base HP]]+Database[[#This Row],[Temp HP]]-Database[[#This Row],[Dmg Taken]]</f>
        <v>67</v>
      </c>
      <c r="U67" s="102">
        <f t="array" ref="U6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67" s="102">
        <f t="array" ref="V6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  <c r="W67" s="10"/>
      <c r="AK67"/>
    </row>
    <row r="68" spans="2:37" ht="20.25" x14ac:dyDescent="0.2">
      <c r="B68" s="141"/>
      <c r="C68" s="117"/>
      <c r="D68" s="117"/>
      <c r="E68" s="109" t="s">
        <v>66</v>
      </c>
      <c r="F68" s="102">
        <v>2</v>
      </c>
      <c r="G68" s="138">
        <f>IF(NOT( ISBLANK(Database[[#This Row],[Challenge Rating]])), LOOKUP(Database[Challenge Rating],ChallengeRating[Challenge Rating],ChallengeRating[XP]), "-")</f>
        <v>450</v>
      </c>
      <c r="H68" s="144" t="s">
        <v>286</v>
      </c>
      <c r="I68" s="139">
        <v>3</v>
      </c>
      <c r="J68" s="139">
        <v>3</v>
      </c>
      <c r="K68" s="139">
        <v>10</v>
      </c>
      <c r="L68" s="139">
        <v>5</v>
      </c>
      <c r="M68" s="139">
        <v>13</v>
      </c>
      <c r="N68" s="139"/>
      <c r="O68" s="139">
        <v>10</v>
      </c>
      <c r="P68" s="184" t="s">
        <v>22</v>
      </c>
      <c r="Q68" s="117"/>
      <c r="R68" s="117">
        <v>36</v>
      </c>
      <c r="S68" s="117"/>
      <c r="T68" s="106">
        <f>Database[[#This Row],[Base HP]]+Database[[#This Row],[Temp HP]]-Database[[#This Row],[Dmg Taken]]</f>
        <v>36</v>
      </c>
      <c r="U68" s="102">
        <f t="array" ref="U6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68" s="102">
        <f t="array" ref="V6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68" s="10"/>
      <c r="AK68"/>
    </row>
    <row r="69" spans="2:37" ht="20.25" x14ac:dyDescent="0.2">
      <c r="B69" s="141"/>
      <c r="C69" s="117"/>
      <c r="D69" s="117"/>
      <c r="E69" s="109" t="s">
        <v>96</v>
      </c>
      <c r="F69" s="102">
        <v>4</v>
      </c>
      <c r="G69" s="138">
        <f>IF(NOT( ISBLANK(Database[[#This Row],[Challenge Rating]])), LOOKUP(Database[Challenge Rating],ChallengeRating[Challenge Rating],ChallengeRating[XP]), "-")</f>
        <v>1100</v>
      </c>
      <c r="H69" s="144" t="s">
        <v>287</v>
      </c>
      <c r="I69" s="139">
        <v>1</v>
      </c>
      <c r="J69" s="139">
        <v>1</v>
      </c>
      <c r="K69" s="139">
        <v>11</v>
      </c>
      <c r="L69" s="139">
        <v>5</v>
      </c>
      <c r="M69" s="139">
        <v>11</v>
      </c>
      <c r="N69" s="139"/>
      <c r="O69" s="139">
        <v>13</v>
      </c>
      <c r="P69" s="184" t="s">
        <v>22</v>
      </c>
      <c r="Q69" s="117"/>
      <c r="R69" s="117">
        <v>45</v>
      </c>
      <c r="S69" s="117"/>
      <c r="T69" s="106">
        <f>Database[[#This Row],[Base HP]]+Database[[#This Row],[Temp HP]]-Database[[#This Row],[Dmg Taken]]</f>
        <v>45</v>
      </c>
      <c r="U69" s="102">
        <f t="array" ref="U6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69" s="102">
        <f t="array" ref="V6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69" s="10"/>
      <c r="AK69"/>
    </row>
    <row r="70" spans="2:37" ht="20.25" x14ac:dyDescent="0.2">
      <c r="B70" s="141"/>
      <c r="C70" s="117"/>
      <c r="D70" s="117"/>
      <c r="E70" s="109" t="s">
        <v>17</v>
      </c>
      <c r="F70" s="102">
        <v>1</v>
      </c>
      <c r="G70" s="138">
        <f>IF(NOT( ISBLANK(Database[[#This Row],[Challenge Rating]])), LOOKUP(Database[Challenge Rating],ChallengeRating[Challenge Rating],ChallengeRating[XP]), "-")</f>
        <v>200</v>
      </c>
      <c r="H70" s="144" t="s">
        <v>286</v>
      </c>
      <c r="I70" s="139">
        <v>2</v>
      </c>
      <c r="J70" s="139">
        <v>2</v>
      </c>
      <c r="K70" s="139">
        <v>10</v>
      </c>
      <c r="L70" s="139">
        <v>4</v>
      </c>
      <c r="M70" s="139">
        <v>12</v>
      </c>
      <c r="N70" s="139"/>
      <c r="O70" s="139"/>
      <c r="P70" s="184" t="s">
        <v>22</v>
      </c>
      <c r="Q70" s="117"/>
      <c r="R70" s="117">
        <v>22</v>
      </c>
      <c r="S70" s="117"/>
      <c r="T70" s="106">
        <f>Database[[#This Row],[Base HP]]+Database[[#This Row],[Temp HP]]-Database[[#This Row],[Dmg Taken]]</f>
        <v>22</v>
      </c>
      <c r="U70" s="102">
        <f t="array" ref="U7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70" s="102">
        <f t="array" ref="V7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70" s="10"/>
      <c r="AK70"/>
    </row>
    <row r="71" spans="2:37" ht="20.25" x14ac:dyDescent="0.2">
      <c r="B71" s="177"/>
      <c r="C71" s="103"/>
      <c r="D71" s="101"/>
      <c r="E71" s="110" t="s">
        <v>341</v>
      </c>
      <c r="F71" s="179">
        <v>0.25</v>
      </c>
      <c r="G71" s="138">
        <f>IF(NOT( ISBLANK(Database[[#This Row],[Challenge Rating]])), LOOKUP(Database[Challenge Rating],ChallengeRating[Challenge Rating],ChallengeRating[XP]), "-")</f>
        <v>50</v>
      </c>
      <c r="H71" s="144" t="s">
        <v>331</v>
      </c>
      <c r="I71" s="140">
        <v>0</v>
      </c>
      <c r="J71" s="140">
        <v>0</v>
      </c>
      <c r="K71" s="140">
        <v>11</v>
      </c>
      <c r="L71" s="140">
        <v>3</v>
      </c>
      <c r="M71" s="140">
        <v>10</v>
      </c>
      <c r="N71" s="140"/>
      <c r="O71" s="140"/>
      <c r="P71" s="184"/>
      <c r="Q71" s="117"/>
      <c r="R71" s="127">
        <v>13</v>
      </c>
      <c r="S71" s="117"/>
      <c r="T71" s="106">
        <f>Database[[#This Row],[Base HP]]+Database[[#This Row],[Temp HP]]-Database[[#This Row],[Dmg Taken]]</f>
        <v>13</v>
      </c>
      <c r="U71" s="102">
        <f t="array" ref="U7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71" s="102">
        <f t="array" ref="V7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71" s="10"/>
      <c r="AK71"/>
    </row>
    <row r="72" spans="2:37" ht="40.5" x14ac:dyDescent="0.2">
      <c r="B72" s="141"/>
      <c r="C72" s="117"/>
      <c r="D72" s="117"/>
      <c r="E72" s="109" t="s">
        <v>350</v>
      </c>
      <c r="F72" s="102">
        <v>2</v>
      </c>
      <c r="G72" s="138">
        <f>IF(NOT( ISBLANK(Database[[#This Row],[Challenge Rating]])), LOOKUP(Database[Challenge Rating],ChallengeRating[Challenge Rating],ChallengeRating[XP]), "-")</f>
        <v>450</v>
      </c>
      <c r="H72" s="144"/>
      <c r="I72" s="139">
        <v>2</v>
      </c>
      <c r="J72" s="139">
        <v>2</v>
      </c>
      <c r="K72" s="139">
        <v>12</v>
      </c>
      <c r="L72" s="139">
        <v>6</v>
      </c>
      <c r="M72" s="139">
        <v>12</v>
      </c>
      <c r="N72" s="139"/>
      <c r="O72" s="139"/>
      <c r="P72" s="184"/>
      <c r="Q72" s="117"/>
      <c r="R72" s="117">
        <v>60</v>
      </c>
      <c r="S72" s="117"/>
      <c r="T72" s="106">
        <f>Database[[#This Row],[Base HP]]+Database[[#This Row],[Temp HP]]-Database[[#This Row],[Dmg Taken]]</f>
        <v>60</v>
      </c>
      <c r="U72" s="102">
        <f t="array" ref="U7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72" s="102">
        <f t="array" ref="V7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72" s="10"/>
      <c r="AK72"/>
    </row>
    <row r="73" spans="2:37" ht="20.25" x14ac:dyDescent="0.2">
      <c r="B73" s="177"/>
      <c r="C73" s="103"/>
      <c r="D73" s="101"/>
      <c r="E73" s="110" t="s">
        <v>343</v>
      </c>
      <c r="F73" s="179">
        <v>1</v>
      </c>
      <c r="G73" s="138">
        <f>IF(NOT( ISBLANK(Database[[#This Row],[Challenge Rating]])), LOOKUP(Database[Challenge Rating],ChallengeRating[Challenge Rating],ChallengeRating[XP]), "-")</f>
        <v>200</v>
      </c>
      <c r="H73" s="144" t="s">
        <v>344</v>
      </c>
      <c r="I73" s="140">
        <v>3</v>
      </c>
      <c r="J73" s="140">
        <v>3</v>
      </c>
      <c r="K73" s="140">
        <v>14</v>
      </c>
      <c r="L73" s="140">
        <v>5</v>
      </c>
      <c r="M73" s="140">
        <v>13</v>
      </c>
      <c r="N73" s="140"/>
      <c r="O73" s="140"/>
      <c r="P73" s="184"/>
      <c r="Q73" s="117"/>
      <c r="R73" s="127">
        <v>26</v>
      </c>
      <c r="S73" s="117"/>
      <c r="T73" s="106">
        <f>Database[[#This Row],[Base HP]]+Database[[#This Row],[Temp HP]]-Database[[#This Row],[Dmg Taken]]</f>
        <v>26</v>
      </c>
      <c r="U73" s="102">
        <f t="array" ref="U7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73" s="102">
        <f t="array" ref="V7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73" s="10"/>
      <c r="AK73"/>
    </row>
    <row r="74" spans="2:37" ht="20.25" x14ac:dyDescent="0.2">
      <c r="B74" s="141"/>
      <c r="C74" s="117"/>
      <c r="D74" s="117"/>
      <c r="E74" s="109" t="s">
        <v>63</v>
      </c>
      <c r="F74" s="102">
        <v>2</v>
      </c>
      <c r="G74" s="138">
        <f>IF(NOT( ISBLANK(Database[[#This Row],[Challenge Rating]])), LOOKUP(Database[Challenge Rating],ChallengeRating[Challenge Rating],ChallengeRating[XP]), "-")</f>
        <v>450</v>
      </c>
      <c r="H74" s="144" t="s">
        <v>329</v>
      </c>
      <c r="I74" s="139">
        <v>3</v>
      </c>
      <c r="J74" s="139">
        <v>3</v>
      </c>
      <c r="K74" s="139">
        <v>14</v>
      </c>
      <c r="L74" s="139">
        <v>6</v>
      </c>
      <c r="M74" s="139">
        <v>14</v>
      </c>
      <c r="N74" s="139"/>
      <c r="O74" s="139">
        <v>14</v>
      </c>
      <c r="P74" s="184" t="s">
        <v>22</v>
      </c>
      <c r="Q74" s="117"/>
      <c r="R74" s="117">
        <v>42</v>
      </c>
      <c r="S74" s="117"/>
      <c r="T74" s="106">
        <f>Database[[#This Row],[Base HP]]+Database[[#This Row],[Temp HP]]-Database[[#This Row],[Dmg Taken]]</f>
        <v>42</v>
      </c>
      <c r="U74" s="102">
        <f t="array" ref="U7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74" s="102">
        <f t="array" ref="V7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74" s="10"/>
      <c r="AK74"/>
    </row>
    <row r="75" spans="2:37" ht="20.25" x14ac:dyDescent="0.2">
      <c r="B75" s="145"/>
      <c r="C75" s="145"/>
      <c r="D75" s="145"/>
      <c r="E75" s="147" t="s">
        <v>436</v>
      </c>
      <c r="F75" s="149">
        <v>0.25</v>
      </c>
      <c r="G75" s="148">
        <f>IF(NOT( ISBLANK(Database[[#This Row],[Challenge Rating]])), LOOKUP(Database[Challenge Rating],ChallengeRating[Challenge Rating],ChallengeRating[XP]), "-")</f>
        <v>50</v>
      </c>
      <c r="H75" s="144" t="s">
        <v>329</v>
      </c>
      <c r="I75" s="138">
        <v>1</v>
      </c>
      <c r="J75" s="148">
        <v>3</v>
      </c>
      <c r="K75" s="148">
        <v>12</v>
      </c>
      <c r="L75" s="148">
        <v>3</v>
      </c>
      <c r="M75" s="148">
        <v>11</v>
      </c>
      <c r="N75" s="148"/>
      <c r="O75" s="148">
        <v>11</v>
      </c>
      <c r="P75" s="185"/>
      <c r="Q75" s="141"/>
      <c r="R75" s="145">
        <v>18</v>
      </c>
      <c r="S75" s="145"/>
      <c r="T75" s="142">
        <f>Database[[#This Row],[Base HP]]+Database[[#This Row],[Temp HP]]-Database[[#This Row],[Dmg Taken]]</f>
        <v>18</v>
      </c>
      <c r="U75" s="149">
        <f t="array" ref="U7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75" s="149">
        <f t="array" ref="V7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75" s="10"/>
      <c r="AK75"/>
    </row>
    <row r="76" spans="2:37" ht="20.25" x14ac:dyDescent="0.2">
      <c r="B76" s="141"/>
      <c r="C76" s="117"/>
      <c r="D76" s="117"/>
      <c r="E76" s="109" t="s">
        <v>62</v>
      </c>
      <c r="F76" s="102">
        <v>0.5</v>
      </c>
      <c r="G76" s="138">
        <f>IF(NOT( ISBLANK(Database[[#This Row],[Challenge Rating]])), LOOKUP(Database[Challenge Rating],ChallengeRating[Challenge Rating],ChallengeRating[XP]), "-")</f>
        <v>100</v>
      </c>
      <c r="H76" s="144"/>
      <c r="I76" s="182">
        <v>0</v>
      </c>
      <c r="J76" s="139">
        <v>0</v>
      </c>
      <c r="K76" s="139">
        <v>11</v>
      </c>
      <c r="L76" s="139">
        <v>5</v>
      </c>
      <c r="M76" s="139">
        <v>11</v>
      </c>
      <c r="N76" s="139"/>
      <c r="O76" s="139">
        <v>13</v>
      </c>
      <c r="P76" s="184" t="s">
        <v>22</v>
      </c>
      <c r="Q76" s="117"/>
      <c r="R76" s="117">
        <v>19</v>
      </c>
      <c r="S76" s="117"/>
      <c r="T76" s="106">
        <f>Database[[#This Row],[Base HP]]+Database[[#This Row],[Temp HP]]-Database[[#This Row],[Dmg Taken]]</f>
        <v>19</v>
      </c>
      <c r="U76" s="102">
        <f t="array" ref="U7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76" s="102">
        <f t="array" ref="V7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76" s="10"/>
      <c r="AK76"/>
    </row>
    <row r="77" spans="2:37" ht="20.25" x14ac:dyDescent="0.2">
      <c r="B77" s="177"/>
      <c r="C77" s="103"/>
      <c r="D77" s="101"/>
      <c r="E77" s="110" t="s">
        <v>337</v>
      </c>
      <c r="F77" s="179">
        <v>1</v>
      </c>
      <c r="G77" s="138">
        <f>IF(NOT( ISBLANK(Database[[#This Row],[Challenge Rating]])), LOOKUP(Database[Challenge Rating],ChallengeRating[Challenge Rating],ChallengeRating[XP]), "-")</f>
        <v>200</v>
      </c>
      <c r="H77" s="144" t="s">
        <v>338</v>
      </c>
      <c r="I77" s="140">
        <v>2</v>
      </c>
      <c r="J77" s="140">
        <v>2</v>
      </c>
      <c r="K77" s="140">
        <v>13</v>
      </c>
      <c r="L77" s="140">
        <v>5</v>
      </c>
      <c r="M77" s="140">
        <v>12</v>
      </c>
      <c r="N77" s="140"/>
      <c r="O77" s="140"/>
      <c r="P77" s="184"/>
      <c r="Q77" s="117"/>
      <c r="R77" s="127">
        <v>45</v>
      </c>
      <c r="S77" s="117"/>
      <c r="T77" s="106">
        <f>Database[[#This Row],[Base HP]]+Database[[#This Row],[Temp HP]]-Database[[#This Row],[Dmg Taken]]</f>
        <v>45</v>
      </c>
      <c r="U77" s="102">
        <f t="array" ref="U7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77" s="102">
        <f t="array" ref="V7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77" s="10"/>
      <c r="AK77"/>
    </row>
    <row r="78" spans="2:37" ht="20.25" x14ac:dyDescent="0.2">
      <c r="B78" s="145"/>
      <c r="C78" s="145"/>
      <c r="D78" s="145"/>
      <c r="E78" s="147" t="s">
        <v>270</v>
      </c>
      <c r="F78" s="149">
        <v>1</v>
      </c>
      <c r="G78" s="138">
        <f>IF(NOT( ISBLANK(Database[[#This Row],[Challenge Rating]])), LOOKUP(Database[Challenge Rating],ChallengeRating[Challenge Rating],ChallengeRating[XP]), "-")</f>
        <v>200</v>
      </c>
      <c r="H78" s="144"/>
      <c r="I78" s="138">
        <v>1</v>
      </c>
      <c r="J78" s="148">
        <v>5</v>
      </c>
      <c r="K78" s="148">
        <v>14</v>
      </c>
      <c r="L78" s="148">
        <v>5</v>
      </c>
      <c r="M78" s="148">
        <v>11</v>
      </c>
      <c r="N78" s="148"/>
      <c r="O78" s="148">
        <v>16</v>
      </c>
      <c r="P78" s="185"/>
      <c r="Q78" s="145"/>
      <c r="R78" s="145">
        <v>52</v>
      </c>
      <c r="S78" s="145"/>
      <c r="T78" s="142">
        <f>Database[[#This Row],[Base HP]]+Database[[#This Row],[Temp HP]]-Database[[#This Row],[Dmg Taken]]</f>
        <v>52</v>
      </c>
      <c r="U78" s="149">
        <f t="array" ref="U7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78" s="149">
        <f t="array" ref="V7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78" s="10"/>
      <c r="AK78"/>
    </row>
    <row r="79" spans="2:37" ht="20.25" x14ac:dyDescent="0.2">
      <c r="B79" s="145"/>
      <c r="C79" s="145"/>
      <c r="D79" s="145"/>
      <c r="E79" s="147" t="s">
        <v>442</v>
      </c>
      <c r="F79" s="149">
        <v>5</v>
      </c>
      <c r="G79" s="148">
        <f>IF(NOT( ISBLANK(Database[[#This Row],[Challenge Rating]])), LOOKUP(Database[Challenge Rating],ChallengeRating[Challenge Rating],ChallengeRating[XP]), "-")</f>
        <v>1800</v>
      </c>
      <c r="H79" s="144" t="s">
        <v>443</v>
      </c>
      <c r="I79" s="138">
        <v>0</v>
      </c>
      <c r="J79" s="148">
        <v>0</v>
      </c>
      <c r="K79" s="148">
        <v>13</v>
      </c>
      <c r="L79" s="148">
        <v>9</v>
      </c>
      <c r="M79" s="148">
        <v>13</v>
      </c>
      <c r="N79" s="148"/>
      <c r="O79" s="148"/>
      <c r="P79" s="185"/>
      <c r="Q79" s="141"/>
      <c r="R79" s="145">
        <v>126</v>
      </c>
      <c r="S79" s="145"/>
      <c r="T79" s="142">
        <f>Database[[#This Row],[Base HP]]+Database[[#This Row],[Temp HP]]-Database[[#This Row],[Dmg Taken]]</f>
        <v>126</v>
      </c>
      <c r="U79" s="149">
        <f t="array" ref="U7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79" s="149">
        <f t="array" ref="V7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79" s="10"/>
      <c r="AK79"/>
    </row>
    <row r="80" spans="2:37" ht="20.25" x14ac:dyDescent="0.2">
      <c r="B80" s="141"/>
      <c r="C80" s="117"/>
      <c r="D80" s="117"/>
      <c r="E80" s="109" t="s">
        <v>28</v>
      </c>
      <c r="F80" s="102">
        <v>1</v>
      </c>
      <c r="G80" s="138">
        <f>IF(NOT( ISBLANK(Database[[#This Row],[Challenge Rating]])), LOOKUP(Database[Challenge Rating],ChallengeRating[Challenge Rating],ChallengeRating[XP]), "-")</f>
        <v>200</v>
      </c>
      <c r="H80" s="144"/>
      <c r="I80" s="139">
        <v>3</v>
      </c>
      <c r="J80" s="139">
        <v>7</v>
      </c>
      <c r="K80" s="139">
        <v>10</v>
      </c>
      <c r="L80" s="139">
        <v>5</v>
      </c>
      <c r="M80" s="139">
        <v>14</v>
      </c>
      <c r="N80" s="139"/>
      <c r="O80" s="139"/>
      <c r="P80" s="184" t="s">
        <v>22</v>
      </c>
      <c r="Q80" s="117"/>
      <c r="R80" s="117">
        <v>26</v>
      </c>
      <c r="S80" s="117"/>
      <c r="T80" s="106">
        <f>Database[[#This Row],[Base HP]]+Database[[#This Row],[Temp HP]]-Database[[#This Row],[Dmg Taken]]</f>
        <v>26</v>
      </c>
      <c r="U80" s="102">
        <f t="array" ref="U8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80" s="102">
        <f t="array" ref="V8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80" s="10"/>
      <c r="AK80"/>
    </row>
    <row r="81" spans="2:37" ht="20.25" x14ac:dyDescent="0.2">
      <c r="B81" s="145"/>
      <c r="C81" s="145"/>
      <c r="D81" s="145"/>
      <c r="E81" s="147" t="s">
        <v>437</v>
      </c>
      <c r="F81" s="149">
        <v>1</v>
      </c>
      <c r="G81" s="148">
        <f>IF(NOT( ISBLANK(Database[[#This Row],[Challenge Rating]])), LOOKUP(Database[Challenge Rating],ChallengeRating[Challenge Rating],ChallengeRating[XP]), "-")</f>
        <v>200</v>
      </c>
      <c r="H81" s="144" t="s">
        <v>332</v>
      </c>
      <c r="I81" s="138">
        <v>1</v>
      </c>
      <c r="J81" s="148">
        <v>1</v>
      </c>
      <c r="K81" s="148">
        <v>10</v>
      </c>
      <c r="L81" s="148">
        <v>4</v>
      </c>
      <c r="M81" s="148">
        <v>11</v>
      </c>
      <c r="N81" s="148"/>
      <c r="O81" s="148">
        <v>13</v>
      </c>
      <c r="P81" s="185"/>
      <c r="Q81" s="141"/>
      <c r="R81" s="145">
        <v>39</v>
      </c>
      <c r="S81" s="145"/>
      <c r="T81" s="142">
        <f>Database[[#This Row],[Base HP]]+Database[[#This Row],[Temp HP]]-Database[[#This Row],[Dmg Taken]]</f>
        <v>39</v>
      </c>
      <c r="U81" s="149">
        <f t="array" ref="U8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81" s="149">
        <f t="array" ref="V8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81" s="10"/>
      <c r="AK81"/>
    </row>
    <row r="82" spans="2:37" ht="20.25" x14ac:dyDescent="0.2">
      <c r="B82" s="177"/>
      <c r="C82" s="103"/>
      <c r="D82" s="101"/>
      <c r="E82" s="110" t="s">
        <v>347</v>
      </c>
      <c r="F82" s="179">
        <v>1</v>
      </c>
      <c r="G82" s="138">
        <f>IF(NOT( ISBLANK(Database[[#This Row],[Challenge Rating]])), LOOKUP(Database[Challenge Rating],ChallengeRating[Challenge Rating],ChallengeRating[XP]), "-")</f>
        <v>200</v>
      </c>
      <c r="H82" s="144" t="s">
        <v>332</v>
      </c>
      <c r="I82" s="140">
        <v>0</v>
      </c>
      <c r="J82" s="140">
        <v>0</v>
      </c>
      <c r="K82" s="140">
        <v>13</v>
      </c>
      <c r="L82" s="140">
        <v>4</v>
      </c>
      <c r="M82" s="140">
        <v>10</v>
      </c>
      <c r="N82" s="140"/>
      <c r="O82" s="140"/>
      <c r="P82" s="184"/>
      <c r="Q82" s="117"/>
      <c r="R82" s="127">
        <v>22</v>
      </c>
      <c r="S82" s="117"/>
      <c r="T82" s="106">
        <f>Database[[#This Row],[Base HP]]+Database[[#This Row],[Temp HP]]-Database[[#This Row],[Dmg Taken]]</f>
        <v>22</v>
      </c>
      <c r="U82" s="102">
        <f t="array" ref="U8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82" s="102">
        <f t="array" ref="V8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82" s="10"/>
      <c r="AK82"/>
    </row>
    <row r="83" spans="2:37" ht="20.25" x14ac:dyDescent="0.2">
      <c r="B83" s="141"/>
      <c r="C83" s="117"/>
      <c r="D83" s="117"/>
      <c r="E83" s="109" t="s">
        <v>61</v>
      </c>
      <c r="F83" s="102">
        <v>0</v>
      </c>
      <c r="G83" s="138">
        <f>IF(NOT( ISBLANK(Database[[#This Row],[Challenge Rating]])), LOOKUP(Database[Challenge Rating],ChallengeRating[Challenge Rating],ChallengeRating[XP]), "-")</f>
        <v>10</v>
      </c>
      <c r="H83" s="144"/>
      <c r="I83" s="139">
        <v>0</v>
      </c>
      <c r="J83" s="139">
        <v>0</v>
      </c>
      <c r="K83" s="139">
        <v>10</v>
      </c>
      <c r="L83" s="139">
        <v>3</v>
      </c>
      <c r="M83" s="139">
        <v>10</v>
      </c>
      <c r="N83" s="139"/>
      <c r="O83" s="139">
        <v>10</v>
      </c>
      <c r="P83" s="184" t="s">
        <v>22</v>
      </c>
      <c r="Q83" s="117"/>
      <c r="R83" s="117">
        <v>4</v>
      </c>
      <c r="S83" s="117"/>
      <c r="T83" s="106">
        <f>Database[[#This Row],[Base HP]]+Database[[#This Row],[Temp HP]]-Database[[#This Row],[Dmg Taken]]</f>
        <v>4</v>
      </c>
      <c r="U83" s="102">
        <f t="array" ref="U8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83" s="102">
        <f t="array" ref="V8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83" s="10"/>
      <c r="AK83"/>
    </row>
    <row r="84" spans="2:37" ht="20.25" x14ac:dyDescent="0.2">
      <c r="B84" s="141"/>
      <c r="C84" s="117"/>
      <c r="D84" s="117"/>
      <c r="E84" s="109" t="s">
        <v>15</v>
      </c>
      <c r="F84" s="102">
        <v>0.25</v>
      </c>
      <c r="G84" s="138">
        <f>IF(NOT( ISBLANK(Database[[#This Row],[Challenge Rating]])), LOOKUP(Database[Challenge Rating],ChallengeRating[Challenge Rating],ChallengeRating[XP]), "-")</f>
        <v>50</v>
      </c>
      <c r="H84" s="144" t="s">
        <v>365</v>
      </c>
      <c r="I84" s="139">
        <v>2</v>
      </c>
      <c r="J84" s="139">
        <v>6</v>
      </c>
      <c r="K84" s="139">
        <v>9</v>
      </c>
      <c r="L84" s="139">
        <v>4</v>
      </c>
      <c r="M84" s="139">
        <v>15</v>
      </c>
      <c r="N84" s="139"/>
      <c r="O84" s="139"/>
      <c r="P84" s="184" t="s">
        <v>22</v>
      </c>
      <c r="Q84" s="117"/>
      <c r="R84" s="117">
        <v>7</v>
      </c>
      <c r="S84" s="117"/>
      <c r="T84" s="106">
        <f>Database[[#This Row],[Base HP]]+Database[[#This Row],[Temp HP]]-Database[[#This Row],[Dmg Taken]]</f>
        <v>7</v>
      </c>
      <c r="U84" s="102">
        <f t="array" ref="U8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84" s="102">
        <f t="array" ref="V8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84" s="10"/>
      <c r="AK84"/>
    </row>
    <row r="85" spans="2:37" ht="20.25" x14ac:dyDescent="0.2">
      <c r="B85" s="141"/>
      <c r="C85" s="117"/>
      <c r="D85" s="117"/>
      <c r="E85" s="109" t="s">
        <v>95</v>
      </c>
      <c r="F85" s="102">
        <v>1</v>
      </c>
      <c r="G85" s="138">
        <f>IF(NOT( ISBLANK(Database[[#This Row],[Challenge Rating]])), LOOKUP(Database[Challenge Rating],ChallengeRating[Challenge Rating],ChallengeRating[XP]), "-")</f>
        <v>200</v>
      </c>
      <c r="H85" s="144" t="s">
        <v>365</v>
      </c>
      <c r="I85" s="139">
        <v>2</v>
      </c>
      <c r="J85" s="139">
        <v>6</v>
      </c>
      <c r="K85" s="139">
        <v>9</v>
      </c>
      <c r="L85" s="139">
        <v>4</v>
      </c>
      <c r="M85" s="139">
        <v>17</v>
      </c>
      <c r="N85" s="139"/>
      <c r="O85" s="139"/>
      <c r="P85" s="184" t="s">
        <v>22</v>
      </c>
      <c r="Q85" s="117"/>
      <c r="R85" s="117">
        <v>21</v>
      </c>
      <c r="S85" s="117"/>
      <c r="T85" s="106">
        <f>Database[[#This Row],[Base HP]]+Database[[#This Row],[Temp HP]]-Database[[#This Row],[Dmg Taken]]</f>
        <v>21</v>
      </c>
      <c r="U85" s="102">
        <f t="array" ref="U8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85" s="102">
        <f t="array" ref="V8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85" s="10"/>
      <c r="AK85"/>
    </row>
    <row r="86" spans="2:37" ht="20.25" x14ac:dyDescent="0.2">
      <c r="B86" s="177"/>
      <c r="C86" s="103"/>
      <c r="D86" s="101"/>
      <c r="E86" s="110" t="s">
        <v>322</v>
      </c>
      <c r="F86" s="179">
        <v>5</v>
      </c>
      <c r="G86" s="138">
        <f>IF(NOT( ISBLANK(Database[[#This Row],[Challenge Rating]])), LOOKUP(Database[Challenge Rating],ChallengeRating[Challenge Rating],ChallengeRating[XP]), "-")</f>
        <v>1800</v>
      </c>
      <c r="H86" s="144" t="s">
        <v>323</v>
      </c>
      <c r="I86" s="140">
        <v>0</v>
      </c>
      <c r="J86" s="140">
        <v>0</v>
      </c>
      <c r="K86" s="140">
        <v>14</v>
      </c>
      <c r="L86" s="140">
        <v>8</v>
      </c>
      <c r="M86" s="140">
        <v>19</v>
      </c>
      <c r="N86" s="140"/>
      <c r="O86" s="176" t="s">
        <v>324</v>
      </c>
      <c r="P86" s="184"/>
      <c r="Q86" s="117"/>
      <c r="R86" s="127">
        <v>114</v>
      </c>
      <c r="S86" s="117"/>
      <c r="T86" s="106">
        <f>Database[[#This Row],[Base HP]]+Database[[#This Row],[Temp HP]]-Database[[#This Row],[Dmg Taken]]</f>
        <v>114</v>
      </c>
      <c r="U86" s="102">
        <f t="array" ref="U8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86" s="102">
        <f t="array" ref="V8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86" s="10"/>
      <c r="AK86"/>
    </row>
    <row r="87" spans="2:37" ht="20.25" x14ac:dyDescent="0.2">
      <c r="B87" s="141"/>
      <c r="C87" s="117"/>
      <c r="D87" s="117"/>
      <c r="E87" s="109" t="s">
        <v>50</v>
      </c>
      <c r="F87" s="102">
        <v>2</v>
      </c>
      <c r="G87" s="138">
        <f>IF(NOT( ISBLANK(Database[[#This Row],[Challenge Rating]])), LOOKUP(Database[Challenge Rating],ChallengeRating[Challenge Rating],ChallengeRating[XP]), "-")</f>
        <v>450</v>
      </c>
      <c r="H87" s="144"/>
      <c r="I87" s="139">
        <v>2</v>
      </c>
      <c r="J87" s="139">
        <v>2</v>
      </c>
      <c r="K87" s="139">
        <v>12</v>
      </c>
      <c r="L87" s="139">
        <v>4</v>
      </c>
      <c r="M87" s="139">
        <v>14</v>
      </c>
      <c r="N87" s="139"/>
      <c r="O87" s="139"/>
      <c r="P87" s="184" t="s">
        <v>22</v>
      </c>
      <c r="Q87" s="117"/>
      <c r="R87" s="117">
        <v>27</v>
      </c>
      <c r="S87" s="117"/>
      <c r="T87" s="106">
        <f>Database[[#This Row],[Base HP]]+Database[[#This Row],[Temp HP]]-Database[[#This Row],[Dmg Taken]]</f>
        <v>27</v>
      </c>
      <c r="U87" s="102">
        <f t="array" ref="U8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87" s="102">
        <f t="array" ref="V8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87" s="10"/>
      <c r="AK87"/>
    </row>
    <row r="88" spans="2:37" ht="20.25" x14ac:dyDescent="0.2">
      <c r="B88" s="177"/>
      <c r="C88" s="103"/>
      <c r="D88" s="101"/>
      <c r="E88" s="110" t="s">
        <v>317</v>
      </c>
      <c r="F88" s="179">
        <v>2</v>
      </c>
      <c r="G88" s="138">
        <f>IF(NOT( ISBLANK(Database[[#This Row],[Challenge Rating]])), LOOKUP(Database[Challenge Rating],ChallengeRating[Challenge Rating],ChallengeRating[XP]), "-")</f>
        <v>450</v>
      </c>
      <c r="H88" s="144" t="s">
        <v>318</v>
      </c>
      <c r="I88" s="140">
        <v>2</v>
      </c>
      <c r="J88" s="140">
        <v>2</v>
      </c>
      <c r="K88" s="140">
        <v>15</v>
      </c>
      <c r="L88" s="140">
        <v>6</v>
      </c>
      <c r="M88" s="140">
        <v>12</v>
      </c>
      <c r="N88" s="140"/>
      <c r="O88" s="140"/>
      <c r="P88" s="184"/>
      <c r="Q88" s="117"/>
      <c r="R88" s="127">
        <v>59</v>
      </c>
      <c r="S88" s="117"/>
      <c r="T88" s="106">
        <f>Database[[#This Row],[Base HP]]+Database[[#This Row],[Temp HP]]-Database[[#This Row],[Dmg Taken]]</f>
        <v>59</v>
      </c>
      <c r="U88" s="102">
        <f t="array" ref="U8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88" s="102">
        <f t="array" ref="V8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88" s="10"/>
      <c r="AK88"/>
    </row>
    <row r="89" spans="2:37" ht="20.25" x14ac:dyDescent="0.2">
      <c r="B89" s="145"/>
      <c r="C89" s="145"/>
      <c r="D89" s="145"/>
      <c r="E89" s="147" t="s">
        <v>431</v>
      </c>
      <c r="F89" s="149">
        <v>0.25</v>
      </c>
      <c r="G89" s="148">
        <f>IF(NOT( ISBLANK(Database[[#This Row],[Challenge Rating]])), LOOKUP(Database[Challenge Rating],ChallengeRating[Challenge Rating],ChallengeRating[XP]), "-")</f>
        <v>50</v>
      </c>
      <c r="H89" s="144" t="s">
        <v>432</v>
      </c>
      <c r="I89" s="138">
        <v>2</v>
      </c>
      <c r="J89" s="148">
        <v>4</v>
      </c>
      <c r="K89" s="148">
        <v>12</v>
      </c>
      <c r="L89" s="148">
        <v>4</v>
      </c>
      <c r="M89" s="148">
        <v>11</v>
      </c>
      <c r="N89" s="148"/>
      <c r="O89" s="148">
        <v>12</v>
      </c>
      <c r="P89" s="185"/>
      <c r="Q89" s="141"/>
      <c r="R89" s="145">
        <v>11</v>
      </c>
      <c r="S89" s="145"/>
      <c r="T89" s="142">
        <f>Database[[#This Row],[Base HP]]+Database[[#This Row],[Temp HP]]-Database[[#This Row],[Dmg Taken]]</f>
        <v>11</v>
      </c>
      <c r="U89" s="149">
        <f t="array" ref="U8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89" s="149">
        <f t="array" ref="V8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89" s="10"/>
      <c r="AK89"/>
    </row>
    <row r="90" spans="2:37" ht="20.25" x14ac:dyDescent="0.2">
      <c r="B90" s="145"/>
      <c r="C90" s="145"/>
      <c r="D90" s="145"/>
      <c r="E90" s="147" t="s">
        <v>433</v>
      </c>
      <c r="F90" s="149">
        <v>2</v>
      </c>
      <c r="G90" s="148">
        <f>IF(NOT( ISBLANK(Database[[#This Row],[Challenge Rating]])), LOOKUP(Database[Challenge Rating],ChallengeRating[Challenge Rating],ChallengeRating[XP]), "-")</f>
        <v>450</v>
      </c>
      <c r="H90" s="144" t="s">
        <v>434</v>
      </c>
      <c r="I90" s="138">
        <v>3</v>
      </c>
      <c r="J90" s="148">
        <v>5</v>
      </c>
      <c r="K90" s="148">
        <v>12</v>
      </c>
      <c r="L90" s="148">
        <v>5</v>
      </c>
      <c r="M90" s="148">
        <v>13</v>
      </c>
      <c r="N90" s="148"/>
      <c r="O90" s="148">
        <v>12</v>
      </c>
      <c r="P90" s="185"/>
      <c r="Q90" s="141"/>
      <c r="R90" s="145">
        <v>49</v>
      </c>
      <c r="S90" s="145"/>
      <c r="T90" s="142">
        <f>Database[[#This Row],[Base HP]]+Database[[#This Row],[Temp HP]]-Database[[#This Row],[Dmg Taken]]</f>
        <v>49</v>
      </c>
      <c r="U90" s="149">
        <f t="array" ref="U9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90" s="149">
        <f t="array" ref="V9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90" s="10"/>
      <c r="AK90"/>
    </row>
    <row r="91" spans="2:37" ht="20.25" x14ac:dyDescent="0.2">
      <c r="B91" s="145"/>
      <c r="C91" s="145"/>
      <c r="D91" s="145"/>
      <c r="E91" s="147" t="s">
        <v>435</v>
      </c>
      <c r="F91" s="149">
        <v>1</v>
      </c>
      <c r="G91" s="148">
        <f>IF(NOT( ISBLANK(Database[[#This Row],[Challenge Rating]])), LOOKUP(Database[Challenge Rating],ChallengeRating[Challenge Rating],ChallengeRating[XP]), "-")</f>
        <v>200</v>
      </c>
      <c r="H91" s="144" t="s">
        <v>434</v>
      </c>
      <c r="I91" s="138">
        <v>3</v>
      </c>
      <c r="J91" s="148">
        <v>5</v>
      </c>
      <c r="K91" s="148">
        <v>14</v>
      </c>
      <c r="L91" s="148">
        <v>5</v>
      </c>
      <c r="M91" s="148">
        <v>13</v>
      </c>
      <c r="N91" s="148"/>
      <c r="O91" s="148">
        <v>12</v>
      </c>
      <c r="P91" s="185"/>
      <c r="Q91" s="141"/>
      <c r="R91" s="145">
        <v>27</v>
      </c>
      <c r="S91" s="145"/>
      <c r="T91" s="142">
        <f>Database[[#This Row],[Base HP]]+Database[[#This Row],[Temp HP]]-Database[[#This Row],[Dmg Taken]]</f>
        <v>27</v>
      </c>
      <c r="U91" s="149">
        <f t="array" ref="U9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91" s="149">
        <f t="array" ref="V9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91" s="10"/>
      <c r="AK91"/>
    </row>
    <row r="92" spans="2:37" ht="20.25" x14ac:dyDescent="0.2">
      <c r="B92" s="145"/>
      <c r="C92" s="145"/>
      <c r="D92" s="145"/>
      <c r="E92" s="147" t="s">
        <v>422</v>
      </c>
      <c r="F92" s="149">
        <v>0.25</v>
      </c>
      <c r="G92" s="148">
        <f>IF(NOT( ISBLANK(Database[[#This Row],[Challenge Rating]])), LOOKUP(Database[Challenge Rating],ChallengeRating[Challenge Rating],ChallengeRating[XP]), "-")</f>
        <v>50</v>
      </c>
      <c r="H92" s="144" t="s">
        <v>423</v>
      </c>
      <c r="I92" s="138">
        <v>0</v>
      </c>
      <c r="J92" s="148">
        <v>0</v>
      </c>
      <c r="K92" s="148">
        <v>12</v>
      </c>
      <c r="L92" s="148">
        <v>4</v>
      </c>
      <c r="M92" s="148">
        <v>11</v>
      </c>
      <c r="N92" s="148"/>
      <c r="O92" s="148"/>
      <c r="P92" s="185"/>
      <c r="Q92" s="141"/>
      <c r="R92" s="145">
        <v>19</v>
      </c>
      <c r="S92" s="145"/>
      <c r="T92" s="142">
        <f>Database[[#This Row],[Base HP]]+Database[[#This Row],[Temp HP]]-Database[[#This Row],[Dmg Taken]]</f>
        <v>19</v>
      </c>
      <c r="U92" s="149">
        <f t="array" ref="U9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92" s="149">
        <f t="array" ref="V9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92" s="10"/>
      <c r="AK92"/>
    </row>
    <row r="93" spans="2:37" ht="20.25" x14ac:dyDescent="0.2">
      <c r="B93" s="141"/>
      <c r="C93" s="137"/>
      <c r="D93" s="101"/>
      <c r="E93" s="109" t="s">
        <v>411</v>
      </c>
      <c r="F93" s="102">
        <v>1</v>
      </c>
      <c r="G93" s="138">
        <f>IF(NOT( ISBLANK(Database[[#This Row],[Challenge Rating]])), LOOKUP(Database[Challenge Rating],ChallengeRating[Challenge Rating],ChallengeRating[XP]), "-")</f>
        <v>200</v>
      </c>
      <c r="H93" s="144" t="s">
        <v>412</v>
      </c>
      <c r="I93" s="139">
        <v>-5</v>
      </c>
      <c r="J93" s="139">
        <v>-5</v>
      </c>
      <c r="K93" s="139">
        <v>15</v>
      </c>
      <c r="L93" s="139">
        <v>0</v>
      </c>
      <c r="M93" s="139">
        <v>10</v>
      </c>
      <c r="N93" s="139"/>
      <c r="O93" s="139"/>
      <c r="P93" s="184"/>
      <c r="Q93" s="117"/>
      <c r="R93" s="117">
        <v>1</v>
      </c>
      <c r="S93" s="117"/>
      <c r="T93" s="106">
        <f>Database[[#This Row],[Base HP]]+Database[[#This Row],[Temp HP]]-Database[[#This Row],[Dmg Taken]]</f>
        <v>1</v>
      </c>
      <c r="U93" s="102">
        <f t="array" ref="U9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93" s="102">
        <f t="array" ref="V9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94" spans="2:37" ht="20.25" x14ac:dyDescent="0.2">
      <c r="B94" s="141"/>
      <c r="C94" s="117"/>
      <c r="D94" s="117"/>
      <c r="E94" s="109" t="s">
        <v>88</v>
      </c>
      <c r="F94" s="102">
        <v>4</v>
      </c>
      <c r="G94" s="138">
        <f>IF(NOT( ISBLANK(Database[[#This Row],[Challenge Rating]])), LOOKUP(Database[Challenge Rating],ChallengeRating[Challenge Rating],ChallengeRating[XP]), "-")</f>
        <v>1100</v>
      </c>
      <c r="H94" s="144" t="s">
        <v>356</v>
      </c>
      <c r="I94" s="139">
        <v>1</v>
      </c>
      <c r="J94" s="139">
        <v>1</v>
      </c>
      <c r="K94" s="139">
        <v>14</v>
      </c>
      <c r="L94" s="139">
        <v>6</v>
      </c>
      <c r="M94" s="139">
        <v>20</v>
      </c>
      <c r="N94" s="139"/>
      <c r="O94" s="139"/>
      <c r="P94" s="184" t="s">
        <v>22</v>
      </c>
      <c r="Q94" s="117"/>
      <c r="R94" s="117">
        <v>60</v>
      </c>
      <c r="S94" s="117"/>
      <c r="T94" s="106">
        <f>Database[[#This Row],[Base HP]]+Database[[#This Row],[Temp HP]]-Database[[#This Row],[Dmg Taken]]</f>
        <v>60</v>
      </c>
      <c r="U94" s="102">
        <f t="array" ref="U9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94" s="102">
        <f t="array" ref="V9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</row>
    <row r="95" spans="2:37" ht="20.25" x14ac:dyDescent="0.2">
      <c r="B95" s="141"/>
      <c r="C95" s="117"/>
      <c r="D95" s="117"/>
      <c r="E95" s="109" t="s">
        <v>18</v>
      </c>
      <c r="F95" s="102">
        <v>0.5</v>
      </c>
      <c r="G95" s="138">
        <f>IF(NOT( ISBLANK(Database[[#This Row],[Challenge Rating]])), LOOKUP(Database[Challenge Rating],ChallengeRating[Challenge Rating],ChallengeRating[XP]), "-")</f>
        <v>100</v>
      </c>
      <c r="H95" s="144" t="s">
        <v>366</v>
      </c>
      <c r="I95" s="139">
        <v>1</v>
      </c>
      <c r="J95" s="139">
        <v>1</v>
      </c>
      <c r="K95" s="139">
        <v>10</v>
      </c>
      <c r="L95" s="139">
        <v>3</v>
      </c>
      <c r="M95" s="139">
        <v>18</v>
      </c>
      <c r="N95" s="139"/>
      <c r="O95" s="139"/>
      <c r="P95" s="184" t="s">
        <v>22</v>
      </c>
      <c r="Q95" s="117"/>
      <c r="R95" s="117">
        <v>11</v>
      </c>
      <c r="S95" s="117"/>
      <c r="T95" s="106">
        <f>Database[[#This Row],[Base HP]]+Database[[#This Row],[Temp HP]]-Database[[#This Row],[Dmg Taken]]</f>
        <v>11</v>
      </c>
      <c r="U95" s="102">
        <f t="array" ref="U9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95" s="102">
        <f t="array" ref="V9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96" spans="2:37" ht="20.25" x14ac:dyDescent="0.2">
      <c r="B96" s="141"/>
      <c r="C96" s="117"/>
      <c r="D96" s="117"/>
      <c r="E96" s="109" t="s">
        <v>367</v>
      </c>
      <c r="F96" s="102">
        <v>3</v>
      </c>
      <c r="G96" s="138">
        <f>IF(NOT( ISBLANK(Database[[#This Row],[Challenge Rating]])), LOOKUP(Database[Challenge Rating],ChallengeRating[Challenge Rating],ChallengeRating[XP]), "-")</f>
        <v>700</v>
      </c>
      <c r="H96" s="144" t="s">
        <v>366</v>
      </c>
      <c r="I96" s="139">
        <v>2</v>
      </c>
      <c r="J96" s="139">
        <v>2</v>
      </c>
      <c r="K96" s="139">
        <v>10</v>
      </c>
      <c r="L96" s="139">
        <v>4</v>
      </c>
      <c r="M96" s="139">
        <v>17</v>
      </c>
      <c r="N96" s="139"/>
      <c r="O96" s="139"/>
      <c r="P96" s="184" t="s">
        <v>22</v>
      </c>
      <c r="Q96" s="117"/>
      <c r="R96" s="117">
        <v>39</v>
      </c>
      <c r="S96" s="117"/>
      <c r="T96" s="106">
        <f>Database[[#This Row],[Base HP]]+Database[[#This Row],[Temp HP]]-Database[[#This Row],[Dmg Taken]]</f>
        <v>39</v>
      </c>
      <c r="U96" s="102">
        <f t="array" ref="U9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96" s="102">
        <f t="array" ref="V9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97" spans="2:22" ht="20.25" x14ac:dyDescent="0.2">
      <c r="B97" s="141"/>
      <c r="C97" s="117"/>
      <c r="D97" s="117"/>
      <c r="E97" s="109" t="s">
        <v>87</v>
      </c>
      <c r="F97" s="102">
        <v>0</v>
      </c>
      <c r="G97" s="138">
        <f>IF(NOT( ISBLANK(Database[[#This Row],[Challenge Rating]])), LOOKUP(Database[Challenge Rating],ChallengeRating[Challenge Rating],ChallengeRating[XP]), "-")</f>
        <v>10</v>
      </c>
      <c r="H97" s="144"/>
      <c r="I97" s="139">
        <v>2</v>
      </c>
      <c r="J97" s="139">
        <v>0</v>
      </c>
      <c r="K97" s="139">
        <v>10</v>
      </c>
      <c r="L97" s="139">
        <v>4</v>
      </c>
      <c r="M97" s="139">
        <v>13</v>
      </c>
      <c r="N97" s="139"/>
      <c r="O97" s="139">
        <v>10</v>
      </c>
      <c r="P97" s="184" t="s">
        <v>22</v>
      </c>
      <c r="Q97" s="117"/>
      <c r="R97" s="117">
        <v>5</v>
      </c>
      <c r="S97" s="117"/>
      <c r="T97" s="106">
        <f>Database[[#This Row],[Base HP]]+Database[[#This Row],[Temp HP]]-Database[[#This Row],[Dmg Taken]]</f>
        <v>5</v>
      </c>
      <c r="U97" s="102">
        <f t="array" ref="U9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97" s="102">
        <f t="array" ref="V9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98" spans="2:22" ht="20.25" x14ac:dyDescent="0.2">
      <c r="B98" s="145"/>
      <c r="C98" s="145"/>
      <c r="D98" s="145"/>
      <c r="E98" s="147" t="s">
        <v>451</v>
      </c>
      <c r="F98" s="149">
        <v>3</v>
      </c>
      <c r="G98" s="148">
        <f>IF(NOT( ISBLANK(Database[[#This Row],[Challenge Rating]])), LOOKUP(Database[Challenge Rating],ChallengeRating[Challenge Rating],ChallengeRating[XP]), "-")</f>
        <v>700</v>
      </c>
      <c r="H98" s="144" t="s">
        <v>453</v>
      </c>
      <c r="I98" s="138">
        <v>0</v>
      </c>
      <c r="J98" s="148">
        <v>0</v>
      </c>
      <c r="K98" s="148">
        <v>13</v>
      </c>
      <c r="L98" s="148">
        <v>6</v>
      </c>
      <c r="M98" s="148">
        <v>15</v>
      </c>
      <c r="N98" s="148"/>
      <c r="O98" s="148"/>
      <c r="P98" s="185"/>
      <c r="Q98" s="141"/>
      <c r="R98" s="145">
        <v>75</v>
      </c>
      <c r="S98" s="145"/>
      <c r="T98" s="142">
        <f>Database[[#This Row],[Base HP]]+Database[[#This Row],[Temp HP]]-Database[[#This Row],[Dmg Taken]]</f>
        <v>75</v>
      </c>
      <c r="U98" s="149">
        <f t="array" ref="U9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98" s="149">
        <f t="array" ref="V9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99" spans="2:22" ht="40.5" x14ac:dyDescent="0.2">
      <c r="B99" s="141"/>
      <c r="C99" s="137"/>
      <c r="D99" s="101"/>
      <c r="E99" s="109" t="s">
        <v>392</v>
      </c>
      <c r="F99" s="102">
        <v>3</v>
      </c>
      <c r="G99" s="138">
        <f>IF(NOT( ISBLANK(Database[[#This Row],[Challenge Rating]])), LOOKUP(Database[Challenge Rating],ChallengeRating[Challenge Rating],ChallengeRating[XP]), "-")</f>
        <v>700</v>
      </c>
      <c r="H99" s="144" t="s">
        <v>393</v>
      </c>
      <c r="I99" s="139">
        <v>0</v>
      </c>
      <c r="J99" s="139">
        <v>0</v>
      </c>
      <c r="K99" s="139">
        <v>8</v>
      </c>
      <c r="L99" s="139">
        <v>6</v>
      </c>
      <c r="M99" s="139">
        <v>15</v>
      </c>
      <c r="N99" s="139"/>
      <c r="O99" s="139"/>
      <c r="P99" s="184"/>
      <c r="Q99" s="117"/>
      <c r="R99" s="117">
        <v>75</v>
      </c>
      <c r="S99" s="117"/>
      <c r="T99" s="106">
        <f>Database[[#This Row],[Base HP]]+Database[[#This Row],[Temp HP]]-Database[[#This Row],[Dmg Taken]]</f>
        <v>75</v>
      </c>
      <c r="U99" s="102">
        <f t="array" ref="U9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99" s="102">
        <f t="array" ref="V9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00" spans="2:22" ht="20.25" x14ac:dyDescent="0.2">
      <c r="B100" s="141"/>
      <c r="C100" s="117"/>
      <c r="D100" s="117"/>
      <c r="E100" s="109" t="s">
        <v>349</v>
      </c>
      <c r="F100" s="102">
        <v>2</v>
      </c>
      <c r="G100" s="138">
        <f>IF(NOT( ISBLANK(Database[[#This Row],[Challenge Rating]])), LOOKUP(Database[Challenge Rating],ChallengeRating[Challenge Rating],ChallengeRating[XP]), "-")</f>
        <v>450</v>
      </c>
      <c r="H100" s="144" t="s">
        <v>334</v>
      </c>
      <c r="I100" s="182">
        <v>1</v>
      </c>
      <c r="J100" s="139">
        <v>1</v>
      </c>
      <c r="K100" s="139">
        <v>12</v>
      </c>
      <c r="L100" s="139">
        <v>6</v>
      </c>
      <c r="M100" s="139">
        <v>12</v>
      </c>
      <c r="N100" s="139"/>
      <c r="O100" s="139"/>
      <c r="P100" s="184"/>
      <c r="Q100" s="117"/>
      <c r="R100" s="117">
        <v>45</v>
      </c>
      <c r="S100" s="117"/>
      <c r="T100" s="106">
        <f>Database[[#This Row],[Base HP]]+Database[[#This Row],[Temp HP]]-Database[[#This Row],[Dmg Taken]]</f>
        <v>45</v>
      </c>
      <c r="U100" s="102">
        <f t="array" ref="U10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00" s="102">
        <f t="array" ref="V10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01" spans="2:22" ht="20.25" x14ac:dyDescent="0.2">
      <c r="B101" s="177"/>
      <c r="C101" s="103"/>
      <c r="D101" s="101"/>
      <c r="E101" s="110" t="s">
        <v>335</v>
      </c>
      <c r="F101" s="179">
        <v>0</v>
      </c>
      <c r="G101" s="138">
        <f>IF(NOT( ISBLANK(Database[[#This Row],[Challenge Rating]])), LOOKUP(Database[Challenge Rating],ChallengeRating[Challenge Rating],ChallengeRating[XP]), "-")</f>
        <v>10</v>
      </c>
      <c r="H101" s="144" t="s">
        <v>336</v>
      </c>
      <c r="I101" s="180">
        <v>0</v>
      </c>
      <c r="J101" s="140">
        <v>0</v>
      </c>
      <c r="K101" s="140">
        <v>13</v>
      </c>
      <c r="L101" s="140">
        <v>2</v>
      </c>
      <c r="M101" s="140">
        <v>11</v>
      </c>
      <c r="N101" s="140"/>
      <c r="O101" s="140"/>
      <c r="P101" s="184"/>
      <c r="Q101" s="117"/>
      <c r="R101" s="127">
        <v>5</v>
      </c>
      <c r="S101" s="117"/>
      <c r="T101" s="106">
        <f>Database[[#This Row],[Base HP]]+Database[[#This Row],[Temp HP]]-Database[[#This Row],[Dmg Taken]]</f>
        <v>5</v>
      </c>
      <c r="U101" s="102">
        <f t="array" ref="U10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01" s="102">
        <f t="array" ref="V10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102" spans="2:22" ht="20.25" x14ac:dyDescent="0.2">
      <c r="B102" s="177"/>
      <c r="C102" s="103"/>
      <c r="D102" s="101"/>
      <c r="E102" s="110" t="s">
        <v>313</v>
      </c>
      <c r="F102" s="179">
        <v>0.5</v>
      </c>
      <c r="G102" s="138">
        <f>IF(NOT( ISBLANK(Database[[#This Row],[Challenge Rating]])), LOOKUP(Database[Challenge Rating],ChallengeRating[Challenge Rating],ChallengeRating[XP]), "-")</f>
        <v>100</v>
      </c>
      <c r="H102" s="144" t="s">
        <v>314</v>
      </c>
      <c r="I102" s="180">
        <v>1</v>
      </c>
      <c r="J102" s="140">
        <v>3</v>
      </c>
      <c r="K102" s="140">
        <v>12</v>
      </c>
      <c r="L102" s="140">
        <v>3</v>
      </c>
      <c r="M102" s="140">
        <v>11</v>
      </c>
      <c r="N102" s="140"/>
      <c r="O102" s="140">
        <v>10</v>
      </c>
      <c r="P102" s="184"/>
      <c r="Q102" s="117"/>
      <c r="R102" s="127">
        <v>21</v>
      </c>
      <c r="S102" s="117"/>
      <c r="T102" s="106">
        <f>Database[[#This Row],[Base HP]]+Database[[#This Row],[Temp HP]]-Database[[#This Row],[Dmg Taken]]</f>
        <v>21</v>
      </c>
      <c r="U102" s="102">
        <f t="array" ref="U10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02" s="102">
        <f t="array" ref="V10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03" spans="2:22" ht="20.25" x14ac:dyDescent="0.2">
      <c r="B103" s="141"/>
      <c r="C103" s="117"/>
      <c r="D103" s="117"/>
      <c r="E103" s="109" t="s">
        <v>70</v>
      </c>
      <c r="F103" s="102">
        <v>1</v>
      </c>
      <c r="G103" s="138">
        <f>IF(NOT( ISBLANK(Database[[#This Row],[Challenge Rating]])), LOOKUP(Database[Challenge Rating],ChallengeRating[Challenge Rating],ChallengeRating[XP]), "-")</f>
        <v>200</v>
      </c>
      <c r="H103" s="144"/>
      <c r="I103" s="139">
        <v>3</v>
      </c>
      <c r="J103" s="139">
        <v>5</v>
      </c>
      <c r="K103" s="139">
        <v>11</v>
      </c>
      <c r="L103" s="139">
        <v>5</v>
      </c>
      <c r="M103" s="139">
        <v>13</v>
      </c>
      <c r="N103" s="139"/>
      <c r="O103" s="139">
        <v>11</v>
      </c>
      <c r="P103" s="184" t="s">
        <v>22</v>
      </c>
      <c r="Q103" s="117"/>
      <c r="R103" s="117">
        <v>10</v>
      </c>
      <c r="S103" s="117"/>
      <c r="T103" s="106">
        <f>Database[[#This Row],[Base HP]]+Database[[#This Row],[Temp HP]]-Database[[#This Row],[Dmg Taken]]</f>
        <v>10</v>
      </c>
      <c r="U103" s="102">
        <f t="array" ref="U10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03" s="102">
        <f t="array" ref="V10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04" spans="2:22" ht="20.25" x14ac:dyDescent="0.2">
      <c r="B104" s="141"/>
      <c r="C104" s="117"/>
      <c r="D104" s="117"/>
      <c r="E104" s="109" t="s">
        <v>104</v>
      </c>
      <c r="F104" s="102">
        <v>6</v>
      </c>
      <c r="G104" s="138">
        <f>IF(NOT( ISBLANK(Database[[#This Row],[Challenge Rating]])), LOOKUP(Database[Challenge Rating],ChallengeRating[Challenge Rating],ChallengeRating[XP]), "-")</f>
        <v>2300</v>
      </c>
      <c r="H104" s="144" t="s">
        <v>357</v>
      </c>
      <c r="I104" s="139">
        <v>4</v>
      </c>
      <c r="J104" s="139">
        <v>10</v>
      </c>
      <c r="K104" s="139">
        <v>18</v>
      </c>
      <c r="L104" s="139">
        <v>6</v>
      </c>
      <c r="M104" s="139">
        <v>14</v>
      </c>
      <c r="N104" s="139"/>
      <c r="O104" s="139"/>
      <c r="P104" s="183" t="s">
        <v>370</v>
      </c>
      <c r="Q104" s="117"/>
      <c r="R104" s="117">
        <v>104</v>
      </c>
      <c r="S104" s="117"/>
      <c r="T104" s="106">
        <f>Database[[#This Row],[Base HP]]+Database[[#This Row],[Temp HP]]-Database[[#This Row],[Dmg Taken]]</f>
        <v>104</v>
      </c>
      <c r="U104" s="102">
        <f t="array" ref="U10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104" s="102">
        <f t="array" ref="V10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</row>
    <row r="105" spans="2:22" ht="20.25" x14ac:dyDescent="0.2">
      <c r="B105" s="145"/>
      <c r="C105" s="145"/>
      <c r="D105" s="145"/>
      <c r="E105" s="147" t="s">
        <v>444</v>
      </c>
      <c r="F105" s="149">
        <v>3</v>
      </c>
      <c r="G105" s="148">
        <f>IF(NOT( ISBLANK(Database[[#This Row],[Challenge Rating]])), LOOKUP(Database[Challenge Rating],ChallengeRating[Challenge Rating],ChallengeRating[XP]), "-")</f>
        <v>700</v>
      </c>
      <c r="H105" s="144" t="s">
        <v>336</v>
      </c>
      <c r="I105" s="138">
        <v>0</v>
      </c>
      <c r="J105" s="148">
        <v>0</v>
      </c>
      <c r="K105" s="148">
        <v>13</v>
      </c>
      <c r="L105" s="148">
        <v>6</v>
      </c>
      <c r="M105" s="148">
        <v>12</v>
      </c>
      <c r="N105" s="148"/>
      <c r="O105" s="148"/>
      <c r="P105" s="185"/>
      <c r="Q105" s="141"/>
      <c r="R105" s="145">
        <v>90</v>
      </c>
      <c r="S105" s="145"/>
      <c r="T105" s="142">
        <f>Database[[#This Row],[Base HP]]+Database[[#This Row],[Temp HP]]-Database[[#This Row],[Dmg Taken]]</f>
        <v>90</v>
      </c>
      <c r="U105" s="149">
        <f t="array" ref="U10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05" s="149">
        <f t="array" ref="V10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06" spans="2:22" ht="20.25" x14ac:dyDescent="0.2">
      <c r="B106" s="145"/>
      <c r="C106" s="145"/>
      <c r="D106" s="145"/>
      <c r="E106" s="147" t="s">
        <v>445</v>
      </c>
      <c r="F106" s="149">
        <v>5</v>
      </c>
      <c r="G106" s="148">
        <f>IF(NOT( ISBLANK(Database[[#This Row],[Challenge Rating]])), LOOKUP(Database[Challenge Rating],ChallengeRating[Challenge Rating],ChallengeRating[XP]), "-")</f>
        <v>1800</v>
      </c>
      <c r="H106" s="144" t="s">
        <v>446</v>
      </c>
      <c r="I106" s="138">
        <v>0</v>
      </c>
      <c r="J106" s="148">
        <v>0</v>
      </c>
      <c r="K106" s="148">
        <v>15</v>
      </c>
      <c r="L106" s="148">
        <v>5</v>
      </c>
      <c r="M106" s="148">
        <v>10</v>
      </c>
      <c r="N106" s="148">
        <v>5</v>
      </c>
      <c r="O106" s="148">
        <v>14</v>
      </c>
      <c r="P106" s="185"/>
      <c r="Q106" s="141"/>
      <c r="R106" s="145">
        <v>75</v>
      </c>
      <c r="S106" s="145"/>
      <c r="T106" s="142">
        <f>Database[[#This Row],[Base HP]]+Database[[#This Row],[Temp HP]]-Database[[#This Row],[Dmg Taken]]</f>
        <v>75</v>
      </c>
      <c r="U106" s="149">
        <f t="array" ref="U10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06" s="149">
        <f t="array" ref="V10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07" spans="2:22" ht="20.25" x14ac:dyDescent="0.2">
      <c r="B107" s="177"/>
      <c r="C107" s="103"/>
      <c r="D107" s="101"/>
      <c r="E107" s="110" t="s">
        <v>320</v>
      </c>
      <c r="F107" s="179">
        <v>3</v>
      </c>
      <c r="G107" s="138">
        <f>IF(NOT( ISBLANK(Database[[#This Row],[Challenge Rating]])), LOOKUP(Database[Challenge Rating],ChallengeRating[Challenge Rating],ChallengeRating[XP]), "-")</f>
        <v>700</v>
      </c>
      <c r="H107" s="144" t="s">
        <v>321</v>
      </c>
      <c r="I107" s="180">
        <v>2</v>
      </c>
      <c r="J107" s="140">
        <v>2</v>
      </c>
      <c r="K107" s="140">
        <v>13</v>
      </c>
      <c r="L107" s="140">
        <v>6</v>
      </c>
      <c r="M107" s="140">
        <v>14</v>
      </c>
      <c r="N107" s="140"/>
      <c r="O107" s="140">
        <v>14</v>
      </c>
      <c r="P107" s="184"/>
      <c r="Q107" s="117"/>
      <c r="R107" s="127">
        <v>67</v>
      </c>
      <c r="S107" s="117"/>
      <c r="T107" s="106">
        <f>Database[[#This Row],[Base HP]]+Database[[#This Row],[Temp HP]]-Database[[#This Row],[Dmg Taken]]</f>
        <v>67</v>
      </c>
      <c r="U107" s="102">
        <f t="array" ref="U10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07" s="102">
        <f t="array" ref="V10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08" spans="2:22" ht="20.25" x14ac:dyDescent="0.2">
      <c r="B108" s="177"/>
      <c r="C108" s="103"/>
      <c r="D108" s="101"/>
      <c r="E108" s="110" t="s">
        <v>308</v>
      </c>
      <c r="F108" s="179">
        <v>6</v>
      </c>
      <c r="G108" s="138">
        <f>IF(NOT( ISBLANK(Database[[#This Row],[Challenge Rating]])), LOOKUP(Database[Challenge Rating],ChallengeRating[Challenge Rating],ChallengeRating[XP]), "-")</f>
        <v>2300</v>
      </c>
      <c r="H108" s="144" t="s">
        <v>309</v>
      </c>
      <c r="I108" s="140">
        <v>-1</v>
      </c>
      <c r="J108" s="140">
        <v>-1</v>
      </c>
      <c r="K108" s="140">
        <v>10</v>
      </c>
      <c r="L108" s="140">
        <v>10</v>
      </c>
      <c r="M108" s="140">
        <v>13</v>
      </c>
      <c r="N108" s="140"/>
      <c r="O108" s="140">
        <v>18</v>
      </c>
      <c r="P108" s="184"/>
      <c r="Q108" s="117"/>
      <c r="R108" s="127">
        <v>126</v>
      </c>
      <c r="S108" s="117"/>
      <c r="T108" s="106">
        <f>Database[[#This Row],[Base HP]]+Database[[#This Row],[Temp HP]]-Database[[#This Row],[Dmg Taken]]</f>
        <v>126</v>
      </c>
      <c r="U108" s="102">
        <f t="array" ref="U10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108" s="102">
        <f t="array" ref="V10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</row>
    <row r="109" spans="2:22" ht="20.25" x14ac:dyDescent="0.2">
      <c r="B109" s="141"/>
      <c r="C109" s="117"/>
      <c r="D109" s="117"/>
      <c r="E109" s="109" t="s">
        <v>102</v>
      </c>
      <c r="F109" s="102">
        <v>2</v>
      </c>
      <c r="G109" s="138">
        <f>IF(NOT( ISBLANK(Database[[#This Row],[Challenge Rating]])), LOOKUP(Database[Challenge Rating],ChallengeRating[Challenge Rating],ChallengeRating[XP]), "-")</f>
        <v>450</v>
      </c>
      <c r="H109" s="144"/>
      <c r="I109" s="139">
        <v>1</v>
      </c>
      <c r="J109" s="139">
        <v>5</v>
      </c>
      <c r="K109" s="139">
        <v>11</v>
      </c>
      <c r="L109" s="139">
        <v>5</v>
      </c>
      <c r="M109" s="139">
        <v>12</v>
      </c>
      <c r="N109" s="139"/>
      <c r="O109" s="139">
        <v>13</v>
      </c>
      <c r="P109" s="184" t="s">
        <v>22</v>
      </c>
      <c r="Q109" s="117"/>
      <c r="R109" s="117">
        <v>58</v>
      </c>
      <c r="S109" s="117"/>
      <c r="T109" s="106">
        <f>Database[[#This Row],[Base HP]]+Database[[#This Row],[Temp HP]]-Database[[#This Row],[Dmg Taken]]</f>
        <v>58</v>
      </c>
      <c r="U109" s="102">
        <f t="array" ref="U10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09" s="102">
        <f t="array" ref="V10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10" spans="2:22" ht="20.25" x14ac:dyDescent="0.2">
      <c r="B110" s="141"/>
      <c r="C110" s="117"/>
      <c r="D110" s="117"/>
      <c r="E110" s="109" t="s">
        <v>65</v>
      </c>
      <c r="F110" s="102">
        <v>2</v>
      </c>
      <c r="G110" s="138">
        <f>IF(NOT( ISBLANK(Database[[#This Row],[Challenge Rating]])), LOOKUP(Database[Challenge Rating],ChallengeRating[Challenge Rating],ChallengeRating[XP]), "-")</f>
        <v>450</v>
      </c>
      <c r="H110" s="144" t="s">
        <v>421</v>
      </c>
      <c r="I110" s="139">
        <v>0</v>
      </c>
      <c r="J110" s="139">
        <v>0</v>
      </c>
      <c r="K110" s="139">
        <v>9</v>
      </c>
      <c r="L110" s="139">
        <v>6</v>
      </c>
      <c r="M110" s="139">
        <v>12</v>
      </c>
      <c r="N110" s="139"/>
      <c r="O110" s="139">
        <v>14</v>
      </c>
      <c r="P110" s="184" t="s">
        <v>22</v>
      </c>
      <c r="Q110" s="117"/>
      <c r="R110" s="117">
        <v>67</v>
      </c>
      <c r="S110" s="117"/>
      <c r="T110" s="106">
        <f>Database[[#This Row],[Base HP]]+Database[[#This Row],[Temp HP]]-Database[[#This Row],[Dmg Taken]]</f>
        <v>67</v>
      </c>
      <c r="U110" s="102">
        <f t="array" ref="U11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10" s="102">
        <f t="array" ref="V11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11" spans="2:22" ht="20.25" x14ac:dyDescent="0.2">
      <c r="B111" s="145"/>
      <c r="C111" s="145"/>
      <c r="D111" s="145"/>
      <c r="E111" s="147" t="s">
        <v>429</v>
      </c>
      <c r="F111" s="149">
        <v>0.25</v>
      </c>
      <c r="G111" s="148">
        <f>IF(NOT( ISBLANK(Database[[#This Row],[Challenge Rating]])), LOOKUP(Database[Challenge Rating],ChallengeRating[Challenge Rating],ChallengeRating[XP]), "-")</f>
        <v>50</v>
      </c>
      <c r="H111" s="144" t="s">
        <v>430</v>
      </c>
      <c r="I111" s="138">
        <v>1</v>
      </c>
      <c r="J111" s="148">
        <v>3</v>
      </c>
      <c r="K111" s="148">
        <v>10</v>
      </c>
      <c r="L111" s="148">
        <v>3</v>
      </c>
      <c r="M111" s="148">
        <v>11</v>
      </c>
      <c r="N111" s="148"/>
      <c r="O111" s="148">
        <v>11</v>
      </c>
      <c r="P111" s="185"/>
      <c r="Q111" s="141"/>
      <c r="R111" s="145">
        <v>27</v>
      </c>
      <c r="S111" s="145"/>
      <c r="T111" s="142">
        <f>Database[[#This Row],[Base HP]]+Database[[#This Row],[Temp HP]]-Database[[#This Row],[Dmg Taken]]</f>
        <v>27</v>
      </c>
      <c r="U111" s="149">
        <f t="array" ref="U11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11" s="149">
        <f t="array" ref="V11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12" spans="2:22" ht="20.25" x14ac:dyDescent="0.2">
      <c r="B112" s="177"/>
      <c r="C112" s="177"/>
      <c r="D112" s="141"/>
      <c r="E112" s="110" t="s">
        <v>368</v>
      </c>
      <c r="F112" s="181">
        <v>0.5</v>
      </c>
      <c r="G112" s="138">
        <f>IF(NOT( ISBLANK(Database[[#This Row],[Challenge Rating]])), LOOKUP(Database[Challenge Rating],ChallengeRating[Challenge Rating],ChallengeRating[XP]), "-")</f>
        <v>100</v>
      </c>
      <c r="H112" s="144" t="s">
        <v>369</v>
      </c>
      <c r="I112" s="176">
        <v>0</v>
      </c>
      <c r="J112" s="176">
        <v>0</v>
      </c>
      <c r="K112" s="176">
        <v>11</v>
      </c>
      <c r="L112" s="176">
        <v>2</v>
      </c>
      <c r="M112" s="176">
        <v>12</v>
      </c>
      <c r="N112" s="176"/>
      <c r="O112" s="176">
        <v>11</v>
      </c>
      <c r="P112" s="185"/>
      <c r="Q112" s="141"/>
      <c r="R112" s="177">
        <v>22</v>
      </c>
      <c r="S112" s="141"/>
      <c r="T112" s="142">
        <f>Database[[#This Row],[Base HP]]+Database[[#This Row],[Temp HP]]-Database[[#This Row],[Dmg Taken]]</f>
        <v>22</v>
      </c>
      <c r="U112" s="143">
        <f t="array" ref="U11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12" s="143">
        <f t="array" ref="V11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13" spans="2:22" ht="20.25" x14ac:dyDescent="0.2">
      <c r="B113" s="141"/>
      <c r="C113" s="137"/>
      <c r="D113" s="101"/>
      <c r="E113" s="109" t="s">
        <v>399</v>
      </c>
      <c r="F113" s="102">
        <v>6</v>
      </c>
      <c r="G113" s="138">
        <f>IF(NOT( ISBLANK(Database[[#This Row],[Challenge Rating]])), LOOKUP(Database[Challenge Rating],ChallengeRating[Challenge Rating],ChallengeRating[XP]), "-")</f>
        <v>2300</v>
      </c>
      <c r="H113" s="144" t="s">
        <v>413</v>
      </c>
      <c r="I113" s="139">
        <v>0</v>
      </c>
      <c r="J113" s="139">
        <v>0</v>
      </c>
      <c r="K113" s="139">
        <v>13</v>
      </c>
      <c r="L113" s="139">
        <v>6</v>
      </c>
      <c r="M113" s="139">
        <v>18</v>
      </c>
      <c r="N113" s="139"/>
      <c r="O113" s="139">
        <v>15</v>
      </c>
      <c r="P113" s="184"/>
      <c r="Q113" s="117"/>
      <c r="R113" s="117">
        <v>95</v>
      </c>
      <c r="S113" s="117"/>
      <c r="T113" s="106">
        <f>Database[[#This Row],[Base HP]]+Database[[#This Row],[Temp HP]]-Database[[#This Row],[Dmg Taken]]</f>
        <v>95</v>
      </c>
      <c r="U113" s="102">
        <f t="array" ref="U11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113" s="102">
        <f t="array" ref="V11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</row>
    <row r="114" spans="2:22" ht="20.25" x14ac:dyDescent="0.2">
      <c r="B114" s="177"/>
      <c r="C114" s="177"/>
      <c r="D114" s="141"/>
      <c r="E114" s="110" t="s">
        <v>371</v>
      </c>
      <c r="F114" s="181">
        <v>2</v>
      </c>
      <c r="G114" s="138">
        <f>IF(NOT( ISBLANK(Database[[#This Row],[Challenge Rating]])), LOOKUP(Database[Challenge Rating],ChallengeRating[Challenge Rating],ChallengeRating[XP]), "-")</f>
        <v>450</v>
      </c>
      <c r="H114" s="144" t="s">
        <v>369</v>
      </c>
      <c r="I114" s="176">
        <v>0</v>
      </c>
      <c r="J114" s="176">
        <v>0</v>
      </c>
      <c r="K114" s="176">
        <v>12</v>
      </c>
      <c r="L114" s="176">
        <v>3</v>
      </c>
      <c r="M114" s="176">
        <v>13</v>
      </c>
      <c r="N114" s="176"/>
      <c r="O114" s="176">
        <v>12</v>
      </c>
      <c r="P114" s="185"/>
      <c r="Q114" s="141"/>
      <c r="R114" s="177">
        <v>60</v>
      </c>
      <c r="S114" s="141"/>
      <c r="T114" s="142">
        <f>Database[[#This Row],[Base HP]]+Database[[#This Row],[Temp HP]]-Database[[#This Row],[Dmg Taken]]</f>
        <v>60</v>
      </c>
      <c r="U114" s="143">
        <f t="array" ref="U11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14" s="143">
        <f t="array" ref="V11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15" spans="2:22" ht="20.25" x14ac:dyDescent="0.2">
      <c r="B115" s="177"/>
      <c r="C115" s="177"/>
      <c r="D115" s="141"/>
      <c r="E115" s="110" t="s">
        <v>372</v>
      </c>
      <c r="F115" s="181">
        <v>0</v>
      </c>
      <c r="G115" s="138">
        <f>IF(NOT( ISBLANK(Database[[#This Row],[Challenge Rating]])), LOOKUP(Database[Challenge Rating],ChallengeRating[Challenge Rating],ChallengeRating[XP]), "-")</f>
        <v>10</v>
      </c>
      <c r="H115" s="144" t="s">
        <v>373</v>
      </c>
      <c r="I115" s="176">
        <v>0</v>
      </c>
      <c r="J115" s="176">
        <v>0</v>
      </c>
      <c r="K115" s="176">
        <v>10</v>
      </c>
      <c r="L115" s="176">
        <v>1</v>
      </c>
      <c r="M115" s="176">
        <v>10</v>
      </c>
      <c r="N115" s="176"/>
      <c r="O115" s="176"/>
      <c r="P115" s="185"/>
      <c r="Q115" s="141"/>
      <c r="R115" s="177">
        <v>7</v>
      </c>
      <c r="S115" s="141"/>
      <c r="T115" s="142">
        <f>Database[[#This Row],[Base HP]]+Database[[#This Row],[Temp HP]]-Database[[#This Row],[Dmg Taken]]</f>
        <v>7</v>
      </c>
      <c r="U115" s="143">
        <f t="array" ref="U11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15" s="143">
        <f t="array" ref="V11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116" spans="2:22" ht="20.25" x14ac:dyDescent="0.2">
      <c r="B116" s="177"/>
      <c r="C116" s="103"/>
      <c r="D116" s="101"/>
      <c r="E116" s="110" t="s">
        <v>325</v>
      </c>
      <c r="F116" s="179">
        <v>0.25</v>
      </c>
      <c r="G116" s="138">
        <f>IF(NOT( ISBLANK(Database[[#This Row],[Challenge Rating]])), LOOKUP(Database[Challenge Rating],ChallengeRating[Challenge Rating],ChallengeRating[XP]), "-")</f>
        <v>50</v>
      </c>
      <c r="H116" s="144" t="s">
        <v>326</v>
      </c>
      <c r="I116" s="140">
        <v>1</v>
      </c>
      <c r="J116" s="140">
        <v>1</v>
      </c>
      <c r="K116" s="140">
        <v>9</v>
      </c>
      <c r="L116" s="140">
        <v>3</v>
      </c>
      <c r="M116" s="140">
        <v>12</v>
      </c>
      <c r="N116" s="140"/>
      <c r="O116" s="140"/>
      <c r="P116" s="184"/>
      <c r="Q116" s="117"/>
      <c r="R116" s="127">
        <v>11</v>
      </c>
      <c r="S116" s="117"/>
      <c r="T116" s="106">
        <f>Database[[#This Row],[Base HP]]+Database[[#This Row],[Temp HP]]-Database[[#This Row],[Dmg Taken]]</f>
        <v>11</v>
      </c>
      <c r="U116" s="102">
        <f t="array" ref="U11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16" s="102">
        <f t="array" ref="V11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17" spans="2:22" ht="20.25" x14ac:dyDescent="0.2">
      <c r="B117" s="141"/>
      <c r="C117" s="117"/>
      <c r="D117" s="117"/>
      <c r="E117" s="109" t="s">
        <v>81</v>
      </c>
      <c r="F117" s="102">
        <v>0.5</v>
      </c>
      <c r="G117" s="138">
        <f>IF(NOT( ISBLANK(Database[[#This Row],[Challenge Rating]])), LOOKUP(Database[Challenge Rating],ChallengeRating[Challenge Rating],ChallengeRating[XP]), "-")</f>
        <v>100</v>
      </c>
      <c r="H117" s="144"/>
      <c r="I117" s="182">
        <v>3</v>
      </c>
      <c r="J117" s="139">
        <v>3</v>
      </c>
      <c r="K117" s="139">
        <v>9</v>
      </c>
      <c r="L117" s="139">
        <v>5</v>
      </c>
      <c r="M117" s="139">
        <v>17</v>
      </c>
      <c r="N117" s="139"/>
      <c r="O117" s="139"/>
      <c r="P117" s="184" t="s">
        <v>22</v>
      </c>
      <c r="Q117" s="117"/>
      <c r="R117" s="117">
        <v>13</v>
      </c>
      <c r="S117" s="117"/>
      <c r="T117" s="106">
        <f>Database[[#This Row],[Base HP]]+Database[[#This Row],[Temp HP]]-Database[[#This Row],[Dmg Taken]]</f>
        <v>13</v>
      </c>
      <c r="U117" s="102">
        <f t="array" ref="U11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17" s="102">
        <f t="array" ref="V11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18" spans="2:22" ht="20.25" x14ac:dyDescent="0.2">
      <c r="B118" s="141"/>
      <c r="C118" s="117"/>
      <c r="D118" s="117"/>
      <c r="E118" s="109" t="s">
        <v>29</v>
      </c>
      <c r="F118" s="102">
        <v>2</v>
      </c>
      <c r="G118" s="138">
        <f>IF(NOT( ISBLANK(Database[[#This Row],[Challenge Rating]])), LOOKUP(Database[Challenge Rating],ChallengeRating[Challenge Rating],ChallengeRating[XP]), "-")</f>
        <v>450</v>
      </c>
      <c r="H118" s="144"/>
      <c r="I118" s="139">
        <v>3</v>
      </c>
      <c r="J118" s="139">
        <v>5</v>
      </c>
      <c r="K118" s="139">
        <v>12</v>
      </c>
      <c r="L118" s="139">
        <v>4</v>
      </c>
      <c r="M118" s="139">
        <v>15</v>
      </c>
      <c r="N118" s="139"/>
      <c r="O118" s="139">
        <v>12</v>
      </c>
      <c r="P118" s="184" t="s">
        <v>22</v>
      </c>
      <c r="Q118" s="117"/>
      <c r="R118" s="117">
        <v>45</v>
      </c>
      <c r="S118" s="117"/>
      <c r="T118" s="106">
        <f>Database[[#This Row],[Base HP]]+Database[[#This Row],[Temp HP]]-Database[[#This Row],[Dmg Taken]]</f>
        <v>45</v>
      </c>
      <c r="U118" s="102">
        <f t="array" ref="U11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18" s="102">
        <f t="array" ref="V11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19" spans="2:22" ht="20.25" x14ac:dyDescent="0.2">
      <c r="B119" s="141"/>
      <c r="C119" s="117"/>
      <c r="D119" s="117"/>
      <c r="E119" s="109" t="s">
        <v>52</v>
      </c>
      <c r="F119" s="102">
        <v>2</v>
      </c>
      <c r="G119" s="138">
        <f>IF(NOT( ISBLANK(Database[[#This Row],[Challenge Rating]])), LOOKUP(Database[Challenge Rating],ChallengeRating[Challenge Rating],ChallengeRating[XP]), "-")</f>
        <v>450</v>
      </c>
      <c r="H119" s="144"/>
      <c r="I119" s="139">
        <v>-2</v>
      </c>
      <c r="J119" s="139">
        <v>-2</v>
      </c>
      <c r="K119" s="139">
        <v>8</v>
      </c>
      <c r="L119" s="139">
        <v>4</v>
      </c>
      <c r="M119" s="139">
        <v>8</v>
      </c>
      <c r="N119" s="139"/>
      <c r="O119" s="139"/>
      <c r="P119" s="184" t="s">
        <v>22</v>
      </c>
      <c r="Q119" s="117"/>
      <c r="R119" s="117">
        <v>45</v>
      </c>
      <c r="S119" s="117"/>
      <c r="T119" s="106">
        <f>Database[[#This Row],[Base HP]]+Database[[#This Row],[Temp HP]]-Database[[#This Row],[Dmg Taken]]</f>
        <v>45</v>
      </c>
      <c r="U119" s="102">
        <f t="array" ref="U11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19" s="102">
        <f t="array" ref="V11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20" spans="2:22" ht="20.25" x14ac:dyDescent="0.2">
      <c r="B120" s="141"/>
      <c r="C120" s="117"/>
      <c r="D120" s="117"/>
      <c r="E120" s="109" t="s">
        <v>34</v>
      </c>
      <c r="F120" s="102">
        <v>2</v>
      </c>
      <c r="G120" s="138">
        <f>IF(NOT( ISBLANK(Database[[#This Row],[Challenge Rating]])), LOOKUP(Database[Challenge Rating],ChallengeRating[Challenge Rating],ChallengeRating[XP]), "-")</f>
        <v>450</v>
      </c>
      <c r="H120" s="144"/>
      <c r="I120" s="139">
        <v>-1</v>
      </c>
      <c r="J120" s="139">
        <v>-1</v>
      </c>
      <c r="K120" s="139">
        <v>8</v>
      </c>
      <c r="L120" s="139">
        <v>6</v>
      </c>
      <c r="M120" s="139">
        <v>11</v>
      </c>
      <c r="N120" s="139"/>
      <c r="O120" s="139"/>
      <c r="P120" s="184" t="s">
        <v>22</v>
      </c>
      <c r="Q120" s="117"/>
      <c r="R120" s="117">
        <v>59</v>
      </c>
      <c r="S120" s="117"/>
      <c r="T120" s="106">
        <f>Database[[#This Row],[Base HP]]+Database[[#This Row],[Temp HP]]-Database[[#This Row],[Dmg Taken]]</f>
        <v>59</v>
      </c>
      <c r="U120" s="102">
        <f t="array" ref="U12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20" s="102">
        <f t="array" ref="V12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21" spans="2:22" ht="20.25" x14ac:dyDescent="0.2">
      <c r="B121" s="141"/>
      <c r="C121" s="117"/>
      <c r="D121" s="117"/>
      <c r="E121" s="109" t="s">
        <v>86</v>
      </c>
      <c r="F121" s="102">
        <v>2</v>
      </c>
      <c r="G121" s="138">
        <f>IF(NOT( ISBLANK(Database[[#This Row],[Challenge Rating]])), LOOKUP(Database[Challenge Rating],ChallengeRating[Challenge Rating],ChallengeRating[XP]), "-")</f>
        <v>450</v>
      </c>
      <c r="H121" s="144" t="s">
        <v>288</v>
      </c>
      <c r="I121" s="139">
        <v>-2</v>
      </c>
      <c r="J121" s="139">
        <v>-2</v>
      </c>
      <c r="K121" s="139">
        <v>8</v>
      </c>
      <c r="L121" s="139">
        <v>6</v>
      </c>
      <c r="M121" s="139">
        <v>8</v>
      </c>
      <c r="N121" s="139"/>
      <c r="O121" s="139"/>
      <c r="P121" s="184" t="s">
        <v>22</v>
      </c>
      <c r="Q121" s="117"/>
      <c r="R121" s="117">
        <v>85</v>
      </c>
      <c r="S121" s="117"/>
      <c r="T121" s="106">
        <f>Database[[#This Row],[Base HP]]+Database[[#This Row],[Temp HP]]-Database[[#This Row],[Dmg Taken]]</f>
        <v>85</v>
      </c>
      <c r="U121" s="102">
        <f t="array" ref="U12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21" s="102">
        <f t="array" ref="V12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22" spans="2:22" ht="20.25" x14ac:dyDescent="0.2">
      <c r="B122" s="141"/>
      <c r="C122" s="117"/>
      <c r="D122" s="117"/>
      <c r="E122" s="109" t="s">
        <v>94</v>
      </c>
      <c r="F122" s="102">
        <v>7</v>
      </c>
      <c r="G122" s="138">
        <f>IF(NOT( ISBLANK(Database[[#This Row],[Challenge Rating]])), LOOKUP(Database[Challenge Rating],ChallengeRating[Challenge Rating],ChallengeRating[XP]), "-")</f>
        <v>2900</v>
      </c>
      <c r="H122" s="144" t="s">
        <v>289</v>
      </c>
      <c r="I122" s="139">
        <v>0</v>
      </c>
      <c r="J122" s="139">
        <v>0</v>
      </c>
      <c r="K122" s="139">
        <v>14</v>
      </c>
      <c r="L122" s="139">
        <v>7</v>
      </c>
      <c r="M122" s="139">
        <v>16</v>
      </c>
      <c r="N122" s="139">
        <v>5</v>
      </c>
      <c r="O122" s="139">
        <v>13</v>
      </c>
      <c r="P122" s="184" t="s">
        <v>22</v>
      </c>
      <c r="Q122" s="117"/>
      <c r="R122" s="117">
        <v>110</v>
      </c>
      <c r="S122" s="117"/>
      <c r="T122" s="106">
        <f>Database[[#This Row],[Base HP]]+Database[[#This Row],[Temp HP]]-Database[[#This Row],[Dmg Taken]]</f>
        <v>110</v>
      </c>
      <c r="U122" s="102">
        <f t="array" ref="U12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15</v>
      </c>
      <c r="V122" s="102">
        <f t="array" ref="V12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7</v>
      </c>
    </row>
    <row r="123" spans="2:22" ht="20.25" x14ac:dyDescent="0.2">
      <c r="B123" s="141"/>
      <c r="C123" s="117"/>
      <c r="D123" s="117"/>
      <c r="E123" s="109" t="s">
        <v>24</v>
      </c>
      <c r="F123" s="102">
        <v>0.5</v>
      </c>
      <c r="G123" s="138">
        <f>IF(NOT( ISBLANK(Database[[#This Row],[Challenge Rating]])), LOOKUP(Database[Challenge Rating],ChallengeRating[Challenge Rating],ChallengeRating[XP]), "-")</f>
        <v>100</v>
      </c>
      <c r="H123" s="144"/>
      <c r="I123" s="139">
        <v>1</v>
      </c>
      <c r="J123" s="139">
        <v>1</v>
      </c>
      <c r="K123" s="139">
        <v>10</v>
      </c>
      <c r="L123" s="139">
        <v>5</v>
      </c>
      <c r="M123" s="139">
        <v>13</v>
      </c>
      <c r="N123" s="139"/>
      <c r="O123" s="139"/>
      <c r="P123" s="184" t="s">
        <v>22</v>
      </c>
      <c r="Q123" s="117"/>
      <c r="R123" s="117">
        <v>15</v>
      </c>
      <c r="S123" s="117"/>
      <c r="T123" s="106">
        <f>Database[[#This Row],[Base HP]]+Database[[#This Row],[Temp HP]]-Database[[#This Row],[Dmg Taken]]</f>
        <v>15</v>
      </c>
      <c r="U123" s="102">
        <f t="array" ref="U12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23" s="102">
        <f t="array" ref="V12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24" spans="2:22" ht="20.25" x14ac:dyDescent="0.2">
      <c r="B124" s="141"/>
      <c r="C124" s="117"/>
      <c r="D124" s="117"/>
      <c r="E124" s="109" t="s">
        <v>48</v>
      </c>
      <c r="F124" s="102">
        <v>3</v>
      </c>
      <c r="G124" s="138">
        <f>IF(NOT( ISBLANK(Database[[#This Row],[Challenge Rating]])), LOOKUP(Database[Challenge Rating],ChallengeRating[Challenge Rating],ChallengeRating[XP]), "-")</f>
        <v>700</v>
      </c>
      <c r="H124" s="144"/>
      <c r="I124" s="139">
        <v>1</v>
      </c>
      <c r="J124" s="139">
        <v>1</v>
      </c>
      <c r="K124" s="139">
        <v>13</v>
      </c>
      <c r="L124" s="139">
        <v>7</v>
      </c>
      <c r="M124" s="139">
        <v>13</v>
      </c>
      <c r="N124" s="139"/>
      <c r="O124" s="139"/>
      <c r="P124" s="184" t="s">
        <v>22</v>
      </c>
      <c r="Q124" s="117"/>
      <c r="R124" s="117">
        <v>59</v>
      </c>
      <c r="S124" s="117"/>
      <c r="T124" s="106">
        <f>Database[[#This Row],[Base HP]]+Database[[#This Row],[Temp HP]]-Database[[#This Row],[Dmg Taken]]</f>
        <v>59</v>
      </c>
      <c r="U124" s="102">
        <f t="array" ref="U12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24" s="102">
        <f t="array" ref="V12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25" spans="2:22" ht="20.25" x14ac:dyDescent="0.2">
      <c r="B125" s="145"/>
      <c r="C125" s="145"/>
      <c r="D125" s="145"/>
      <c r="E125" s="147" t="s">
        <v>418</v>
      </c>
      <c r="F125" s="149">
        <v>0.25</v>
      </c>
      <c r="G125" s="148">
        <f>IF(NOT( ISBLANK(Database[[#This Row],[Challenge Rating]])), LOOKUP(Database[Challenge Rating],ChallengeRating[Challenge Rating],ChallengeRating[XP]), "-")</f>
        <v>50</v>
      </c>
      <c r="H125" s="144" t="s">
        <v>354</v>
      </c>
      <c r="I125" s="138">
        <v>2</v>
      </c>
      <c r="J125" s="148">
        <v>2</v>
      </c>
      <c r="K125" s="148">
        <v>14</v>
      </c>
      <c r="L125" s="148">
        <v>3</v>
      </c>
      <c r="M125" s="148">
        <v>12</v>
      </c>
      <c r="N125" s="148"/>
      <c r="O125" s="148">
        <v>11</v>
      </c>
      <c r="P125" s="185"/>
      <c r="Q125" s="141"/>
      <c r="R125" s="145">
        <v>22</v>
      </c>
      <c r="S125" s="145"/>
      <c r="T125" s="142">
        <f>Database[[#This Row],[Base HP]]+Database[[#This Row],[Temp HP]]-Database[[#This Row],[Dmg Taken]]</f>
        <v>22</v>
      </c>
      <c r="U125" s="149">
        <f t="array" ref="U12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25" s="149">
        <f t="array" ref="V12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26" spans="2:22" ht="20.25" x14ac:dyDescent="0.2">
      <c r="B126" s="177"/>
      <c r="C126" s="103"/>
      <c r="D126" s="101"/>
      <c r="E126" s="110" t="s">
        <v>78</v>
      </c>
      <c r="F126" s="179">
        <v>2</v>
      </c>
      <c r="G126" s="138">
        <f>IF(NOT( ISBLANK(Database[[#This Row],[Challenge Rating]])), LOOKUP(Database[Challenge Rating],ChallengeRating[Challenge Rating],ChallengeRating[XP]), "-")</f>
        <v>450</v>
      </c>
      <c r="H126" s="144" t="s">
        <v>319</v>
      </c>
      <c r="I126" s="140">
        <v>1</v>
      </c>
      <c r="J126" s="140">
        <v>1</v>
      </c>
      <c r="K126" s="140">
        <v>15</v>
      </c>
      <c r="L126" s="140">
        <v>5</v>
      </c>
      <c r="M126" s="140">
        <v>13</v>
      </c>
      <c r="N126" s="140"/>
      <c r="O126" s="140"/>
      <c r="P126" s="184"/>
      <c r="Q126" s="117"/>
      <c r="R126" s="127">
        <v>33</v>
      </c>
      <c r="S126" s="117"/>
      <c r="T126" s="106">
        <f>Database[[#This Row],[Base HP]]+Database[[#This Row],[Temp HP]]-Database[[#This Row],[Dmg Taken]]</f>
        <v>33</v>
      </c>
      <c r="U126" s="102">
        <f t="array" ref="U12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26" s="102">
        <f t="array" ref="V12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27" spans="2:22" ht="20.25" x14ac:dyDescent="0.2">
      <c r="B127" s="141"/>
      <c r="C127" s="137"/>
      <c r="D127" s="101"/>
      <c r="E127" s="109" t="s">
        <v>397</v>
      </c>
      <c r="F127" s="102">
        <v>2</v>
      </c>
      <c r="G127" s="138">
        <f>IF(NOT( ISBLANK(Database[[#This Row],[Challenge Rating]])), LOOKUP(Database[Challenge Rating],ChallengeRating[Challenge Rating],ChallengeRating[XP]), "-")</f>
        <v>450</v>
      </c>
      <c r="H127" s="144" t="s">
        <v>398</v>
      </c>
      <c r="I127" s="139">
        <v>2</v>
      </c>
      <c r="J127" s="139">
        <v>4</v>
      </c>
      <c r="K127" s="139">
        <v>13</v>
      </c>
      <c r="L127" s="139">
        <v>9</v>
      </c>
      <c r="M127" s="139">
        <v>13</v>
      </c>
      <c r="N127" s="139"/>
      <c r="O127" s="139"/>
      <c r="P127" s="184"/>
      <c r="Q127" s="117"/>
      <c r="R127" s="117">
        <v>68</v>
      </c>
      <c r="S127" s="117"/>
      <c r="T127" s="106">
        <f>Database[[#This Row],[Base HP]]+Database[[#This Row],[Temp HP]]-Database[[#This Row],[Dmg Taken]]</f>
        <v>68</v>
      </c>
      <c r="U127" s="102">
        <f t="array" ref="U12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27" s="102">
        <f t="array" ref="V12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28" spans="2:22" ht="20.25" x14ac:dyDescent="0.2">
      <c r="B128" s="177"/>
      <c r="C128" s="103"/>
      <c r="D128" s="101"/>
      <c r="E128" s="110" t="s">
        <v>299</v>
      </c>
      <c r="F128" s="179">
        <v>2</v>
      </c>
      <c r="G128" s="138">
        <f>IF(NOT( ISBLANK(Database[[#This Row],[Challenge Rating]])), LOOKUP(Database[Challenge Rating],ChallengeRating[Challenge Rating],ChallengeRating[XP]), "-")</f>
        <v>450</v>
      </c>
      <c r="H128" s="144" t="s">
        <v>300</v>
      </c>
      <c r="I128" s="140">
        <v>0</v>
      </c>
      <c r="J128" s="140">
        <v>0</v>
      </c>
      <c r="K128" s="140">
        <v>13</v>
      </c>
      <c r="L128" s="140">
        <v>7</v>
      </c>
      <c r="M128" s="140">
        <v>12</v>
      </c>
      <c r="N128" s="140"/>
      <c r="O128" s="140"/>
      <c r="P128" s="184"/>
      <c r="Q128" s="117"/>
      <c r="R128" s="127">
        <v>42</v>
      </c>
      <c r="S128" s="117"/>
      <c r="T128" s="106">
        <f>Database[[#This Row],[Base HP]]+Database[[#This Row],[Temp HP]]-Database[[#This Row],[Dmg Taken]]</f>
        <v>42</v>
      </c>
      <c r="U128" s="102">
        <f t="array" ref="U12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28" s="102">
        <f t="array" ref="V12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29" spans="2:22" ht="20.25" x14ac:dyDescent="0.2">
      <c r="B129" s="177"/>
      <c r="C129" s="103"/>
      <c r="D129" s="101"/>
      <c r="E129" s="110" t="s">
        <v>333</v>
      </c>
      <c r="F129" s="179">
        <v>0.125</v>
      </c>
      <c r="G129" s="138">
        <f>IF(NOT( ISBLANK(Database[[#This Row],[Challenge Rating]])), LOOKUP(Database[Challenge Rating],ChallengeRating[Challenge Rating],ChallengeRating[XP]), "-")</f>
        <v>25</v>
      </c>
      <c r="H129" s="144" t="s">
        <v>334</v>
      </c>
      <c r="I129" s="140">
        <v>0</v>
      </c>
      <c r="J129" s="140">
        <v>0</v>
      </c>
      <c r="K129" s="140">
        <v>10</v>
      </c>
      <c r="L129" s="140">
        <v>4</v>
      </c>
      <c r="M129" s="140">
        <v>10</v>
      </c>
      <c r="N129" s="140"/>
      <c r="O129" s="140"/>
      <c r="P129" s="184"/>
      <c r="Q129" s="117"/>
      <c r="R129" s="127">
        <v>11</v>
      </c>
      <c r="S129" s="117"/>
      <c r="T129" s="106">
        <f>Database[[#This Row],[Base HP]]+Database[[#This Row],[Temp HP]]-Database[[#This Row],[Dmg Taken]]</f>
        <v>11</v>
      </c>
      <c r="U129" s="102">
        <f t="array" ref="U12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29" s="102">
        <f t="array" ref="V12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</row>
    <row r="130" spans="2:22" ht="20.25" x14ac:dyDescent="0.2">
      <c r="B130" s="145"/>
      <c r="C130" s="145"/>
      <c r="D130" s="145"/>
      <c r="E130" s="147" t="s">
        <v>424</v>
      </c>
      <c r="F130" s="149">
        <v>0.25</v>
      </c>
      <c r="G130" s="148">
        <f>IF(NOT( ISBLANK(Database[[#This Row],[Challenge Rating]])), LOOKUP(Database[Challenge Rating],ChallengeRating[Challenge Rating],ChallengeRating[XP]), "-")</f>
        <v>50</v>
      </c>
      <c r="H130" s="144" t="s">
        <v>398</v>
      </c>
      <c r="I130" s="138">
        <v>2</v>
      </c>
      <c r="J130" s="148">
        <v>2</v>
      </c>
      <c r="K130" s="148">
        <v>11</v>
      </c>
      <c r="L130" s="148">
        <v>3</v>
      </c>
      <c r="M130" s="148">
        <v>13</v>
      </c>
      <c r="N130" s="148"/>
      <c r="O130" s="148"/>
      <c r="P130" s="185"/>
      <c r="Q130" s="141"/>
      <c r="R130" s="145">
        <v>13</v>
      </c>
      <c r="S130" s="145"/>
      <c r="T130" s="142">
        <f>Database[[#This Row],[Base HP]]+Database[[#This Row],[Temp HP]]-Database[[#This Row],[Dmg Taken]]</f>
        <v>13</v>
      </c>
      <c r="U130" s="149">
        <f t="array" ref="U13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30" s="149">
        <f t="array" ref="V13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31" spans="2:22" ht="20.25" x14ac:dyDescent="0.2">
      <c r="B131" s="145"/>
      <c r="C131" s="145"/>
      <c r="D131" s="145"/>
      <c r="E131" s="147" t="s">
        <v>425</v>
      </c>
      <c r="F131" s="149">
        <v>2</v>
      </c>
      <c r="G131" s="148">
        <f>IF(NOT( ISBLANK(Database[[#This Row],[Challenge Rating]])), LOOKUP(Database[Challenge Rating],ChallengeRating[Challenge Rating],ChallengeRating[XP]), "-")</f>
        <v>450</v>
      </c>
      <c r="H131" s="144" t="s">
        <v>423</v>
      </c>
      <c r="I131" s="138">
        <v>1</v>
      </c>
      <c r="J131" s="148">
        <v>1</v>
      </c>
      <c r="K131" s="148">
        <v>12</v>
      </c>
      <c r="L131" s="148">
        <v>4</v>
      </c>
      <c r="M131" s="148">
        <v>13</v>
      </c>
      <c r="N131" s="148"/>
      <c r="O131" s="148"/>
      <c r="P131" s="185"/>
      <c r="Q131" s="141"/>
      <c r="R131" s="145">
        <v>30</v>
      </c>
      <c r="S131" s="145"/>
      <c r="T131" s="142">
        <f>Database[[#This Row],[Base HP]]+Database[[#This Row],[Temp HP]]-Database[[#This Row],[Dmg Taken]]</f>
        <v>30</v>
      </c>
      <c r="U131" s="149">
        <f t="array" ref="U13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31" s="149">
        <f t="array" ref="V13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32" spans="2:22" ht="20.25" x14ac:dyDescent="0.2">
      <c r="B132" s="145"/>
      <c r="C132" s="145"/>
      <c r="D132" s="145"/>
      <c r="E132" s="147" t="s">
        <v>449</v>
      </c>
      <c r="F132" s="149">
        <v>0</v>
      </c>
      <c r="G132" s="148">
        <f>IF(NOT( ISBLANK(Database[[#This Row],[Challenge Rating]])), LOOKUP(Database[Challenge Rating],ChallengeRating[Challenge Rating],ChallengeRating[XP]), "-")</f>
        <v>10</v>
      </c>
      <c r="H132" s="144" t="s">
        <v>334</v>
      </c>
      <c r="I132" s="138">
        <v>3</v>
      </c>
      <c r="J132" s="148">
        <v>3</v>
      </c>
      <c r="K132" s="148">
        <v>8</v>
      </c>
      <c r="L132" s="148">
        <v>5</v>
      </c>
      <c r="M132" s="148">
        <v>13</v>
      </c>
      <c r="N132" s="148"/>
      <c r="O132" s="148"/>
      <c r="P132" s="185"/>
      <c r="Q132" s="141"/>
      <c r="R132" s="145">
        <v>1</v>
      </c>
      <c r="S132" s="145"/>
      <c r="T132" s="142">
        <f>Database[[#This Row],[Base HP]]+Database[[#This Row],[Temp HP]]-Database[[#This Row],[Dmg Taken]]</f>
        <v>1</v>
      </c>
      <c r="U132" s="149">
        <f t="array" ref="U13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32" s="149">
        <f t="array" ref="V13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133" spans="2:22" ht="20.25" x14ac:dyDescent="0.2">
      <c r="B133" s="145"/>
      <c r="C133" s="145"/>
      <c r="D133" s="145"/>
      <c r="E133" s="147" t="s">
        <v>447</v>
      </c>
      <c r="F133" s="149">
        <v>1</v>
      </c>
      <c r="G133" s="148">
        <f>IF(NOT( ISBLANK(Database[[#This Row],[Challenge Rating]])), LOOKUP(Database[Challenge Rating],ChallengeRating[Challenge Rating],ChallengeRating[XP]), "-")</f>
        <v>200</v>
      </c>
      <c r="H133" s="144" t="s">
        <v>448</v>
      </c>
      <c r="I133" s="138">
        <v>3</v>
      </c>
      <c r="J133" s="148">
        <v>3</v>
      </c>
      <c r="K133" s="148">
        <v>8</v>
      </c>
      <c r="L133" s="148">
        <v>5</v>
      </c>
      <c r="M133" s="148">
        <v>13</v>
      </c>
      <c r="N133" s="148"/>
      <c r="O133" s="148"/>
      <c r="P133" s="185"/>
      <c r="Q133" s="141"/>
      <c r="R133" s="145">
        <v>28</v>
      </c>
      <c r="S133" s="145"/>
      <c r="T133" s="142">
        <f>Database[[#This Row],[Base HP]]+Database[[#This Row],[Temp HP]]-Database[[#This Row],[Dmg Taken]]</f>
        <v>28</v>
      </c>
      <c r="U133" s="149">
        <f t="array" ref="U13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33" s="149">
        <f t="array" ref="V13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34" spans="2:22" ht="20.25" x14ac:dyDescent="0.2">
      <c r="B134" s="141"/>
      <c r="C134" s="117"/>
      <c r="D134" s="117"/>
      <c r="E134" s="109" t="s">
        <v>16</v>
      </c>
      <c r="F134" s="102">
        <v>0.5</v>
      </c>
      <c r="G134" s="138">
        <f>IF(NOT( ISBLANK(Database[[#This Row],[Challenge Rating]])), LOOKUP(Database[Challenge Rating],ChallengeRating[Challenge Rating],ChallengeRating[XP]), "-")</f>
        <v>100</v>
      </c>
      <c r="H134" s="144"/>
      <c r="I134" s="139">
        <v>2</v>
      </c>
      <c r="J134" s="139">
        <v>2</v>
      </c>
      <c r="K134" s="139">
        <v>9</v>
      </c>
      <c r="L134" s="139">
        <v>4</v>
      </c>
      <c r="M134" s="139">
        <v>14</v>
      </c>
      <c r="N134" s="139"/>
      <c r="O134" s="139"/>
      <c r="P134" s="184" t="s">
        <v>22</v>
      </c>
      <c r="Q134" s="117"/>
      <c r="R134" s="117">
        <v>16</v>
      </c>
      <c r="S134" s="117"/>
      <c r="T134" s="106">
        <f>Database[[#This Row],[Base HP]]+Database[[#This Row],[Temp HP]]-Database[[#This Row],[Dmg Taken]]</f>
        <v>16</v>
      </c>
      <c r="U134" s="102">
        <f t="array" ref="U13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34" s="102">
        <f t="array" ref="V13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35" spans="2:22" ht="20.25" x14ac:dyDescent="0.2">
      <c r="B135" s="177"/>
      <c r="C135" s="103"/>
      <c r="D135" s="101"/>
      <c r="E135" s="110" t="s">
        <v>312</v>
      </c>
      <c r="F135" s="179">
        <v>11</v>
      </c>
      <c r="G135" s="138">
        <f>IF(NOT( ISBLANK(Database[[#This Row],[Challenge Rating]])), LOOKUP(Database[Challenge Rating],ChallengeRating[Challenge Rating],ChallengeRating[XP]), "-")</f>
        <v>7200</v>
      </c>
      <c r="H135" s="144" t="s">
        <v>311</v>
      </c>
      <c r="I135" s="140">
        <v>1</v>
      </c>
      <c r="J135" s="140">
        <v>1</v>
      </c>
      <c r="K135" s="140">
        <v>10</v>
      </c>
      <c r="L135" s="140">
        <v>11</v>
      </c>
      <c r="M135" s="140">
        <v>17</v>
      </c>
      <c r="N135" s="140"/>
      <c r="O135" s="140">
        <v>17</v>
      </c>
      <c r="P135" s="184"/>
      <c r="Q135" s="117"/>
      <c r="R135" s="127">
        <v>195</v>
      </c>
      <c r="S135" s="117"/>
      <c r="T135" s="106">
        <f>Database[[#This Row],[Base HP]]+Database[[#This Row],[Temp HP]]-Database[[#This Row],[Dmg Taken]]</f>
        <v>195</v>
      </c>
      <c r="U135" s="102">
        <f t="array" ref="U13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135" s="102">
        <f t="array" ref="V13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11</v>
      </c>
    </row>
    <row r="136" spans="2:22" ht="20.25" x14ac:dyDescent="0.2">
      <c r="B136" s="141"/>
      <c r="C136" s="117"/>
      <c r="D136" s="117"/>
      <c r="E136" s="109" t="s">
        <v>79</v>
      </c>
      <c r="F136" s="102">
        <v>5</v>
      </c>
      <c r="G136" s="138">
        <f>IF(NOT( ISBLANK(Database[[#This Row],[Challenge Rating]])), LOOKUP(Database[Challenge Rating],ChallengeRating[Challenge Rating],ChallengeRating[XP]), "-")</f>
        <v>1800</v>
      </c>
      <c r="H136" s="144" t="s">
        <v>419</v>
      </c>
      <c r="I136" s="139">
        <v>2</v>
      </c>
      <c r="J136" s="139">
        <v>2</v>
      </c>
      <c r="K136" s="139">
        <v>13</v>
      </c>
      <c r="L136" s="139">
        <v>7</v>
      </c>
      <c r="M136" s="139">
        <v>13</v>
      </c>
      <c r="N136" s="139"/>
      <c r="O136" s="139">
        <v>15</v>
      </c>
      <c r="P136" s="184" t="s">
        <v>22</v>
      </c>
      <c r="Q136" s="117"/>
      <c r="R136" s="117">
        <v>136</v>
      </c>
      <c r="S136" s="117"/>
      <c r="T136" s="106">
        <f>Database[[#This Row],[Base HP]]+Database[[#This Row],[Temp HP]]-Database[[#This Row],[Dmg Taken]]</f>
        <v>136</v>
      </c>
      <c r="U136" s="102">
        <f t="array" ref="U13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36" s="102">
        <f t="array" ref="V13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37" spans="2:22" ht="20.25" x14ac:dyDescent="0.2">
      <c r="B137" s="141"/>
      <c r="C137" s="117"/>
      <c r="D137" s="117"/>
      <c r="E137" s="109" t="s">
        <v>91</v>
      </c>
      <c r="F137" s="102">
        <v>2</v>
      </c>
      <c r="G137" s="138">
        <f>IF(NOT( ISBLANK(Database[[#This Row],[Challenge Rating]])), LOOKUP(Database[Challenge Rating],ChallengeRating[Challenge Rating],ChallengeRating[XP]), "-")</f>
        <v>450</v>
      </c>
      <c r="H137" s="144"/>
      <c r="I137" s="139">
        <v>2</v>
      </c>
      <c r="J137" s="139">
        <v>2</v>
      </c>
      <c r="K137" s="139">
        <v>6</v>
      </c>
      <c r="L137" s="139">
        <v>5</v>
      </c>
      <c r="M137" s="139">
        <v>12</v>
      </c>
      <c r="N137" s="139"/>
      <c r="O137" s="139">
        <v>13</v>
      </c>
      <c r="P137" s="184" t="s">
        <v>22</v>
      </c>
      <c r="Q137" s="117"/>
      <c r="R137" s="117">
        <v>33</v>
      </c>
      <c r="S137" s="117"/>
      <c r="T137" s="106">
        <f>Database[[#This Row],[Base HP]]+Database[[#This Row],[Temp HP]]-Database[[#This Row],[Dmg Taken]]</f>
        <v>33</v>
      </c>
      <c r="U137" s="102">
        <f t="array" ref="U13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37" s="102">
        <f t="array" ref="V13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38" spans="2:22" ht="20.25" x14ac:dyDescent="0.2">
      <c r="B138" s="177"/>
      <c r="C138" s="103"/>
      <c r="D138" s="101"/>
      <c r="E138" s="110" t="s">
        <v>304</v>
      </c>
      <c r="F138" s="179">
        <v>2</v>
      </c>
      <c r="G138" s="138">
        <f>IF(NOT( ISBLANK(Database[[#This Row],[Challenge Rating]])), LOOKUP(Database[Challenge Rating],ChallengeRating[Challenge Rating],ChallengeRating[XP]), "-")</f>
        <v>450</v>
      </c>
      <c r="H138" s="144" t="s">
        <v>305</v>
      </c>
      <c r="I138" s="140">
        <v>2</v>
      </c>
      <c r="J138" s="140">
        <v>6</v>
      </c>
      <c r="K138" s="140">
        <v>13</v>
      </c>
      <c r="L138" s="140">
        <v>6</v>
      </c>
      <c r="M138" s="140">
        <v>12</v>
      </c>
      <c r="N138" s="140"/>
      <c r="O138" s="140">
        <v>14</v>
      </c>
      <c r="P138" s="184"/>
      <c r="Q138" s="117"/>
      <c r="R138" s="127">
        <v>52</v>
      </c>
      <c r="S138" s="117"/>
      <c r="T138" s="106">
        <f>Database[[#This Row],[Base HP]]+Database[[#This Row],[Temp HP]]-Database[[#This Row],[Dmg Taken]]</f>
        <v>52</v>
      </c>
      <c r="U138" s="102">
        <f t="array" ref="U13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38" s="102">
        <f t="array" ref="V13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39" spans="2:22" ht="20.25" x14ac:dyDescent="0.2">
      <c r="B139" s="141"/>
      <c r="C139" s="117"/>
      <c r="D139" s="117"/>
      <c r="E139" s="109" t="s">
        <v>93</v>
      </c>
      <c r="F139" s="102">
        <v>1</v>
      </c>
      <c r="G139" s="138">
        <f>IF(NOT( ISBLANK(Database[[#This Row],[Challenge Rating]])), LOOKUP(Database[Challenge Rating],ChallengeRating[Challenge Rating],ChallengeRating[XP]), "-")</f>
        <v>200</v>
      </c>
      <c r="H139" s="144"/>
      <c r="I139" s="139">
        <v>1</v>
      </c>
      <c r="J139" s="139">
        <v>1</v>
      </c>
      <c r="K139" s="139">
        <v>10</v>
      </c>
      <c r="L139" s="139">
        <v>3</v>
      </c>
      <c r="M139" s="139">
        <v>11</v>
      </c>
      <c r="N139" s="139"/>
      <c r="O139" s="139">
        <v>11</v>
      </c>
      <c r="P139" s="184" t="s">
        <v>22</v>
      </c>
      <c r="Q139" s="117"/>
      <c r="R139" s="117">
        <v>36</v>
      </c>
      <c r="S139" s="117"/>
      <c r="T139" s="106">
        <f>Database[[#This Row],[Base HP]]+Database[[#This Row],[Temp HP]]-Database[[#This Row],[Dmg Taken]]</f>
        <v>36</v>
      </c>
      <c r="U139" s="102">
        <f t="array" ref="U13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39" s="102">
        <f t="array" ref="V13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40" spans="2:22" ht="20.25" x14ac:dyDescent="0.2">
      <c r="B140" s="141"/>
      <c r="C140" s="137"/>
      <c r="D140" s="101"/>
      <c r="E140" s="109" t="s">
        <v>401</v>
      </c>
      <c r="F140" s="102">
        <v>2</v>
      </c>
      <c r="G140" s="138">
        <f>IF(NOT( ISBLANK(Database[[#This Row],[Challenge Rating]])), LOOKUP(Database[Challenge Rating],ChallengeRating[Challenge Rating],ChallengeRating[XP]), "-")</f>
        <v>450</v>
      </c>
      <c r="H140" s="144" t="s">
        <v>400</v>
      </c>
      <c r="I140" s="139">
        <v>1</v>
      </c>
      <c r="J140" s="139">
        <v>1</v>
      </c>
      <c r="K140" s="139">
        <v>11</v>
      </c>
      <c r="L140" s="139">
        <v>5</v>
      </c>
      <c r="M140" s="139">
        <v>14</v>
      </c>
      <c r="N140" s="139"/>
      <c r="O140" s="139">
        <v>11</v>
      </c>
      <c r="P140" s="184"/>
      <c r="Q140" s="117"/>
      <c r="R140" s="117">
        <v>52</v>
      </c>
      <c r="S140" s="117"/>
      <c r="T140" s="106">
        <f>Database[[#This Row],[Base HP]]+Database[[#This Row],[Temp HP]]-Database[[#This Row],[Dmg Taken]]</f>
        <v>52</v>
      </c>
      <c r="U140" s="102">
        <f t="array" ref="U14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40" s="102">
        <f t="array" ref="V14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41" spans="2:22" ht="20.25" x14ac:dyDescent="0.2">
      <c r="B141" s="141"/>
      <c r="C141" s="137"/>
      <c r="D141" s="101"/>
      <c r="E141" s="109" t="s">
        <v>410</v>
      </c>
      <c r="F141" s="102">
        <v>4</v>
      </c>
      <c r="G141" s="138">
        <f>IF(NOT( ISBLANK(Database[[#This Row],[Challenge Rating]])), LOOKUP(Database[Challenge Rating],ChallengeRating[Challenge Rating],ChallengeRating[XP]), "-")</f>
        <v>1100</v>
      </c>
      <c r="H141" s="144" t="s">
        <v>400</v>
      </c>
      <c r="I141" s="139">
        <v>1</v>
      </c>
      <c r="J141" s="139">
        <v>1</v>
      </c>
      <c r="K141" s="139">
        <v>11</v>
      </c>
      <c r="L141" s="139">
        <v>5</v>
      </c>
      <c r="M141" s="139">
        <v>14</v>
      </c>
      <c r="N141" s="139">
        <v>13</v>
      </c>
      <c r="O141" s="139">
        <v>5</v>
      </c>
      <c r="P141" s="184"/>
      <c r="Q141" s="117"/>
      <c r="R141" s="117">
        <v>52</v>
      </c>
      <c r="S141" s="117"/>
      <c r="T141" s="106">
        <f>Database[[#This Row],[Base HP]]+Database[[#This Row],[Temp HP]]-Database[[#This Row],[Dmg Taken]]</f>
        <v>52</v>
      </c>
      <c r="U141" s="102">
        <f t="array" ref="U14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141" s="102">
        <f t="array" ref="V14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</row>
    <row r="142" spans="2:22" ht="20.25" x14ac:dyDescent="0.2">
      <c r="B142" s="141"/>
      <c r="C142" s="117"/>
      <c r="D142" s="117"/>
      <c r="E142" s="109" t="s">
        <v>67</v>
      </c>
      <c r="F142" s="102">
        <v>0.5</v>
      </c>
      <c r="G142" s="138">
        <f>IF(NOT( ISBLANK(Database[[#This Row],[Challenge Rating]])), LOOKUP(Database[Challenge Rating],ChallengeRating[Challenge Rating],ChallengeRating[XP]), "-")</f>
        <v>100</v>
      </c>
      <c r="H142" s="144"/>
      <c r="I142" s="139">
        <v>2</v>
      </c>
      <c r="J142" s="139">
        <v>6</v>
      </c>
      <c r="K142" s="139">
        <v>10</v>
      </c>
      <c r="L142" s="139">
        <v>4</v>
      </c>
      <c r="M142" s="139">
        <v>12</v>
      </c>
      <c r="N142" s="139"/>
      <c r="O142" s="139"/>
      <c r="P142" s="184" t="s">
        <v>22</v>
      </c>
      <c r="Q142" s="117"/>
      <c r="R142" s="117">
        <v>16</v>
      </c>
      <c r="S142" s="117"/>
      <c r="T142" s="106">
        <f>Database[[#This Row],[Base HP]]+Database[[#This Row],[Temp HP]]-Database[[#This Row],[Dmg Taken]]</f>
        <v>16</v>
      </c>
      <c r="U142" s="102">
        <f t="array" ref="U14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42" s="102">
        <f t="array" ref="V14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43" spans="2:22" ht="20.25" x14ac:dyDescent="0.2">
      <c r="B143" s="141"/>
      <c r="C143" s="117"/>
      <c r="D143" s="117"/>
      <c r="E143" s="109" t="s">
        <v>98</v>
      </c>
      <c r="F143" s="102">
        <v>4</v>
      </c>
      <c r="G143" s="138">
        <f>IF(NOT( ISBLANK(Database[[#This Row],[Challenge Rating]])), LOOKUP(Database[Challenge Rating],ChallengeRating[Challenge Rating],ChallengeRating[XP]), "-")</f>
        <v>1100</v>
      </c>
      <c r="H143" s="144" t="s">
        <v>290</v>
      </c>
      <c r="I143" s="139">
        <v>3</v>
      </c>
      <c r="J143" s="139">
        <v>7</v>
      </c>
      <c r="K143" s="139">
        <v>11</v>
      </c>
      <c r="L143" s="139">
        <v>5</v>
      </c>
      <c r="M143" s="139">
        <v>13</v>
      </c>
      <c r="N143" s="139"/>
      <c r="O143" s="139"/>
      <c r="P143" s="184" t="s">
        <v>22</v>
      </c>
      <c r="Q143" s="117"/>
      <c r="R143" s="117">
        <v>66</v>
      </c>
      <c r="S143" s="117"/>
      <c r="T143" s="106">
        <f>Database[[#This Row],[Base HP]]+Database[[#This Row],[Temp HP]]-Database[[#This Row],[Dmg Taken]]</f>
        <v>66</v>
      </c>
      <c r="U143" s="102">
        <f t="array" ref="U14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143" s="102">
        <f t="array" ref="V14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</row>
    <row r="144" spans="2:22" ht="20.25" x14ac:dyDescent="0.2">
      <c r="B144" s="141"/>
      <c r="C144" s="141"/>
      <c r="D144" s="141"/>
      <c r="E144" s="109" t="s">
        <v>374</v>
      </c>
      <c r="F144" s="143">
        <v>0</v>
      </c>
      <c r="G144" s="138">
        <f>IF(NOT( ISBLANK(Database[[#This Row],[Challenge Rating]])), LOOKUP(Database[Challenge Rating],ChallengeRating[Challenge Rating],ChallengeRating[XP]), "-")</f>
        <v>10</v>
      </c>
      <c r="H144" s="144" t="s">
        <v>375</v>
      </c>
      <c r="I144" s="138">
        <v>-5</v>
      </c>
      <c r="J144" s="138">
        <v>-5</v>
      </c>
      <c r="K144" s="138">
        <v>6</v>
      </c>
      <c r="L144" s="138">
        <v>0</v>
      </c>
      <c r="M144" s="138">
        <v>5</v>
      </c>
      <c r="N144" s="138"/>
      <c r="O144" s="138"/>
      <c r="P144" s="185"/>
      <c r="Q144" s="141"/>
      <c r="R144" s="141">
        <v>13</v>
      </c>
      <c r="S144" s="141"/>
      <c r="T144" s="142">
        <f>Database[[#This Row],[Base HP]]+Database[[#This Row],[Temp HP]]-Database[[#This Row],[Dmg Taken]]</f>
        <v>13</v>
      </c>
      <c r="U144" s="143">
        <f t="array" ref="U14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44" s="143">
        <f t="array" ref="V14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145" spans="2:22" ht="20.25" x14ac:dyDescent="0.2">
      <c r="B145" s="141"/>
      <c r="C145" s="117"/>
      <c r="D145" s="117"/>
      <c r="E145" s="109" t="s">
        <v>25</v>
      </c>
      <c r="F145" s="102">
        <v>0.25</v>
      </c>
      <c r="G145" s="138">
        <f>IF(NOT( ISBLANK(Database[[#This Row],[Challenge Rating]])), LOOKUP(Database[Challenge Rating],ChallengeRating[Challenge Rating],ChallengeRating[XP]), "-")</f>
        <v>50</v>
      </c>
      <c r="H145" s="144" t="s">
        <v>420</v>
      </c>
      <c r="I145" s="139">
        <v>2</v>
      </c>
      <c r="J145" s="139">
        <v>2</v>
      </c>
      <c r="K145" s="139">
        <v>9</v>
      </c>
      <c r="L145" s="139">
        <v>4</v>
      </c>
      <c r="M145" s="139">
        <v>13</v>
      </c>
      <c r="N145" s="139"/>
      <c r="O145" s="139"/>
      <c r="P145" s="184" t="s">
        <v>22</v>
      </c>
      <c r="Q145" s="117"/>
      <c r="R145" s="117">
        <v>13</v>
      </c>
      <c r="S145" s="117"/>
      <c r="T145" s="106">
        <f>Database[[#This Row],[Base HP]]+Database[[#This Row],[Temp HP]]-Database[[#This Row],[Dmg Taken]]</f>
        <v>13</v>
      </c>
      <c r="U145" s="102">
        <f t="array" ref="U14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45" s="102">
        <f t="array" ref="V14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46" spans="2:22" ht="20.25" x14ac:dyDescent="0.2">
      <c r="B146" s="141"/>
      <c r="C146" s="117"/>
      <c r="D146" s="117"/>
      <c r="E146" s="109" t="s">
        <v>55</v>
      </c>
      <c r="F146" s="102">
        <v>3</v>
      </c>
      <c r="G146" s="138">
        <f>IF(NOT( ISBLANK(Database[[#This Row],[Challenge Rating]])), LOOKUP(Database[Challenge Rating],ChallengeRating[Challenge Rating],ChallengeRating[XP]), "-")</f>
        <v>700</v>
      </c>
      <c r="H146" s="144"/>
      <c r="I146" s="182">
        <v>2</v>
      </c>
      <c r="J146" s="139">
        <v>2</v>
      </c>
      <c r="K146" s="139">
        <v>16</v>
      </c>
      <c r="L146" s="139">
        <v>1</v>
      </c>
      <c r="M146" s="139">
        <v>14</v>
      </c>
      <c r="N146" s="139"/>
      <c r="O146" s="139">
        <v>13</v>
      </c>
      <c r="P146" s="184" t="s">
        <v>22</v>
      </c>
      <c r="Q146" s="118"/>
      <c r="R146" s="117">
        <v>39</v>
      </c>
      <c r="S146" s="117"/>
      <c r="T146" s="106">
        <f>Database[[#This Row],[Base HP]]+Database[[#This Row],[Temp HP]]-Database[[#This Row],[Dmg Taken]]</f>
        <v>39</v>
      </c>
      <c r="U146" s="102">
        <f t="array" ref="U14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46" s="102">
        <f t="array" ref="V14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47" spans="2:22" ht="20.25" x14ac:dyDescent="0.2">
      <c r="B147" s="141"/>
      <c r="C147" s="117"/>
      <c r="D147" s="117"/>
      <c r="E147" s="109" t="s">
        <v>82</v>
      </c>
      <c r="F147" s="102">
        <v>1</v>
      </c>
      <c r="G147" s="138">
        <f>IF(NOT( ISBLANK(Database[[#This Row],[Challenge Rating]])), LOOKUP(Database[Challenge Rating],ChallengeRating[Challenge Rating],ChallengeRating[XP]), "-")</f>
        <v>200</v>
      </c>
      <c r="H147" s="144" t="s">
        <v>291</v>
      </c>
      <c r="I147" s="182">
        <v>2</v>
      </c>
      <c r="J147" s="139">
        <v>2</v>
      </c>
      <c r="K147" s="139">
        <v>10</v>
      </c>
      <c r="L147" s="139">
        <v>4</v>
      </c>
      <c r="M147" s="139">
        <v>12</v>
      </c>
      <c r="N147" s="139"/>
      <c r="O147" s="139">
        <v>10</v>
      </c>
      <c r="P147" s="184" t="s">
        <v>22</v>
      </c>
      <c r="Q147" s="118"/>
      <c r="R147" s="117">
        <v>22</v>
      </c>
      <c r="S147" s="117"/>
      <c r="T147" s="106">
        <f>Database[[#This Row],[Base HP]]+Database[[#This Row],[Temp HP]]-Database[[#This Row],[Dmg Taken]]</f>
        <v>22</v>
      </c>
      <c r="U147" s="102">
        <f t="array" ref="U14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47" s="102">
        <f t="array" ref="V14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48" spans="2:22" ht="20.25" x14ac:dyDescent="0.2">
      <c r="B148" s="141"/>
      <c r="C148" s="137"/>
      <c r="D148" s="101"/>
      <c r="E148" s="109" t="s">
        <v>394</v>
      </c>
      <c r="F148" s="102">
        <v>0.25</v>
      </c>
      <c r="G148" s="138">
        <f>IF(NOT( ISBLANK(Database[[#This Row],[Challenge Rating]])), LOOKUP(Database[Challenge Rating],ChallengeRating[Challenge Rating],ChallengeRating[XP]), "-")</f>
        <v>50</v>
      </c>
      <c r="H148" s="144" t="s">
        <v>400</v>
      </c>
      <c r="I148" s="182">
        <v>0</v>
      </c>
      <c r="J148" s="139">
        <v>0</v>
      </c>
      <c r="K148" s="139">
        <v>10</v>
      </c>
      <c r="L148" s="139">
        <v>2</v>
      </c>
      <c r="M148" s="139">
        <v>10</v>
      </c>
      <c r="N148" s="139"/>
      <c r="O148" s="139">
        <v>10</v>
      </c>
      <c r="P148" s="184"/>
      <c r="Q148" s="118"/>
      <c r="R148" s="117">
        <v>21</v>
      </c>
      <c r="S148" s="117"/>
      <c r="T148" s="106">
        <f>Database[[#This Row],[Base HP]]+Database[[#This Row],[Temp HP]]-Database[[#This Row],[Dmg Taken]]</f>
        <v>21</v>
      </c>
      <c r="U148" s="102">
        <f t="array" ref="U14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48" s="102">
        <f t="array" ref="V14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49" spans="2:22" ht="20.25" x14ac:dyDescent="0.2">
      <c r="B149" s="141"/>
      <c r="C149" s="117"/>
      <c r="D149" s="117"/>
      <c r="E149" s="109" t="s">
        <v>49</v>
      </c>
      <c r="F149" s="102">
        <v>0.125</v>
      </c>
      <c r="G149" s="138">
        <f>IF(NOT( ISBLANK(Database[[#This Row],[Challenge Rating]])), LOOKUP(Database[Challenge Rating],ChallengeRating[Challenge Rating],ChallengeRating[XP]), "-")</f>
        <v>25</v>
      </c>
      <c r="H149" s="144"/>
      <c r="I149" s="182">
        <v>3</v>
      </c>
      <c r="J149" s="139">
        <v>3</v>
      </c>
      <c r="K149" s="139">
        <v>9</v>
      </c>
      <c r="L149" s="139">
        <v>5</v>
      </c>
      <c r="M149" s="139">
        <v>14</v>
      </c>
      <c r="N149" s="139"/>
      <c r="O149" s="139"/>
      <c r="P149" s="184" t="s">
        <v>22</v>
      </c>
      <c r="Q149" s="118"/>
      <c r="R149" s="117">
        <v>2</v>
      </c>
      <c r="S149" s="117"/>
      <c r="T149" s="106">
        <f>Database[[#This Row],[Base HP]]+Database[[#This Row],[Temp HP]]-Database[[#This Row],[Dmg Taken]]</f>
        <v>2</v>
      </c>
      <c r="U149" s="102">
        <f t="array" ref="U14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49" s="102">
        <f t="array" ref="V14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</row>
    <row r="150" spans="2:22" ht="20.25" x14ac:dyDescent="0.2">
      <c r="B150" s="141"/>
      <c r="C150" s="117"/>
      <c r="D150" s="117"/>
      <c r="E150" s="109" t="s">
        <v>69</v>
      </c>
      <c r="F150" s="102">
        <v>0.25</v>
      </c>
      <c r="G150" s="138">
        <f>IF(NOT( ISBLANK(Database[[#This Row],[Challenge Rating]])), LOOKUP(Database[Challenge Rating],ChallengeRating[Challenge Rating],ChallengeRating[XP]), "-")</f>
        <v>50</v>
      </c>
      <c r="H150" s="144"/>
      <c r="I150" s="182">
        <v>2</v>
      </c>
      <c r="J150" s="139">
        <v>2</v>
      </c>
      <c r="K150" s="139">
        <v>11</v>
      </c>
      <c r="L150" s="139">
        <v>4</v>
      </c>
      <c r="M150" s="139">
        <v>12</v>
      </c>
      <c r="N150" s="139"/>
      <c r="O150" s="139"/>
      <c r="P150" s="184" t="s">
        <v>22</v>
      </c>
      <c r="Q150" s="118"/>
      <c r="R150" s="117">
        <v>22</v>
      </c>
      <c r="S150" s="117"/>
      <c r="T150" s="106">
        <f>Database[[#This Row],[Base HP]]+Database[[#This Row],[Temp HP]]-Database[[#This Row],[Dmg Taken]]</f>
        <v>22</v>
      </c>
      <c r="U150" s="102">
        <f t="array" ref="U15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50" s="102">
        <f t="array" ref="V15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51" spans="2:22" ht="20.25" x14ac:dyDescent="0.2">
      <c r="B151" s="141"/>
      <c r="C151" s="117"/>
      <c r="D151" s="117"/>
      <c r="E151" s="109" t="s">
        <v>68</v>
      </c>
      <c r="F151" s="102">
        <v>0.5</v>
      </c>
      <c r="G151" s="138">
        <f>IF(NOT( ISBLANK(Database[[#This Row],[Challenge Rating]])), LOOKUP(Database[Challenge Rating],ChallengeRating[Challenge Rating],ChallengeRating[XP]), "-")</f>
        <v>100</v>
      </c>
      <c r="H151" s="144"/>
      <c r="I151" s="182">
        <v>1</v>
      </c>
      <c r="J151" s="139">
        <v>1</v>
      </c>
      <c r="K151" s="139">
        <v>8</v>
      </c>
      <c r="L151" s="139">
        <v>3</v>
      </c>
      <c r="M151" s="139">
        <v>12</v>
      </c>
      <c r="N151" s="139"/>
      <c r="O151" s="139"/>
      <c r="P151" s="184" t="s">
        <v>22</v>
      </c>
      <c r="Q151" s="118"/>
      <c r="R151" s="117">
        <v>22</v>
      </c>
      <c r="S151" s="117"/>
      <c r="T151" s="106">
        <f>Database[[#This Row],[Base HP]]+Database[[#This Row],[Temp HP]]-Database[[#This Row],[Dmg Taken]]</f>
        <v>22</v>
      </c>
      <c r="U151" s="102">
        <f t="array" ref="U15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51" s="102">
        <f t="array" ref="V15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52" spans="2:22" ht="20.25" x14ac:dyDescent="0.2">
      <c r="B152" s="145"/>
      <c r="C152" s="145"/>
      <c r="D152" s="145"/>
      <c r="E152" s="147" t="s">
        <v>454</v>
      </c>
      <c r="F152" s="149"/>
      <c r="G152" s="148" t="str">
        <f>IF(NOT( ISBLANK(Database[[#This Row],[Challenge Rating]])), LOOKUP(Database[Challenge Rating],ChallengeRating[Challenge Rating],ChallengeRating[XP]), "-")</f>
        <v>-</v>
      </c>
      <c r="H152" s="144"/>
      <c r="I152" s="193"/>
      <c r="J152" s="148"/>
      <c r="K152" s="148"/>
      <c r="L152" s="148"/>
      <c r="M152" s="148"/>
      <c r="N152" s="148"/>
      <c r="O152" s="148"/>
      <c r="P152" s="185"/>
      <c r="Q152" s="136"/>
      <c r="R152" s="145"/>
      <c r="S152" s="145"/>
      <c r="T152" s="142">
        <f>Database[[#This Row],[Base HP]]+Database[[#This Row],[Temp HP]]-Database[[#This Row],[Dmg Taken]]</f>
        <v>0</v>
      </c>
      <c r="U152" s="149" t="e">
        <f t="array" ref="U15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#VALUE!</v>
      </c>
      <c r="V152" s="149">
        <f t="array" ref="V15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153" spans="2:22" ht="20.25" x14ac:dyDescent="0.2">
      <c r="B153" s="177"/>
      <c r="C153" s="103"/>
      <c r="D153" s="101"/>
      <c r="E153" s="110" t="s">
        <v>306</v>
      </c>
      <c r="F153" s="179">
        <v>5</v>
      </c>
      <c r="G153" s="138">
        <f>IF(NOT( ISBLANK(Database[[#This Row],[Challenge Rating]])), LOOKUP(Database[Challenge Rating],ChallengeRating[Challenge Rating],ChallengeRating[XP]), "-")</f>
        <v>1800</v>
      </c>
      <c r="H153" s="144" t="s">
        <v>307</v>
      </c>
      <c r="I153" s="180">
        <v>1</v>
      </c>
      <c r="J153" s="140">
        <v>1</v>
      </c>
      <c r="K153" s="140">
        <v>12</v>
      </c>
      <c r="L153" s="140">
        <v>7</v>
      </c>
      <c r="M153" s="140">
        <v>15</v>
      </c>
      <c r="N153" s="140"/>
      <c r="O153" s="140"/>
      <c r="P153" s="184"/>
      <c r="Q153" s="118"/>
      <c r="R153" s="127">
        <v>84</v>
      </c>
      <c r="S153" s="117"/>
      <c r="T153" s="106">
        <f>Database[[#This Row],[Base HP]]+Database[[#This Row],[Temp HP]]-Database[[#This Row],[Dmg Taken]]</f>
        <v>84</v>
      </c>
      <c r="U153" s="102">
        <f t="array" ref="U15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53" s="102">
        <f t="array" ref="V15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54" spans="2:22" ht="20.25" x14ac:dyDescent="0.2">
      <c r="B154" s="141"/>
      <c r="C154" s="117"/>
      <c r="D154" s="117"/>
      <c r="E154" s="109" t="s">
        <v>26</v>
      </c>
      <c r="F154" s="102">
        <v>0.125</v>
      </c>
      <c r="G154" s="138">
        <f>IF(NOT( ISBLANK(Database[[#This Row],[Challenge Rating]])), LOOKUP(Database[Challenge Rating],ChallengeRating[Challenge Rating],ChallengeRating[XP]), "-")</f>
        <v>25</v>
      </c>
      <c r="H154" s="144" t="s">
        <v>326</v>
      </c>
      <c r="I154" s="182">
        <v>1</v>
      </c>
      <c r="J154" s="139">
        <v>3</v>
      </c>
      <c r="K154" s="139">
        <v>9</v>
      </c>
      <c r="L154" s="139">
        <v>4</v>
      </c>
      <c r="M154" s="139">
        <v>13</v>
      </c>
      <c r="N154" s="139"/>
      <c r="O154" s="139"/>
      <c r="P154" s="184" t="s">
        <v>22</v>
      </c>
      <c r="Q154" s="118"/>
      <c r="R154" s="117">
        <v>4</v>
      </c>
      <c r="S154" s="117"/>
      <c r="T154" s="106">
        <f>Database[[#This Row],[Base HP]]+Database[[#This Row],[Temp HP]]-Database[[#This Row],[Dmg Taken]]</f>
        <v>4</v>
      </c>
      <c r="U154" s="102">
        <f t="array" ref="U15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54" s="102">
        <f t="array" ref="V15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</row>
    <row r="155" spans="2:22" ht="20.25" x14ac:dyDescent="0.2">
      <c r="B155" s="141"/>
      <c r="C155" s="141"/>
      <c r="D155" s="141"/>
      <c r="E155" s="109" t="s">
        <v>269</v>
      </c>
      <c r="F155" s="143">
        <v>3</v>
      </c>
      <c r="G155" s="138">
        <f>IF(NOT( ISBLANK(Database[[#This Row],[Challenge Rating]])), LOOKUP(Database[Challenge Rating],ChallengeRating[Challenge Rating],ChallengeRating[XP]), "-")</f>
        <v>700</v>
      </c>
      <c r="H155" s="144"/>
      <c r="I155" s="193">
        <v>1</v>
      </c>
      <c r="J155" s="138">
        <v>1</v>
      </c>
      <c r="K155" s="138">
        <v>12</v>
      </c>
      <c r="L155" s="138">
        <v>5</v>
      </c>
      <c r="M155" s="138">
        <v>17</v>
      </c>
      <c r="N155" s="138"/>
      <c r="O155" s="138"/>
      <c r="P155" s="185"/>
      <c r="Q155" s="136"/>
      <c r="R155" s="141">
        <v>58</v>
      </c>
      <c r="S155" s="141"/>
      <c r="T155" s="142">
        <f>Database[[#This Row],[Base HP]]+Database[[#This Row],[Temp HP]]-Database[[#This Row],[Dmg Taken]]</f>
        <v>58</v>
      </c>
      <c r="U155" s="143">
        <f t="array" ref="U15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55" s="143">
        <f t="array" ref="V15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56" spans="2:22" ht="20.25" x14ac:dyDescent="0.2">
      <c r="B156" s="177"/>
      <c r="C156" s="103"/>
      <c r="D156" s="101"/>
      <c r="E156" s="110" t="s">
        <v>327</v>
      </c>
      <c r="F156" s="179">
        <v>0.5</v>
      </c>
      <c r="G156" s="138">
        <f>IF(NOT( ISBLANK(Database[[#This Row],[Challenge Rating]])), LOOKUP(Database[Challenge Rating],ChallengeRating[Challenge Rating],ChallengeRating[XP]), "-")</f>
        <v>100</v>
      </c>
      <c r="H156" s="144" t="s">
        <v>326</v>
      </c>
      <c r="I156" s="180">
        <v>-1</v>
      </c>
      <c r="J156" s="140">
        <v>1</v>
      </c>
      <c r="K156" s="140">
        <v>10</v>
      </c>
      <c r="L156" s="140">
        <v>4</v>
      </c>
      <c r="M156" s="140">
        <v>12</v>
      </c>
      <c r="N156" s="140"/>
      <c r="O156" s="140">
        <v>12</v>
      </c>
      <c r="P156" s="184"/>
      <c r="Q156" s="118"/>
      <c r="R156" s="127">
        <v>26</v>
      </c>
      <c r="S156" s="117"/>
      <c r="T156" s="106">
        <f>Database[[#This Row],[Base HP]]+Database[[#This Row],[Temp HP]]-Database[[#This Row],[Dmg Taken]]</f>
        <v>26</v>
      </c>
      <c r="U156" s="102">
        <f t="array" ref="U15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56" s="102">
        <f t="array" ref="V15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57" spans="2:22" ht="20.25" x14ac:dyDescent="0.2">
      <c r="B157" s="177"/>
      <c r="C157" s="177"/>
      <c r="D157" s="141"/>
      <c r="E157" s="110" t="s">
        <v>377</v>
      </c>
      <c r="F157" s="181">
        <v>0.25</v>
      </c>
      <c r="G157" s="138">
        <f>IF(NOT( ISBLANK(Database[[#This Row],[Challenge Rating]])), LOOKUP(Database[Challenge Rating],ChallengeRating[Challenge Rating],ChallengeRating[XP]), "-")</f>
        <v>50</v>
      </c>
      <c r="H157" s="144" t="s">
        <v>375</v>
      </c>
      <c r="I157" s="192">
        <v>-5</v>
      </c>
      <c r="J157" s="176">
        <v>-5</v>
      </c>
      <c r="K157" s="176">
        <v>6</v>
      </c>
      <c r="L157" s="176">
        <v>2</v>
      </c>
      <c r="M157" s="176">
        <v>5</v>
      </c>
      <c r="N157" s="176"/>
      <c r="O157" s="176"/>
      <c r="P157" s="185"/>
      <c r="Q157" s="136"/>
      <c r="R157" s="177">
        <v>18</v>
      </c>
      <c r="S157" s="141"/>
      <c r="T157" s="142">
        <f>Database[[#This Row],[Base HP]]+Database[[#This Row],[Temp HP]]-Database[[#This Row],[Dmg Taken]]</f>
        <v>18</v>
      </c>
      <c r="U157" s="143">
        <f t="array" ref="U15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57" s="143">
        <f t="array" ref="V15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58" spans="2:22" ht="20.25" x14ac:dyDescent="0.2">
      <c r="B158" s="177"/>
      <c r="C158" s="103"/>
      <c r="D158" s="101"/>
      <c r="E158" s="110" t="s">
        <v>345</v>
      </c>
      <c r="F158" s="179">
        <v>0</v>
      </c>
      <c r="G158" s="138">
        <f>IF(NOT( ISBLANK(Database[[#This Row],[Challenge Rating]])), LOOKUP(Database[Challenge Rating],ChallengeRating[Challenge Rating],ChallengeRating[XP]), "-")</f>
        <v>10</v>
      </c>
      <c r="H158" s="144" t="s">
        <v>346</v>
      </c>
      <c r="I158" s="180">
        <v>0</v>
      </c>
      <c r="J158" s="140">
        <v>0</v>
      </c>
      <c r="K158" s="140">
        <v>13</v>
      </c>
      <c r="L158" s="140">
        <v>2</v>
      </c>
      <c r="M158" s="140">
        <v>10</v>
      </c>
      <c r="N158" s="140"/>
      <c r="O158" s="140"/>
      <c r="P158" s="184"/>
      <c r="Q158" s="118"/>
      <c r="R158" s="127">
        <v>5</v>
      </c>
      <c r="S158" s="117"/>
      <c r="T158" s="106">
        <f>Database[[#This Row],[Base HP]]+Database[[#This Row],[Temp HP]]-Database[[#This Row],[Dmg Taken]]</f>
        <v>5</v>
      </c>
      <c r="U158" s="102">
        <f t="array" ref="U15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58" s="102">
        <f t="array" ref="V15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159" spans="2:22" ht="20.25" x14ac:dyDescent="0.2">
      <c r="B159" s="141"/>
      <c r="C159" s="137"/>
      <c r="D159" s="101"/>
      <c r="E159" s="109" t="s">
        <v>391</v>
      </c>
      <c r="F159" s="102">
        <v>5</v>
      </c>
      <c r="G159" s="138">
        <f>IF(NOT( ISBLANK(Database[[#This Row],[Challenge Rating]])), LOOKUP(Database[Challenge Rating],ChallengeRating[Challenge Rating],ChallengeRating[XP]), "-")</f>
        <v>1800</v>
      </c>
      <c r="H159" s="144" t="s">
        <v>390</v>
      </c>
      <c r="I159" s="182">
        <v>-2</v>
      </c>
      <c r="J159" s="139">
        <v>-2</v>
      </c>
      <c r="K159" s="139">
        <v>10</v>
      </c>
      <c r="L159" s="139">
        <v>7</v>
      </c>
      <c r="M159" s="139">
        <v>14</v>
      </c>
      <c r="N159" s="139"/>
      <c r="O159" s="139">
        <v>15</v>
      </c>
      <c r="P159" s="184"/>
      <c r="Q159" s="118"/>
      <c r="R159" s="117">
        <v>114</v>
      </c>
      <c r="S159" s="117"/>
      <c r="T159" s="106">
        <f>Database[[#This Row],[Base HP]]+Database[[#This Row],[Temp HP]]-Database[[#This Row],[Dmg Taken]]</f>
        <v>114</v>
      </c>
      <c r="U159" s="102">
        <f t="array" ref="U15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59" s="102">
        <f t="array" ref="V15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60" spans="2:22" ht="20.25" x14ac:dyDescent="0.2">
      <c r="B160" s="141"/>
      <c r="C160" s="137"/>
      <c r="D160" s="101"/>
      <c r="E160" s="109" t="s">
        <v>388</v>
      </c>
      <c r="F160" s="102">
        <v>3</v>
      </c>
      <c r="G160" s="138">
        <f>IF(NOT( ISBLANK(Database[[#This Row],[Challenge Rating]])), LOOKUP(Database[Challenge Rating],ChallengeRating[Challenge Rating],ChallengeRating[XP]), "-")</f>
        <v>700</v>
      </c>
      <c r="H160" s="144" t="s">
        <v>389</v>
      </c>
      <c r="I160" s="182">
        <v>3</v>
      </c>
      <c r="J160" s="139">
        <v>3</v>
      </c>
      <c r="K160" s="139">
        <v>10</v>
      </c>
      <c r="L160" s="139">
        <v>5</v>
      </c>
      <c r="M160" s="139">
        <v>13</v>
      </c>
      <c r="N160" s="139"/>
      <c r="O160" s="139">
        <v>13</v>
      </c>
      <c r="P160" s="184"/>
      <c r="Q160" s="118"/>
      <c r="R160" s="117">
        <v>58</v>
      </c>
      <c r="S160" s="117"/>
      <c r="T160" s="106">
        <f>Database[[#This Row],[Base HP]]+Database[[#This Row],[Temp HP]]-Database[[#This Row],[Dmg Taken]]</f>
        <v>58</v>
      </c>
      <c r="U160" s="102">
        <f t="array" ref="U16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60" s="102">
        <f t="array" ref="V16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61" spans="2:22" ht="20.25" x14ac:dyDescent="0.2">
      <c r="B161" s="141"/>
      <c r="C161" s="117"/>
      <c r="D161" s="117"/>
      <c r="E161" s="109" t="s">
        <v>97</v>
      </c>
      <c r="F161" s="102">
        <v>3</v>
      </c>
      <c r="G161" s="138">
        <f>IF(NOT( ISBLANK(Database[[#This Row],[Challenge Rating]])), LOOKUP(Database[Challenge Rating],ChallengeRating[Challenge Rating],ChallengeRating[XP]), "-")</f>
        <v>700</v>
      </c>
      <c r="H161" s="144"/>
      <c r="I161" s="182">
        <v>1</v>
      </c>
      <c r="J161" s="139">
        <v>1</v>
      </c>
      <c r="K161" s="139">
        <v>14</v>
      </c>
      <c r="L161" s="139">
        <v>4</v>
      </c>
      <c r="M161" s="139">
        <v>11</v>
      </c>
      <c r="N161" s="139"/>
      <c r="O161" s="139">
        <v>12</v>
      </c>
      <c r="P161" s="184" t="s">
        <v>22</v>
      </c>
      <c r="Q161" s="118"/>
      <c r="R161" s="117">
        <v>58</v>
      </c>
      <c r="S161" s="117"/>
      <c r="T161" s="106">
        <f>Database[[#This Row],[Base HP]]+Database[[#This Row],[Temp HP]]-Database[[#This Row],[Dmg Taken]]</f>
        <v>58</v>
      </c>
      <c r="U161" s="102">
        <f t="array" ref="U16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61" s="102">
        <f t="array" ref="V16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62" spans="2:22" ht="20.25" x14ac:dyDescent="0.2">
      <c r="B162" s="141"/>
      <c r="C162" s="117"/>
      <c r="D162" s="117"/>
      <c r="E162" s="109" t="s">
        <v>80</v>
      </c>
      <c r="F162" s="102">
        <v>3</v>
      </c>
      <c r="G162" s="138">
        <f>IF(NOT( ISBLANK(Database[[#This Row],[Challenge Rating]])), LOOKUP(Database[Challenge Rating],ChallengeRating[Challenge Rating],ChallengeRating[XP]), "-")</f>
        <v>700</v>
      </c>
      <c r="H162" s="144" t="s">
        <v>292</v>
      </c>
      <c r="I162" s="182">
        <v>2</v>
      </c>
      <c r="J162" s="139">
        <v>4</v>
      </c>
      <c r="K162" s="139">
        <v>13</v>
      </c>
      <c r="L162" s="139">
        <v>4</v>
      </c>
      <c r="M162" s="139">
        <v>14</v>
      </c>
      <c r="N162" s="139"/>
      <c r="O162" s="139">
        <v>13</v>
      </c>
      <c r="P162" s="184" t="s">
        <v>22</v>
      </c>
      <c r="Q162" s="118"/>
      <c r="R162" s="117">
        <v>45</v>
      </c>
      <c r="S162" s="117"/>
      <c r="T162" s="106">
        <f>Database[[#This Row],[Base HP]]+Database[[#This Row],[Temp HP]]-Database[[#This Row],[Dmg Taken]]</f>
        <v>45</v>
      </c>
      <c r="U162" s="102">
        <f t="array" ref="U16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62" s="102">
        <f t="array" ref="V16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63" spans="2:22" ht="20.25" x14ac:dyDescent="0.2">
      <c r="B163" s="177"/>
      <c r="C163" s="103"/>
      <c r="D163" s="101"/>
      <c r="E163" s="110" t="s">
        <v>301</v>
      </c>
      <c r="F163" s="179">
        <v>3</v>
      </c>
      <c r="G163" s="138">
        <f>IF(NOT( ISBLANK(Database[[#This Row],[Challenge Rating]])), LOOKUP(Database[Challenge Rating],ChallengeRating[Challenge Rating],ChallengeRating[XP]), "-")</f>
        <v>700</v>
      </c>
      <c r="H163" s="144" t="s">
        <v>302</v>
      </c>
      <c r="I163" s="180">
        <v>1</v>
      </c>
      <c r="J163" s="140">
        <v>3</v>
      </c>
      <c r="K163" s="140">
        <v>15</v>
      </c>
      <c r="L163" s="140">
        <v>6</v>
      </c>
      <c r="M163" s="140">
        <v>13</v>
      </c>
      <c r="N163" s="140"/>
      <c r="O163" s="176" t="s">
        <v>303</v>
      </c>
      <c r="P163" s="184"/>
      <c r="Q163" s="118"/>
      <c r="R163" s="127">
        <v>75</v>
      </c>
      <c r="S163" s="117"/>
      <c r="T163" s="106">
        <f>Database[[#This Row],[Base HP]]+Database[[#This Row],[Temp HP]]-Database[[#This Row],[Dmg Taken]]</f>
        <v>75</v>
      </c>
      <c r="U163" s="102">
        <f t="array" ref="U16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63" s="102">
        <f t="array" ref="V16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64" spans="2:22" ht="20.25" x14ac:dyDescent="0.2">
      <c r="B164" s="141"/>
      <c r="C164" s="117"/>
      <c r="D164" s="117"/>
      <c r="E164" s="109" t="s">
        <v>9</v>
      </c>
      <c r="F164" s="102">
        <v>0.25</v>
      </c>
      <c r="G164" s="138">
        <f>IF(NOT( ISBLANK(Database[[#This Row],[Challenge Rating]])), LOOKUP(Database[Challenge Rating],ChallengeRating[Challenge Rating],ChallengeRating[XP]), "-")</f>
        <v>50</v>
      </c>
      <c r="H164" s="144"/>
      <c r="I164" s="182">
        <v>2</v>
      </c>
      <c r="J164" s="139">
        <v>4</v>
      </c>
      <c r="K164" s="139">
        <v>13</v>
      </c>
      <c r="L164" s="139">
        <v>4</v>
      </c>
      <c r="M164" s="139">
        <v>13</v>
      </c>
      <c r="N164" s="139"/>
      <c r="O164" s="139"/>
      <c r="P164" s="184" t="s">
        <v>22</v>
      </c>
      <c r="Q164" s="118"/>
      <c r="R164" s="117">
        <v>11</v>
      </c>
      <c r="S164" s="117"/>
      <c r="T164" s="106">
        <f>Database[[#This Row],[Base HP]]+Database[[#This Row],[Temp HP]]-Database[[#This Row],[Dmg Taken]]</f>
        <v>11</v>
      </c>
      <c r="U164" s="102">
        <f t="array" ref="U16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64" s="102">
        <f t="array" ref="V16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65" spans="2:22" ht="20.25" x14ac:dyDescent="0.2">
      <c r="B165" s="141"/>
      <c r="C165" s="117"/>
      <c r="D165" s="117"/>
      <c r="E165" s="109" t="s">
        <v>458</v>
      </c>
      <c r="F165" s="102">
        <v>0.5</v>
      </c>
      <c r="G165" s="138">
        <f>IF(NOT( ISBLANK(Database[[#This Row],[Challenge Rating]])), LOOKUP(Database[Challenge Rating],ChallengeRating[Challenge Rating],ChallengeRating[XP]), "-")</f>
        <v>100</v>
      </c>
      <c r="H165" s="144" t="s">
        <v>461</v>
      </c>
      <c r="I165" s="182">
        <v>1</v>
      </c>
      <c r="J165" s="139">
        <v>1</v>
      </c>
      <c r="K165" s="139">
        <v>14</v>
      </c>
      <c r="L165" s="139">
        <v>5</v>
      </c>
      <c r="M165" s="139">
        <v>13</v>
      </c>
      <c r="N165" s="139"/>
      <c r="O165" s="139">
        <v>13</v>
      </c>
      <c r="P165" s="184"/>
      <c r="Q165" s="118"/>
      <c r="R165" s="117">
        <v>26</v>
      </c>
      <c r="S165" s="117"/>
      <c r="T165" s="106">
        <f>Database[[#This Row],[Base HP]]+Database[[#This Row],[Temp HP]]-Database[[#This Row],[Dmg Taken]]</f>
        <v>26</v>
      </c>
      <c r="U165" s="102">
        <f t="array" ref="U16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65" s="102">
        <f t="array" ref="V16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66" spans="2:22" ht="20.25" x14ac:dyDescent="0.2">
      <c r="B166" s="141"/>
      <c r="C166" s="137"/>
      <c r="D166" s="101"/>
      <c r="E166" s="109" t="s">
        <v>59</v>
      </c>
      <c r="F166" s="102">
        <v>5</v>
      </c>
      <c r="G166" s="138">
        <f>IF(NOT( ISBLANK(Database[[#This Row],[Challenge Rating]])), LOOKUP(Database[Challenge Rating],ChallengeRating[Challenge Rating],ChallengeRating[XP]), "-")</f>
        <v>1800</v>
      </c>
      <c r="H166" s="144" t="s">
        <v>402</v>
      </c>
      <c r="I166" s="182">
        <v>3</v>
      </c>
      <c r="J166" s="139">
        <v>3</v>
      </c>
      <c r="K166" s="139">
        <v>12</v>
      </c>
      <c r="L166" s="139">
        <v>6</v>
      </c>
      <c r="M166" s="139">
        <v>13</v>
      </c>
      <c r="N166" s="139"/>
      <c r="O166" s="139">
        <v>14</v>
      </c>
      <c r="P166" s="184"/>
      <c r="Q166" s="118"/>
      <c r="R166" s="117">
        <v>67</v>
      </c>
      <c r="S166" s="117"/>
      <c r="T166" s="106">
        <f>Database[[#This Row],[Base HP]]+Database[[#This Row],[Temp HP]]-Database[[#This Row],[Dmg Taken]]</f>
        <v>67</v>
      </c>
      <c r="U166" s="102">
        <f t="array" ref="U16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66" s="102">
        <f t="array" ref="V16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67" spans="2:22" ht="20.25" x14ac:dyDescent="0.2">
      <c r="B167" s="141"/>
      <c r="C167" s="117"/>
      <c r="D167" s="117"/>
      <c r="E167" s="109" t="s">
        <v>59</v>
      </c>
      <c r="F167" s="102">
        <v>5</v>
      </c>
      <c r="G167" s="138">
        <f>IF(NOT( ISBLANK(Database[[#This Row],[Challenge Rating]])), LOOKUP(Database[Challenge Rating],ChallengeRating[Challenge Rating],ChallengeRating[XP]), "-")</f>
        <v>1800</v>
      </c>
      <c r="H167" s="144"/>
      <c r="I167" s="182">
        <v>3</v>
      </c>
      <c r="J167" s="139">
        <v>3</v>
      </c>
      <c r="K167" s="139">
        <v>12</v>
      </c>
      <c r="L167" s="139">
        <v>6</v>
      </c>
      <c r="M167" s="139">
        <v>13</v>
      </c>
      <c r="N167" s="139"/>
      <c r="O167" s="139">
        <v>14</v>
      </c>
      <c r="P167" s="184" t="s">
        <v>22</v>
      </c>
      <c r="Q167" s="118"/>
      <c r="R167" s="117">
        <v>67</v>
      </c>
      <c r="S167" s="117"/>
      <c r="T167" s="106">
        <f>Database[[#This Row],[Base HP]]+Database[[#This Row],[Temp HP]]-Database[[#This Row],[Dmg Taken]]</f>
        <v>67</v>
      </c>
      <c r="U167" s="102">
        <f t="array" ref="U16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67" s="102">
        <f t="array" ref="V16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68" spans="2:22" ht="20.25" x14ac:dyDescent="0.2">
      <c r="B168" s="141"/>
      <c r="C168" s="137"/>
      <c r="D168" s="101"/>
      <c r="E168" s="109" t="s">
        <v>395</v>
      </c>
      <c r="F168" s="102">
        <v>3</v>
      </c>
      <c r="G168" s="138">
        <f>IF(NOT( ISBLANK(Database[[#This Row],[Challenge Rating]])), LOOKUP(Database[Challenge Rating],ChallengeRating[Challenge Rating],ChallengeRating[XP]), "-")</f>
        <v>700</v>
      </c>
      <c r="H168" s="144" t="s">
        <v>396</v>
      </c>
      <c r="I168" s="182">
        <v>1</v>
      </c>
      <c r="J168" s="139">
        <v>3</v>
      </c>
      <c r="K168" s="139">
        <v>13</v>
      </c>
      <c r="L168" s="139">
        <v>6</v>
      </c>
      <c r="M168" s="139">
        <v>12</v>
      </c>
      <c r="N168" s="139"/>
      <c r="O168" s="139">
        <v>13</v>
      </c>
      <c r="P168" s="184"/>
      <c r="Q168" s="118"/>
      <c r="R168" s="117">
        <v>51</v>
      </c>
      <c r="S168" s="117"/>
      <c r="T168" s="106">
        <f>Database[[#This Row],[Base HP]]+Database[[#This Row],[Temp HP]]-Database[[#This Row],[Dmg Taken]]</f>
        <v>51</v>
      </c>
      <c r="U168" s="102">
        <f t="array" ref="U16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68" s="102">
        <f t="array" ref="V16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69" spans="2:22" ht="20.25" x14ac:dyDescent="0.2">
      <c r="B169" s="141"/>
      <c r="C169" s="117"/>
      <c r="D169" s="117"/>
      <c r="E169" s="109" t="s">
        <v>30</v>
      </c>
      <c r="F169" s="102">
        <v>8</v>
      </c>
      <c r="G169" s="138">
        <f>IF(NOT( ISBLANK(Database[[#This Row],[Challenge Rating]])), LOOKUP(Database[Challenge Rating],ChallengeRating[Challenge Rating],ChallengeRating[XP]), "-")</f>
        <v>3900</v>
      </c>
      <c r="H169" s="144"/>
      <c r="I169" s="182">
        <v>1</v>
      </c>
      <c r="J169" s="139">
        <v>4</v>
      </c>
      <c r="K169" s="139">
        <v>17</v>
      </c>
      <c r="L169" s="139">
        <v>7</v>
      </c>
      <c r="M169" s="139">
        <v>18</v>
      </c>
      <c r="N169" s="139"/>
      <c r="O169" s="139">
        <v>14</v>
      </c>
      <c r="P169" s="184" t="s">
        <v>22</v>
      </c>
      <c r="Q169" s="118"/>
      <c r="R169" s="117">
        <v>136</v>
      </c>
      <c r="S169" s="117"/>
      <c r="T169" s="106">
        <f>Database[[#This Row],[Base HP]]+Database[[#This Row],[Temp HP]]-Database[[#This Row],[Dmg Taken]]</f>
        <v>136</v>
      </c>
      <c r="U169" s="102">
        <f t="array" ref="U16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17</v>
      </c>
      <c r="V169" s="102">
        <f t="array" ref="V16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8</v>
      </c>
    </row>
    <row r="170" spans="2:22" ht="20.25" x14ac:dyDescent="0.2">
      <c r="B170" s="177"/>
      <c r="C170" s="103"/>
      <c r="D170" s="101"/>
      <c r="E170" s="110" t="s">
        <v>310</v>
      </c>
      <c r="F170" s="179">
        <v>5</v>
      </c>
      <c r="G170" s="138">
        <f>IF(NOT( ISBLANK(Database[[#This Row],[Challenge Rating]])), LOOKUP(Database[Challenge Rating],ChallengeRating[Challenge Rating],ChallengeRating[XP]), "-")</f>
        <v>1800</v>
      </c>
      <c r="H170" s="144" t="s">
        <v>311</v>
      </c>
      <c r="I170" s="180">
        <v>1</v>
      </c>
      <c r="J170" s="140">
        <v>1</v>
      </c>
      <c r="K170" s="140">
        <v>10</v>
      </c>
      <c r="L170" s="140">
        <v>6</v>
      </c>
      <c r="M170" s="140">
        <v>14</v>
      </c>
      <c r="N170" s="140"/>
      <c r="O170" s="140"/>
      <c r="P170" s="184"/>
      <c r="Q170" s="118"/>
      <c r="R170" s="127">
        <v>93</v>
      </c>
      <c r="S170" s="117"/>
      <c r="T170" s="106">
        <f>Database[[#This Row],[Base HP]]+Database[[#This Row],[Temp HP]]-Database[[#This Row],[Dmg Taken]]</f>
        <v>93</v>
      </c>
      <c r="U170" s="102">
        <f t="array" ref="U17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70" s="102">
        <f t="array" ref="V17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71" spans="2:22" ht="20.25" x14ac:dyDescent="0.2">
      <c r="B171" s="141"/>
      <c r="C171" s="117"/>
      <c r="D171" s="117"/>
      <c r="E171" s="109" t="s">
        <v>27</v>
      </c>
      <c r="F171" s="102">
        <v>0.25</v>
      </c>
      <c r="G171" s="138">
        <f>IF(NOT( ISBLANK(Database[[#This Row],[Challenge Rating]])), LOOKUP(Database[Challenge Rating],ChallengeRating[Challenge Rating],ChallengeRating[XP]), "-")</f>
        <v>50</v>
      </c>
      <c r="H171" s="144" t="s">
        <v>288</v>
      </c>
      <c r="I171" s="182">
        <v>-2</v>
      </c>
      <c r="J171" s="139">
        <v>-2</v>
      </c>
      <c r="K171" s="139">
        <v>8</v>
      </c>
      <c r="L171" s="139">
        <v>3</v>
      </c>
      <c r="M171" s="139">
        <v>8</v>
      </c>
      <c r="N171" s="139"/>
      <c r="O171" s="139"/>
      <c r="P171" s="184" t="s">
        <v>22</v>
      </c>
      <c r="Q171" s="118"/>
      <c r="R171" s="117">
        <v>22</v>
      </c>
      <c r="S171" s="117"/>
      <c r="T171" s="106">
        <f>Database[[#This Row],[Base HP]]+Database[[#This Row],[Temp HP]]-Database[[#This Row],[Dmg Taken]]</f>
        <v>22</v>
      </c>
      <c r="U171" s="102">
        <f t="array" ref="U17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71" s="102">
        <f t="array" ref="V17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</sheetData>
  <dataConsolidate/>
  <mergeCells count="1">
    <mergeCell ref="B2:V2"/>
  </mergeCells>
  <conditionalFormatting sqref="B4:V145">
    <cfRule type="expression" dxfId="177" priority="4">
      <formula>ROUND($T4,0)&lt;1</formula>
    </cfRule>
    <cfRule type="expression" dxfId="176" priority="5">
      <formula>$C4="NPC"</formula>
    </cfRule>
    <cfRule type="expression" dxfId="175" priority="6">
      <formula>NOT(ISBLANK($C4))</formula>
    </cfRule>
  </conditionalFormatting>
  <pageMargins left="0.7" right="0.7" top="0.75" bottom="0.75" header="0.3" footer="0.3"/>
  <pageSetup orientation="portrait" horizontalDpi="4294967293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58624-9730-467C-B444-040BD34F462D}">
  <sheetPr codeName="Sheet3"/>
  <dimension ref="B1:CI92"/>
  <sheetViews>
    <sheetView topLeftCell="B1" zoomScaleNormal="100" workbookViewId="0">
      <selection activeCell="M13" sqref="M13"/>
    </sheetView>
  </sheetViews>
  <sheetFormatPr defaultColWidth="8.88671875" defaultRowHeight="15" x14ac:dyDescent="0.2"/>
  <cols>
    <col min="1" max="1" width="8.88671875" style="35"/>
    <col min="2" max="2" width="25" style="35" bestFit="1" customWidth="1"/>
    <col min="3" max="3" width="9.88671875" style="35" bestFit="1" customWidth="1"/>
    <col min="4" max="4" width="7.6640625" style="35" bestFit="1" customWidth="1"/>
    <col min="5" max="9" width="8.44140625" style="35" bestFit="1" customWidth="1"/>
    <col min="10" max="10" width="4" style="35" customWidth="1"/>
    <col min="11" max="11" width="3.44140625" style="35" customWidth="1"/>
    <col min="12" max="12" width="13.88671875" style="35" customWidth="1"/>
    <col min="13" max="13" width="14.5546875" style="35" customWidth="1"/>
    <col min="14" max="14" width="6.44140625" style="35" customWidth="1"/>
    <col min="15" max="15" width="6.44140625" style="35" hidden="1" customWidth="1"/>
    <col min="16" max="17" width="10" style="35" hidden="1" customWidth="1"/>
    <col min="18" max="18" width="8.88671875" style="35" hidden="1" customWidth="1"/>
    <col min="19" max="19" width="28.6640625" style="35" hidden="1" customWidth="1"/>
    <col min="20" max="20" width="10.88671875" style="35" hidden="1" customWidth="1"/>
    <col min="21" max="21" width="10" style="35" customWidth="1"/>
    <col min="22" max="22" width="12.6640625" style="76" customWidth="1"/>
    <col min="23" max="23" width="6" style="35" customWidth="1"/>
    <col min="24" max="24" width="8.77734375" style="35" customWidth="1"/>
    <col min="25" max="25" width="5.88671875" style="35" customWidth="1"/>
    <col min="26" max="26" width="7.88671875" style="35" customWidth="1"/>
    <col min="27" max="27" width="15.6640625" style="35" customWidth="1"/>
    <col min="28" max="28" width="18.5546875" style="35" customWidth="1"/>
    <col min="29" max="29" width="15.5546875" style="35" customWidth="1"/>
    <col min="30" max="30" width="17.6640625" style="35" customWidth="1"/>
    <col min="31" max="31" width="18.88671875" style="35" customWidth="1"/>
    <col min="32" max="32" width="8.88671875" style="35" hidden="1" customWidth="1"/>
    <col min="33" max="33" width="10" style="35" hidden="1" customWidth="1"/>
    <col min="34" max="34" width="12.77734375" style="35" hidden="1" customWidth="1"/>
    <col min="35" max="35" width="9.88671875" style="35" hidden="1" customWidth="1"/>
    <col min="36" max="36" width="11.88671875" style="35" hidden="1" customWidth="1"/>
    <col min="37" max="37" width="8.77734375" style="35" hidden="1" customWidth="1"/>
    <col min="38" max="38" width="11.5546875" style="35" hidden="1" customWidth="1"/>
    <col min="39" max="39" width="8.6640625" style="35" hidden="1" customWidth="1"/>
    <col min="40" max="40" width="10.6640625" style="35" hidden="1" customWidth="1"/>
    <col min="41" max="41" width="18.5546875" style="35" hidden="1" customWidth="1"/>
    <col min="42" max="42" width="21.33203125" style="35" hidden="1" customWidth="1"/>
    <col min="43" max="43" width="18.44140625" style="35" hidden="1" customWidth="1"/>
    <col min="44" max="44" width="20.44140625" style="35" hidden="1" customWidth="1"/>
    <col min="45" max="45" width="21.77734375" style="35" customWidth="1"/>
    <col min="46" max="46" width="8.88671875" style="35" hidden="1" customWidth="1"/>
    <col min="47" max="47" width="10" style="35" hidden="1" customWidth="1"/>
    <col min="48" max="48" width="12.77734375" style="35" hidden="1" customWidth="1"/>
    <col min="49" max="49" width="9.88671875" style="35" hidden="1" customWidth="1"/>
    <col min="50" max="50" width="11.88671875" style="35" hidden="1" customWidth="1"/>
    <col min="51" max="51" width="8.77734375" style="35" hidden="1" customWidth="1"/>
    <col min="52" max="52" width="11.5546875" style="35" hidden="1" customWidth="1"/>
    <col min="53" max="53" width="8.6640625" style="35" hidden="1" customWidth="1"/>
    <col min="54" max="54" width="10.6640625" style="35" hidden="1" customWidth="1"/>
    <col min="55" max="55" width="18.5546875" style="35" hidden="1" customWidth="1"/>
    <col min="56" max="56" width="21.33203125" style="35" hidden="1" customWidth="1"/>
    <col min="57" max="57" width="18.44140625" style="35" hidden="1" customWidth="1"/>
    <col min="58" max="58" width="20.44140625" style="35" hidden="1" customWidth="1"/>
    <col min="59" max="59" width="21.77734375" style="35" customWidth="1"/>
    <col min="60" max="60" width="8.88671875" style="35" hidden="1" customWidth="1"/>
    <col min="61" max="61" width="10" style="35" hidden="1" customWidth="1"/>
    <col min="62" max="62" width="12.77734375" style="35" hidden="1" customWidth="1"/>
    <col min="63" max="63" width="9.88671875" style="35" hidden="1" customWidth="1"/>
    <col min="64" max="64" width="11.88671875" style="35" hidden="1" customWidth="1"/>
    <col min="65" max="65" width="8.77734375" style="35" hidden="1" customWidth="1"/>
    <col min="66" max="66" width="11.5546875" style="35" hidden="1" customWidth="1"/>
    <col min="67" max="67" width="8.6640625" style="35" hidden="1" customWidth="1"/>
    <col min="68" max="68" width="10.6640625" style="35" hidden="1" customWidth="1"/>
    <col min="69" max="69" width="18.5546875" style="35" hidden="1" customWidth="1"/>
    <col min="70" max="70" width="21.33203125" style="35" hidden="1" customWidth="1"/>
    <col min="71" max="71" width="18.44140625" style="35" hidden="1" customWidth="1"/>
    <col min="72" max="72" width="20.44140625" style="35" hidden="1" customWidth="1"/>
    <col min="73" max="73" width="21.77734375" style="35" customWidth="1"/>
    <col min="74" max="74" width="8.88671875" style="35" hidden="1" customWidth="1"/>
    <col min="75" max="75" width="10" style="35" hidden="1" customWidth="1"/>
    <col min="76" max="76" width="12.77734375" style="35" hidden="1" customWidth="1"/>
    <col min="77" max="77" width="9.88671875" style="35" hidden="1" customWidth="1"/>
    <col min="78" max="78" width="11.88671875" style="35" hidden="1" customWidth="1"/>
    <col min="79" max="79" width="8.77734375" style="35" hidden="1" customWidth="1"/>
    <col min="80" max="80" width="11.5546875" style="35" hidden="1" customWidth="1"/>
    <col min="81" max="81" width="8.6640625" style="35" hidden="1" customWidth="1"/>
    <col min="82" max="82" width="10.6640625" style="35" hidden="1" customWidth="1"/>
    <col min="83" max="83" width="18.5546875" style="35" hidden="1" customWidth="1"/>
    <col min="84" max="84" width="21.33203125" style="35" hidden="1" customWidth="1"/>
    <col min="85" max="85" width="18.44140625" style="35" hidden="1" customWidth="1"/>
    <col min="86" max="86" width="20.44140625" style="35" hidden="1" customWidth="1"/>
    <col min="87" max="87" width="21.77734375" style="35" customWidth="1"/>
    <col min="88" max="16384" width="8.88671875" style="35"/>
  </cols>
  <sheetData>
    <row r="1" spans="2:87" ht="15.75" thickBot="1" x14ac:dyDescent="0.25"/>
    <row r="2" spans="2:87" ht="48" thickBot="1" x14ac:dyDescent="0.25">
      <c r="B2" s="84" t="s">
        <v>144</v>
      </c>
      <c r="C2" s="85" t="s">
        <v>222</v>
      </c>
      <c r="D2" s="86" t="s">
        <v>210</v>
      </c>
      <c r="E2" s="87" t="s">
        <v>211</v>
      </c>
      <c r="F2" s="87" t="s">
        <v>214</v>
      </c>
      <c r="G2" s="87" t="s">
        <v>213</v>
      </c>
      <c r="H2" s="87" t="s">
        <v>212</v>
      </c>
      <c r="I2" s="87" t="s">
        <v>233</v>
      </c>
      <c r="J2" s="87"/>
      <c r="L2" s="225" t="s">
        <v>215</v>
      </c>
      <c r="M2" s="226"/>
      <c r="N2" s="226"/>
      <c r="O2" s="226"/>
      <c r="P2" s="226"/>
      <c r="Q2" s="226"/>
      <c r="R2" s="226"/>
      <c r="S2" s="226"/>
      <c r="T2" s="227"/>
      <c r="U2" s="230" t="s">
        <v>216</v>
      </c>
      <c r="V2" s="231"/>
      <c r="W2" s="225" t="s">
        <v>217</v>
      </c>
      <c r="X2" s="226"/>
      <c r="Y2" s="226"/>
      <c r="Z2" s="226"/>
      <c r="AA2" s="226"/>
      <c r="AB2" s="226"/>
      <c r="AC2" s="226"/>
      <c r="AD2" s="226"/>
      <c r="AE2" s="227"/>
      <c r="AF2" s="222" t="s">
        <v>218</v>
      </c>
      <c r="AG2" s="223"/>
      <c r="AH2" s="223"/>
      <c r="AI2" s="223"/>
      <c r="AJ2" s="223"/>
      <c r="AK2" s="223"/>
      <c r="AL2" s="223"/>
      <c r="AM2" s="223"/>
      <c r="AN2" s="223"/>
      <c r="AO2" s="223"/>
      <c r="AP2" s="223"/>
      <c r="AQ2" s="223"/>
      <c r="AR2" s="223"/>
      <c r="AS2" s="224"/>
      <c r="AT2" s="222" t="s">
        <v>219</v>
      </c>
      <c r="AU2" s="223"/>
      <c r="AV2" s="223"/>
      <c r="AW2" s="223"/>
      <c r="AX2" s="223"/>
      <c r="AY2" s="223"/>
      <c r="AZ2" s="223"/>
      <c r="BA2" s="223"/>
      <c r="BB2" s="223"/>
      <c r="BC2" s="223"/>
      <c r="BD2" s="223"/>
      <c r="BE2" s="223"/>
      <c r="BF2" s="223"/>
      <c r="BG2" s="224"/>
      <c r="BH2" s="222" t="s">
        <v>220</v>
      </c>
      <c r="BI2" s="223"/>
      <c r="BJ2" s="223"/>
      <c r="BK2" s="223"/>
      <c r="BL2" s="223"/>
      <c r="BM2" s="223"/>
      <c r="BN2" s="223"/>
      <c r="BO2" s="223"/>
      <c r="BP2" s="223"/>
      <c r="BQ2" s="223"/>
      <c r="BR2" s="223"/>
      <c r="BS2" s="223"/>
      <c r="BT2" s="223"/>
      <c r="BU2" s="224"/>
      <c r="BV2" s="222" t="s">
        <v>221</v>
      </c>
      <c r="BW2" s="223"/>
      <c r="BX2" s="223"/>
      <c r="BY2" s="223"/>
      <c r="BZ2" s="223"/>
      <c r="CA2" s="223"/>
      <c r="CB2" s="223"/>
      <c r="CC2" s="223"/>
      <c r="CD2" s="223"/>
      <c r="CE2" s="223"/>
      <c r="CF2" s="223"/>
      <c r="CG2" s="223"/>
      <c r="CH2" s="223"/>
      <c r="CI2" s="224"/>
    </row>
    <row r="3" spans="2:87" ht="15.75" x14ac:dyDescent="0.2">
      <c r="B3" s="167">
        <v>5</v>
      </c>
      <c r="C3" s="168">
        <v>1</v>
      </c>
      <c r="D3" s="169">
        <v>5</v>
      </c>
      <c r="E3" s="170">
        <v>0.96458333333333324</v>
      </c>
      <c r="F3" s="170">
        <v>0.19791666666666666</v>
      </c>
      <c r="G3" s="170">
        <v>-9.8900462962962954E-2</v>
      </c>
      <c r="H3" s="170">
        <v>-0.27486111111111111</v>
      </c>
      <c r="I3" s="170">
        <v>-0.58239898989898986</v>
      </c>
      <c r="J3" s="88"/>
      <c r="L3" s="67" t="s">
        <v>144</v>
      </c>
      <c r="M3" s="32" t="s">
        <v>134</v>
      </c>
      <c r="N3" s="72" t="s">
        <v>33</v>
      </c>
      <c r="O3" s="36" t="s">
        <v>140</v>
      </c>
      <c r="P3" s="36" t="s">
        <v>141</v>
      </c>
      <c r="Q3" s="36" t="s">
        <v>142</v>
      </c>
      <c r="R3" s="99" t="s">
        <v>143</v>
      </c>
      <c r="S3" s="96" t="s">
        <v>144</v>
      </c>
      <c r="T3" s="32" t="s">
        <v>119</v>
      </c>
      <c r="U3" s="73" t="s">
        <v>120</v>
      </c>
      <c r="V3" s="77" t="s">
        <v>224</v>
      </c>
      <c r="W3" s="29" t="s">
        <v>36</v>
      </c>
      <c r="X3" s="32" t="s">
        <v>37</v>
      </c>
      <c r="Y3" s="32" t="s">
        <v>38</v>
      </c>
      <c r="Z3" s="30" t="s">
        <v>40</v>
      </c>
      <c r="AA3" s="32" t="s">
        <v>129</v>
      </c>
      <c r="AB3" s="32" t="s">
        <v>130</v>
      </c>
      <c r="AC3" s="32" t="s">
        <v>131</v>
      </c>
      <c r="AD3" s="30" t="s">
        <v>132</v>
      </c>
      <c r="AE3" s="47" t="s">
        <v>133</v>
      </c>
      <c r="AF3" s="41" t="s">
        <v>154</v>
      </c>
      <c r="AG3" s="37" t="s">
        <v>155</v>
      </c>
      <c r="AH3" s="37" t="s">
        <v>156</v>
      </c>
      <c r="AI3" s="37" t="s">
        <v>157</v>
      </c>
      <c r="AJ3" s="37" t="s">
        <v>158</v>
      </c>
      <c r="AK3" s="44" t="s">
        <v>159</v>
      </c>
      <c r="AL3" s="37" t="s">
        <v>160</v>
      </c>
      <c r="AM3" s="37" t="s">
        <v>161</v>
      </c>
      <c r="AN3" s="41" t="s">
        <v>162</v>
      </c>
      <c r="AO3" s="37" t="s">
        <v>163</v>
      </c>
      <c r="AP3" s="37" t="s">
        <v>164</v>
      </c>
      <c r="AQ3" s="37" t="s">
        <v>165</v>
      </c>
      <c r="AR3" s="41" t="s">
        <v>166</v>
      </c>
      <c r="AS3" s="49" t="s">
        <v>167</v>
      </c>
      <c r="AT3" s="68" t="s">
        <v>196</v>
      </c>
      <c r="AU3" s="69" t="s">
        <v>197</v>
      </c>
      <c r="AV3" s="69" t="s">
        <v>198</v>
      </c>
      <c r="AW3" s="69" t="s">
        <v>199</v>
      </c>
      <c r="AX3" s="69" t="s">
        <v>200</v>
      </c>
      <c r="AY3" s="70" t="s">
        <v>201</v>
      </c>
      <c r="AZ3" s="69" t="s">
        <v>202</v>
      </c>
      <c r="BA3" s="69" t="s">
        <v>203</v>
      </c>
      <c r="BB3" s="68" t="s">
        <v>204</v>
      </c>
      <c r="BC3" s="69" t="s">
        <v>205</v>
      </c>
      <c r="BD3" s="69" t="s">
        <v>206</v>
      </c>
      <c r="BE3" s="69" t="s">
        <v>207</v>
      </c>
      <c r="BF3" s="68" t="s">
        <v>208</v>
      </c>
      <c r="BG3" s="71" t="s">
        <v>209</v>
      </c>
      <c r="BH3" s="68" t="s">
        <v>168</v>
      </c>
      <c r="BI3" s="69" t="s">
        <v>169</v>
      </c>
      <c r="BJ3" s="69" t="s">
        <v>170</v>
      </c>
      <c r="BK3" s="69" t="s">
        <v>171</v>
      </c>
      <c r="BL3" s="69" t="s">
        <v>172</v>
      </c>
      <c r="BM3" s="69" t="s">
        <v>173</v>
      </c>
      <c r="BN3" s="69" t="s">
        <v>174</v>
      </c>
      <c r="BO3" s="69" t="s">
        <v>175</v>
      </c>
      <c r="BP3" s="69" t="s">
        <v>176</v>
      </c>
      <c r="BQ3" s="70" t="s">
        <v>177</v>
      </c>
      <c r="BR3" s="69" t="s">
        <v>178</v>
      </c>
      <c r="BS3" s="69" t="s">
        <v>179</v>
      </c>
      <c r="BT3" s="68" t="s">
        <v>180</v>
      </c>
      <c r="BU3" s="71" t="s">
        <v>181</v>
      </c>
      <c r="BV3" s="69" t="s">
        <v>182</v>
      </c>
      <c r="BW3" s="70" t="s">
        <v>183</v>
      </c>
      <c r="BX3" s="69" t="s">
        <v>184</v>
      </c>
      <c r="BY3" s="69" t="s">
        <v>185</v>
      </c>
      <c r="BZ3" s="69" t="s">
        <v>186</v>
      </c>
      <c r="CA3" s="70" t="s">
        <v>187</v>
      </c>
      <c r="CB3" s="69" t="s">
        <v>188</v>
      </c>
      <c r="CC3" s="69" t="s">
        <v>189</v>
      </c>
      <c r="CD3" s="69" t="s">
        <v>190</v>
      </c>
      <c r="CE3" s="70" t="s">
        <v>191</v>
      </c>
      <c r="CF3" s="69" t="s">
        <v>192</v>
      </c>
      <c r="CG3" s="69" t="s">
        <v>193</v>
      </c>
      <c r="CH3" s="68" t="s">
        <v>194</v>
      </c>
      <c r="CI3" s="71" t="s">
        <v>195</v>
      </c>
    </row>
    <row r="4" spans="2:87" x14ac:dyDescent="0.2">
      <c r="B4" s="167" t="s">
        <v>229</v>
      </c>
      <c r="C4" s="168">
        <v>3</v>
      </c>
      <c r="D4" s="169">
        <v>6</v>
      </c>
      <c r="E4" s="170">
        <v>0.5</v>
      </c>
      <c r="F4" s="170">
        <v>0.21875</v>
      </c>
      <c r="G4" s="170">
        <v>0.171875</v>
      </c>
      <c r="H4" s="170">
        <v>0.53750000000000009</v>
      </c>
      <c r="I4" s="170">
        <v>-8.6363636363636365E-2</v>
      </c>
      <c r="J4" s="88"/>
      <c r="L4" s="228" t="s">
        <v>145</v>
      </c>
      <c r="M4" s="89" t="s">
        <v>135</v>
      </c>
      <c r="N4" s="90">
        <v>1</v>
      </c>
      <c r="O4" s="36">
        <f>INDEX(Encounter_Diff[Easy], MATCH(PartyCompare_0[[#This Row],[Level]],Encounter_Diff[Player Level],0))</f>
        <v>25</v>
      </c>
      <c r="P4" s="36">
        <f>INDEX(Encounter_Diff[Medium], MATCH(PartyCompare_0[[#This Row],[Level]],Encounter_Diff[Player Level],0))</f>
        <v>50</v>
      </c>
      <c r="Q4" s="36">
        <f>INDEX(Encounter_Diff[Hard], MATCH(PartyCompare_0[[#This Row],[Level]],Encounter_Diff[Player Level],0))</f>
        <v>75</v>
      </c>
      <c r="R4" s="30">
        <f>INDEX(Encounter_Diff[Deadly], MATCH(PartyCompare_0[[#This Row],[Level]],Encounter_Diff[Player Level],0))</f>
        <v>100</v>
      </c>
      <c r="S4" s="97" t="str">
        <f>L4</f>
        <v>Base Party (Zero Comparison)</v>
      </c>
      <c r="T4" s="32" t="str">
        <f>IF(COUNT(PartyCompare_0[Level])&lt;=2,"Small", IF(COUNT(PartyCompare_0[Level])&lt;=5,"Med", IF(COUNT(PartyCompare_0[Level])&lt;=8, "Large", "TOO BIG!")))</f>
        <v>Med</v>
      </c>
      <c r="U4" s="73" t="s">
        <v>107</v>
      </c>
      <c r="V4" s="77" t="str">
        <f>INDEX(Encounter_Mod[Count], MATCH(PartyCompare_0[[#This Row],[Mob Size]], Encounter_Mod[Type],0))</f>
        <v>1</v>
      </c>
      <c r="W4" s="81">
        <f>SUM(PartyCompare_0[(Easy)])/INDEX(Encounter_Mod[[Small]:[Large]], MATCH(PartyCompare_0[[#This Row],[Mob Size]], Encounter_Mod[Type], 0), MATCH(PartyCompare_0[[#This Row],[Party Size]],Encounter_Mod[[#Headers],[Small]:[Large]],0))</f>
        <v>100</v>
      </c>
      <c r="X4" s="42">
        <f>SUM(PartyCompare_0[(Medium)])/INDEX(Encounter_Mod[[Small]:[Large]], MATCH(PartyCompare_0[[#This Row],[Mob Size]], Encounter_Mod[Type], 0), MATCH(PartyCompare_0[[#This Row],[Party Size]],Encounter_Mod[[#Headers],[Small]:[Large]],0))</f>
        <v>200</v>
      </c>
      <c r="Y4" s="42">
        <f>SUM(PartyCompare_0[(Hard)])/INDEX(Encounter_Mod[[Small]:[Large]], MATCH(PartyCompare_0[[#This Row],[Mob Size]], Encounter_Mod[Type], 0), MATCH(PartyCompare_0[[#This Row],[Party Size]],Encounter_Mod[[#Headers],[Small]:[Large]],0))</f>
        <v>300</v>
      </c>
      <c r="Z4" s="43">
        <f>SUM(PartyCompare_0[(Deadly)])/INDEX(Encounter_Mod[[Small]:[Large]], MATCH(PartyCompare_0[[#This Row],[Mob Size]], Encounter_Mod[Type], 0), MATCH(PartyCompare_0[[#This Row],[Party Size]],Encounter_Mod[[#Headers],[Small]:[Large]],0))</f>
        <v>400</v>
      </c>
      <c r="AA4" s="33">
        <f>(PartyCompare_0[[#This Row],[Easy]]-INDEX(PartyCompare_0[Easy], MATCH(PartyCompare_0[[#This Row],[Mob Size]],PartyCompare_0[Mob Size],0)))/INDEX(PartyCompare_0[Easy], MATCH(PartyCompare_0[[#This Row],[Mob Size]],PartyCompare_0[Mob Size],0))</f>
        <v>0</v>
      </c>
      <c r="AB4" s="33">
        <f>(PartyCompare_0[[#This Row],[Medium]]-INDEX(PartyCompare_0[Medium], MATCH(PartyCompare_0[[#This Row],[Mob Size]],PartyCompare_0[Mob Size],0)))/INDEX(PartyCompare_0[Medium], MATCH(PartyCompare_0[[#This Row],[Mob Size]],PartyCompare_0[Mob Size],0))</f>
        <v>0</v>
      </c>
      <c r="AC4" s="33">
        <f>(PartyCompare_0[[#This Row],[Hard]]-INDEX(PartyCompare_0[Hard], MATCH(PartyCompare_0[[#This Row],[Mob Size]],PartyCompare_0[Mob Size],0)))/INDEX(PartyCompare_0[Hard], MATCH(PartyCompare_0[[#This Row],[Mob Size]],PartyCompare_0[Mob Size],0))</f>
        <v>0</v>
      </c>
      <c r="AD4" s="34">
        <f>(PartyCompare_0[[#This Row],[Deadly]]-INDEX(PartyCompare_0[Deadly], MATCH(PartyCompare_0[[#This Row],[Mob Size]],PartyCompare_0[Mob Size],0)))/INDEX(PartyCompare_0[Deadly], MATCH(PartyCompare_0[[#This Row],[Mob Size]],PartyCompare_0[Mob Size],0))</f>
        <v>0</v>
      </c>
      <c r="AE4" s="48">
        <f>AVERAGE(PartyCompare_0[[#This Row],[Easy Deviation]:[Deadly Deviation]])</f>
        <v>0</v>
      </c>
      <c r="AF4" s="43">
        <f>IF(ISNUMBER(PartyCompare_0[[#This Row],[Level]]), PartyCompare_0[[#This Row],[Level]]+1, PartyCompare_0[[#This Row],[Level]])</f>
        <v>2</v>
      </c>
      <c r="AG4" s="36">
        <f>INDEX(Encounter_Diff[Easy], MATCH(PartyCompare_0[[#This Row],[+1 Level]],Encounter_Diff[Player Level],0))</f>
        <v>50</v>
      </c>
      <c r="AH4" s="36">
        <f>INDEX(Encounter_Diff[Medium], MATCH(PartyCompare_0[[#This Row],[+1 Level]],Encounter_Diff[Player Level],0))</f>
        <v>100</v>
      </c>
      <c r="AI4" s="36">
        <f>INDEX(Encounter_Diff[Hard], MATCH(PartyCompare_0[[#This Row],[+1 Level]],Encounter_Diff[Player Level],0))</f>
        <v>150</v>
      </c>
      <c r="AJ4" s="36">
        <f>INDEX(Encounter_Diff[Deadly], MATCH(PartyCompare_0[[#This Row],[+1 Level]],Encounter_Diff[Player Level],0))</f>
        <v>200</v>
      </c>
      <c r="AK4" s="63">
        <f>SUM(PartyCompare_0[+1 (Easy)])/INDEX(Encounter_Mod[[Small]:[Large]], MATCH(PartyCompare_0[[#This Row],[Mob Size]], Encounter_Mod[Type], 0), MATCH(PartyCompare_0[[#This Row],[Party Size]],Encounter_Mod[[#Headers],[Small]:[Large]],0))</f>
        <v>200</v>
      </c>
      <c r="AL4" s="38">
        <f>SUM(PartyCompare_0[+1 (Medium)])/INDEX(Encounter_Mod[[Small]:[Large]], MATCH(PartyCompare_0[[#This Row],[Mob Size]], Encounter_Mod[Type], 0), MATCH(PartyCompare_0[[#This Row],[Party Size]],Encounter_Mod[[#Headers],[Small]:[Large]],0))</f>
        <v>400</v>
      </c>
      <c r="AM4" s="38">
        <f>SUM(PartyCompare_0[+1 (Hard)])/INDEX(Encounter_Mod[[Small]:[Large]], MATCH(PartyCompare_0[[#This Row],[Mob Size]], Encounter_Mod[Type], 0), MATCH(PartyCompare_0[[#This Row],[Party Size]],Encounter_Mod[[#Headers],[Small]:[Large]],0))</f>
        <v>600</v>
      </c>
      <c r="AN4" s="43">
        <f>SUM(PartyCompare_0[+1 (Deadly)])/INDEX(Encounter_Mod[[Small]:[Large]], MATCH(PartyCompare_0[[#This Row],[Mob Size]], Encounter_Mod[Type], 0), MATCH(PartyCompare_0[[#This Row],[Party Size]],Encounter_Mod[[#Headers],[Small]:[Large]],0))</f>
        <v>800</v>
      </c>
      <c r="AO4" s="39">
        <f>(PartyCompare_0[[#This Row],[+1 Easy]]-INDEX(PartyCompare_0[+1 Easy], MATCH(PartyCompare_0[[#This Row],[Mob Size]],PartyCompare_0[Mob Size],0)))/INDEX(PartyCompare_0[+1 Easy], MATCH(PartyCompare_0[[#This Row],[Mob Size]],PartyCompare_0[Mob Size],0))</f>
        <v>0</v>
      </c>
      <c r="AP4" s="39">
        <f>(PartyCompare_0[[#This Row],[+1 Medium]]-INDEX(PartyCompare_0[+1 Medium], MATCH(PartyCompare_0[[#This Row],[Mob Size]],PartyCompare_0[Mob Size],0)))/INDEX(PartyCompare_0[+1 Medium], MATCH(PartyCompare_0[[#This Row],[Mob Size]],PartyCompare_0[Mob Size],0))</f>
        <v>0</v>
      </c>
      <c r="AQ4" s="39">
        <f>(PartyCompare_0[[#This Row],[+1 Hard]]-INDEX(PartyCompare_0[+1 Hard], MATCH(PartyCompare_0[[#This Row],[Mob Size]],PartyCompare_0[Mob Size],0)))/INDEX(PartyCompare_0[+1 Hard], MATCH(PartyCompare_0[[#This Row],[Mob Size]],PartyCompare_0[Mob Size],0))</f>
        <v>0</v>
      </c>
      <c r="AR4" s="34">
        <f>(PartyCompare_0[[#This Row],[+1 Deadly]]-INDEX(PartyCompare_0[+1 Deadly], MATCH(PartyCompare_0[[#This Row],[Mob Size]],PartyCompare_0[Mob Size],0)))/INDEX(PartyCompare_0[+1 Deadly], MATCH(PartyCompare_0[[#This Row],[Mob Size]],PartyCompare_0[Mob Size],0))</f>
        <v>0</v>
      </c>
      <c r="AS4" s="48">
        <f>AVERAGE(PartyCompare_0[[#This Row],[+1 Easy Deviation]:[+1 Deadly Deviation]])</f>
        <v>0</v>
      </c>
      <c r="AT4" s="36">
        <f>IF(ISNUMBER(PartyCompare_0[[#This Row],[Level]]), PartyCompare_0[[#This Row],[Level]]+2, PartyCompare_0[[#This Row],[Level]])</f>
        <v>3</v>
      </c>
      <c r="AU4" s="36">
        <f>INDEX(Encounter_Diff[Easy], MATCH(PartyCompare_0[[#This Row],[+2 Level]],Encounter_Diff[Player Level],0))</f>
        <v>75</v>
      </c>
      <c r="AV4" s="36">
        <f>INDEX(Encounter_Diff[Medium], MATCH(PartyCompare_0[[#This Row],[+2 Level]],Encounter_Diff[Player Level],0))</f>
        <v>150</v>
      </c>
      <c r="AW4" s="36">
        <f>INDEX(Encounter_Diff[Hard], MATCH(PartyCompare_0[[#This Row],[+2 Level]],Encounter_Diff[Player Level],0))</f>
        <v>225</v>
      </c>
      <c r="AX4" s="36">
        <f>INDEX(Encounter_Diff[Deadly], MATCH(PartyCompare_0[[#This Row],[+2 Level]],Encounter_Diff[Player Level],0))</f>
        <v>400</v>
      </c>
      <c r="AY4" s="63">
        <f>SUM(PartyCompare_0[+2 (Easy)])/INDEX(Encounter_Mod[[Small]:[Large]], MATCH(PartyCompare_0[[#This Row],[Mob Size]], Encounter_Mod[Type], 0), MATCH(PartyCompare_0[[#This Row],[Party Size]],Encounter_Mod[[#Headers],[Small]:[Large]],0))</f>
        <v>300</v>
      </c>
      <c r="AZ4" s="38">
        <f>SUM(PartyCompare_0[+2 (Medium)])/INDEX(Encounter_Mod[[Small]:[Large]], MATCH(PartyCompare_0[[#This Row],[Mob Size]], Encounter_Mod[Type], 0), MATCH(PartyCompare_0[[#This Row],[Party Size]],Encounter_Mod[[#Headers],[Small]:[Large]],0))</f>
        <v>600</v>
      </c>
      <c r="BA4" s="38">
        <f>SUM(PartyCompare_0[+2 (Hard)])/INDEX(Encounter_Mod[[Small]:[Large]], MATCH(PartyCompare_0[[#This Row],[Mob Size]], Encounter_Mod[Type], 0), MATCH(PartyCompare_0[[#This Row],[Party Size]],Encounter_Mod[[#Headers],[Small]:[Large]],0))</f>
        <v>900</v>
      </c>
      <c r="BB4" s="38">
        <f>SUM(PartyCompare_0[+2 (Deadly)])/INDEX(Encounter_Mod[[Small]:[Large]], MATCH(PartyCompare_0[[#This Row],[Mob Size]], Encounter_Mod[Type], 0), MATCH(PartyCompare_0[[#This Row],[Party Size]],Encounter_Mod[[#Headers],[Small]:[Large]],0))</f>
        <v>1600</v>
      </c>
      <c r="BC4" s="60">
        <f>(PartyCompare_0[[#This Row],[+2 Easy]]-INDEX(PartyCompare_0[+2 Easy], MATCH(PartyCompare_0[[#This Row],[Mob Size]],PartyCompare_0[Mob Size],0)))/INDEX(PartyCompare_0[+2 Easy], MATCH(PartyCompare_0[[#This Row],[Mob Size]],PartyCompare_0[Mob Size],0))</f>
        <v>0</v>
      </c>
      <c r="BD4" s="39">
        <f>(PartyCompare_0[[#This Row],[+2 Medium]]-INDEX(PartyCompare_0[+2 Medium], MATCH(PartyCompare_0[[#This Row],[Mob Size]],PartyCompare_0[Mob Size],0)))/INDEX(PartyCompare_0[+2 Medium], MATCH(PartyCompare_0[[#This Row],[Mob Size]],PartyCompare_0[Mob Size],0))</f>
        <v>0</v>
      </c>
      <c r="BE4" s="39">
        <f>(PartyCompare_0[[#This Row],[+2 Hard]]-INDEX(PartyCompare_0[+2 Hard], MATCH(PartyCompare_0[[#This Row],[Mob Size]],PartyCompare_0[Mob Size],0)))/INDEX(PartyCompare_0[+2 Hard], MATCH(PartyCompare_0[[#This Row],[Mob Size]],PartyCompare_0[Mob Size],0))</f>
        <v>0</v>
      </c>
      <c r="BF4" s="34">
        <f>(PartyCompare_0[[#This Row],[+2 Deadly]]-INDEX(PartyCompare_0[+2 Deadly], MATCH(PartyCompare_0[[#This Row],[Mob Size]],PartyCompare_0[Mob Size],0)))/INDEX(PartyCompare_0[+2 Deadly], MATCH(PartyCompare_0[[#This Row],[Mob Size]],PartyCompare_0[Mob Size],0))</f>
        <v>0</v>
      </c>
      <c r="BG4" s="48">
        <f>AVERAGE(PartyCompare_0[[#This Row],[+2 Easy Deviation]:[+2 Deadly Deviation]])</f>
        <v>0</v>
      </c>
      <c r="BH4" s="43">
        <f>IF(ISNUMBER(PartyCompare_0[[#This Row],[Level]]), PartyCompare_0[[#This Row],[Level]]+3, PartyCompare_0[[#This Row],[Level]])</f>
        <v>4</v>
      </c>
      <c r="BI4" s="36">
        <f>INDEX(Encounter_Diff[Easy], MATCH(PartyCompare_0[[#This Row],[+3 Level]],Encounter_Diff[Player Level],0))</f>
        <v>125</v>
      </c>
      <c r="BJ4" s="36">
        <f>INDEX(Encounter_Diff[Medium], MATCH(PartyCompare_0[[#This Row],[+3 Level]],Encounter_Diff[Player Level],0))</f>
        <v>250</v>
      </c>
      <c r="BK4" s="36">
        <f>INDEX(Encounter_Diff[Hard], MATCH(PartyCompare_0[[#This Row],[+3 Level]],Encounter_Diff[Player Level],0))</f>
        <v>375</v>
      </c>
      <c r="BL4" s="36">
        <f>INDEX(Encounter_Diff[Deadly], MATCH(PartyCompare_0[[#This Row],[+3 Level]],Encounter_Diff[Player Level],0))</f>
        <v>500</v>
      </c>
      <c r="BM4" s="64">
        <f>SUM(PartyCompare_0[+3 (Easy)])/INDEX(Encounter_Mod[[Small]:[Large]], MATCH(PartyCompare_0[[#This Row],[Mob Size]], Encounter_Mod[Type], 0), MATCH(PartyCompare_0[[#This Row],[Party Size]],Encounter_Mod[[#Headers],[Small]:[Large]],0))</f>
        <v>500</v>
      </c>
      <c r="BN4" s="38">
        <f>SUM(PartyCompare_0[+3 (Medium)])/INDEX(Encounter_Mod[[Small]:[Large]], MATCH(PartyCompare_0[[#This Row],[Mob Size]], Encounter_Mod[Type], 0), MATCH(PartyCompare_0[[#This Row],[Party Size]],Encounter_Mod[[#Headers],[Small]:[Large]],0))</f>
        <v>1000</v>
      </c>
      <c r="BO4" s="38">
        <f>SUM(PartyCompare_0[+3 (Hard)])/INDEX(Encounter_Mod[[Small]:[Large]], MATCH(PartyCompare_0[[#This Row],[Mob Size]], Encounter_Mod[Type], 0), MATCH(PartyCompare_0[[#This Row],[Party Size]],Encounter_Mod[[#Headers],[Small]:[Large]],0))</f>
        <v>1500</v>
      </c>
      <c r="BP4" s="42">
        <f>SUM(PartyCompare_0[+3 (Deadly)])/INDEX(Encounter_Mod[[Small]:[Large]], MATCH(PartyCompare_0[[#This Row],[Mob Size]], Encounter_Mod[Type], 0), MATCH(PartyCompare_0[[#This Row],[Party Size]],Encounter_Mod[[#Headers],[Small]:[Large]],0))</f>
        <v>2000</v>
      </c>
      <c r="BQ4" s="46">
        <f>(PartyCompare_0[[#This Row],[+3 Easy]]-INDEX(PartyCompare_0[+3 Easy], MATCH(PartyCompare_0[[#This Row],[Mob Size]],PartyCompare_0[Mob Size],0)))/INDEX(PartyCompare_0[+3 Easy], MATCH(PartyCompare_0[[#This Row],[Mob Size]],PartyCompare_0[Mob Size],0))</f>
        <v>0</v>
      </c>
      <c r="BR4" s="39">
        <f>(PartyCompare_0[[#This Row],[+3 Medium]]-INDEX(PartyCompare_0[+3 Medium], MATCH(PartyCompare_0[[#This Row],[Mob Size]],PartyCompare_0[Mob Size],0)))/INDEX(PartyCompare_0[+3 Medium], MATCH(PartyCompare_0[[#This Row],[Mob Size]],PartyCompare_0[Mob Size],0))</f>
        <v>0</v>
      </c>
      <c r="BS4" s="39">
        <f>(PartyCompare_0[[#This Row],[+3 Hard]]-INDEX(PartyCompare_0[+3 Hard], MATCH(PartyCompare_0[[#This Row],[Mob Size]],PartyCompare_0[Mob Size],0)))/INDEX(PartyCompare_0[+3 Hard], MATCH(PartyCompare_0[[#This Row],[Mob Size]],PartyCompare_0[Mob Size],0))</f>
        <v>0</v>
      </c>
      <c r="BT4" s="33">
        <f>(PartyCompare_0[[#This Row],[+3 Deadly]]-INDEX(PartyCompare_0[+3 Deadly], MATCH(PartyCompare_0[[#This Row],[Mob Size]],PartyCompare_0[Mob Size],0)))/INDEX(PartyCompare_0[+3 Deadly], MATCH(PartyCompare_0[[#This Row],[Mob Size]],PartyCompare_0[Mob Size],0))</f>
        <v>0</v>
      </c>
      <c r="BU4" s="66">
        <f>AVERAGE(PartyCompare_0[[#This Row],[+3 Easy Deviation]:[+3 Deadly Deviation]])</f>
        <v>0</v>
      </c>
      <c r="BV4" s="42">
        <f>IF(ISNUMBER(PartyCompare_0[[#This Row],[Level]]), PartyCompare_0[[#This Row],[Level]]+4, PartyCompare_0[[#This Row],[Level]])</f>
        <v>5</v>
      </c>
      <c r="BW4" s="31">
        <f>INDEX(Encounter_Diff[Easy], MATCH(PartyCompare_0[[#This Row],[+4 Level]],Encounter_Diff[Player Level],0))</f>
        <v>250</v>
      </c>
      <c r="BX4" s="36">
        <f>INDEX(Encounter_Diff[Medium], MATCH(PartyCompare_0[[#This Row],[+4 Level]],Encounter_Diff[Player Level],0))</f>
        <v>500</v>
      </c>
      <c r="BY4" s="36">
        <f>INDEX(Encounter_Diff[Hard], MATCH(PartyCompare_0[[#This Row],[+4 Level]],Encounter_Diff[Player Level],0))</f>
        <v>750</v>
      </c>
      <c r="BZ4" s="36">
        <f>INDEX(Encounter_Diff[Deadly], MATCH(PartyCompare_0[[#This Row],[+4 Level]],Encounter_Diff[Player Level],0))</f>
        <v>1100</v>
      </c>
      <c r="CA4" s="63">
        <f>SUM(PartyCompare_0[+4 (Easy)])/INDEX(Encounter_Mod[[Small]:[Large]], MATCH(PartyCompare_0[[#This Row],[Mob Size]], Encounter_Mod[Type], 0), MATCH(PartyCompare_0[[#This Row],[Party Size]],Encounter_Mod[[#Headers],[Small]:[Large]],0))</f>
        <v>1000</v>
      </c>
      <c r="CB4" s="38">
        <f>SUM(PartyCompare_0[+4 (Medium)])/INDEX(Encounter_Mod[[Small]:[Large]], MATCH(PartyCompare_0[[#This Row],[Mob Size]], Encounter_Mod[Type], 0), MATCH(PartyCompare_0[[#This Row],[Party Size]],Encounter_Mod[[#Headers],[Small]:[Large]],0))</f>
        <v>2000</v>
      </c>
      <c r="CC4" s="38">
        <f>SUM(PartyCompare_0[+4 (Hard)])/INDEX(Encounter_Mod[[Small]:[Large]], MATCH(PartyCompare_0[[#This Row],[Mob Size]], Encounter_Mod[Type], 0), MATCH(PartyCompare_0[[#This Row],[Party Size]],Encounter_Mod[[#Headers],[Small]:[Large]],0))</f>
        <v>3000</v>
      </c>
      <c r="CD4" s="42">
        <f>SUM(PartyCompare_0[+4 (Deadly)])/INDEX(Encounter_Mod[[Small]:[Large]], MATCH(PartyCompare_0[[#This Row],[Mob Size]], Encounter_Mod[Type], 0), MATCH(PartyCompare_0[[#This Row],[Party Size]],Encounter_Mod[[#Headers],[Small]:[Large]],0))</f>
        <v>4400</v>
      </c>
      <c r="CE4" s="46">
        <f>(PartyCompare_0[[#This Row],[+4 Easy]]-INDEX(PartyCompare_0[+4 Easy], MATCH(PartyCompare_0[[#This Row],[Mob Size]],PartyCompare_0[Mob Size],0)))/INDEX(PartyCompare_0[+4 Easy], MATCH(PartyCompare_0[[#This Row],[Mob Size]],PartyCompare_0[Mob Size],0))</f>
        <v>0</v>
      </c>
      <c r="CF4" s="39">
        <f>(PartyCompare_0[[#This Row],[+4 Medium]]-INDEX(PartyCompare_0[+4 Medium], MATCH(PartyCompare_0[[#This Row],[Mob Size]],PartyCompare_0[Mob Size],0)))/INDEX(PartyCompare_0[+4 Medium], MATCH(PartyCompare_0[[#This Row],[Mob Size]],PartyCompare_0[Mob Size],0))</f>
        <v>0</v>
      </c>
      <c r="CG4" s="39">
        <f>(PartyCompare_0[[#This Row],[+4 Hard]]-INDEX(PartyCompare_0[+4 Hard], MATCH(PartyCompare_0[[#This Row],[Mob Size]],PartyCompare_0[Mob Size],0)))/INDEX(PartyCompare_0[+4 Hard], MATCH(PartyCompare_0[[#This Row],[Mob Size]],PartyCompare_0[Mob Size],0))</f>
        <v>0</v>
      </c>
      <c r="CH4" s="34">
        <f>(PartyCompare_0[[#This Row],[+4 Deadly]]-INDEX(PartyCompare_0[+4 Deadly], MATCH(PartyCompare_0[[#This Row],[Mob Size]],PartyCompare_0[Mob Size],0)))/INDEX(PartyCompare_0[+4 Deadly], MATCH(PartyCompare_0[[#This Row],[Mob Size]],PartyCompare_0[Mob Size],0))</f>
        <v>0</v>
      </c>
      <c r="CI4" s="48">
        <f>AVERAGE(PartyCompare_0[[#This Row],[+4 Easy Deviation]:[+4 Deadly Deviation]])</f>
        <v>0</v>
      </c>
    </row>
    <row r="5" spans="2:87" x14ac:dyDescent="0.2">
      <c r="B5" s="167" t="s">
        <v>232</v>
      </c>
      <c r="C5" s="168">
        <v>3</v>
      </c>
      <c r="D5" s="169">
        <v>5</v>
      </c>
      <c r="E5" s="170">
        <v>0.24999999999999997</v>
      </c>
      <c r="F5" s="170">
        <v>6.2499999999999979E-2</v>
      </c>
      <c r="G5" s="170">
        <v>3.124999999999999E-2</v>
      </c>
      <c r="H5" s="170">
        <v>0.27500000000000008</v>
      </c>
      <c r="I5" s="170">
        <v>-0.1409090909090909</v>
      </c>
      <c r="J5" s="88"/>
      <c r="L5" s="228"/>
      <c r="M5" s="89" t="s">
        <v>136</v>
      </c>
      <c r="N5" s="90">
        <v>1</v>
      </c>
      <c r="O5" s="36">
        <f>INDEX(Encounter_Diff[Easy], MATCH(PartyCompare_0[[#This Row],[Level]],Encounter_Diff[Player Level],0))</f>
        <v>25</v>
      </c>
      <c r="P5" s="36">
        <f>INDEX(Encounter_Diff[Medium], MATCH(PartyCompare_0[[#This Row],[Level]],Encounter_Diff[Player Level],0))</f>
        <v>50</v>
      </c>
      <c r="Q5" s="36">
        <f>INDEX(Encounter_Diff[Hard], MATCH(PartyCompare_0[[#This Row],[Level]],Encounter_Diff[Player Level],0))</f>
        <v>75</v>
      </c>
      <c r="R5" s="30">
        <f>INDEX(Encounter_Diff[Deadly], MATCH(PartyCompare_0[[#This Row],[Level]],Encounter_Diff[Player Level],0))</f>
        <v>100</v>
      </c>
      <c r="S5" s="97" t="str">
        <f t="shared" ref="S5:S11" si="0">S4</f>
        <v>Base Party (Zero Comparison)</v>
      </c>
      <c r="T5" s="32" t="str">
        <f>IF(COUNT(PartyCompare_0[Level])&lt;=2,"Small", IF(COUNT(PartyCompare_0[Level])&lt;=5,"Med", IF(COUNT(PartyCompare_0[Level])&lt;=8, "Large", "TOO BIG!")))</f>
        <v>Med</v>
      </c>
      <c r="U5" s="73" t="s">
        <v>108</v>
      </c>
      <c r="V5" s="77" t="str">
        <f>INDEX(Encounter_Mod[Count], MATCH(PartyCompare_0[[#This Row],[Mob Size]], Encounter_Mod[Type],0))</f>
        <v>2</v>
      </c>
      <c r="W5" s="81">
        <f>SUM(PartyCompare_0[(Easy)])/INDEX(Encounter_Mod[[Small]:[Large]], MATCH(PartyCompare_0[[#This Row],[Mob Size]], Encounter_Mod[Type], 0), MATCH(PartyCompare_0[[#This Row],[Party Size]],Encounter_Mod[[#Headers],[Small]:[Large]],0))</f>
        <v>66.666666666666671</v>
      </c>
      <c r="X5" s="42">
        <f>SUM(PartyCompare_0[(Medium)])/INDEX(Encounter_Mod[[Small]:[Large]], MATCH(PartyCompare_0[[#This Row],[Mob Size]], Encounter_Mod[Type], 0), MATCH(PartyCompare_0[[#This Row],[Party Size]],Encounter_Mod[[#Headers],[Small]:[Large]],0))</f>
        <v>133.33333333333334</v>
      </c>
      <c r="Y5" s="42">
        <f>SUM(PartyCompare_0[(Hard)])/INDEX(Encounter_Mod[[Small]:[Large]], MATCH(PartyCompare_0[[#This Row],[Mob Size]], Encounter_Mod[Type], 0), MATCH(PartyCompare_0[[#This Row],[Party Size]],Encounter_Mod[[#Headers],[Small]:[Large]],0))</f>
        <v>200</v>
      </c>
      <c r="Z5" s="43">
        <f>SUM(PartyCompare_0[(Deadly)])/INDEX(Encounter_Mod[[Small]:[Large]], MATCH(PartyCompare_0[[#This Row],[Mob Size]], Encounter_Mod[Type], 0), MATCH(PartyCompare_0[[#This Row],[Party Size]],Encounter_Mod[[#Headers],[Small]:[Large]],0))</f>
        <v>266.66666666666669</v>
      </c>
      <c r="AA5" s="33">
        <f>(PartyCompare_0[[#This Row],[Easy]]-INDEX(PartyCompare_0[Easy], MATCH(PartyCompare_0[[#This Row],[Mob Size]],PartyCompare_0[Mob Size],0)))/INDEX(PartyCompare_0[Easy], MATCH(PartyCompare_0[[#This Row],[Mob Size]],PartyCompare_0[Mob Size],0))</f>
        <v>0</v>
      </c>
      <c r="AB5" s="33">
        <f>(PartyCompare_0[[#This Row],[Medium]]-INDEX(PartyCompare_0[Medium], MATCH(PartyCompare_0[[#This Row],[Mob Size]],PartyCompare_0[Mob Size],0)))/INDEX(PartyCompare_0[Medium], MATCH(PartyCompare_0[[#This Row],[Mob Size]],PartyCompare_0[Mob Size],0))</f>
        <v>0</v>
      </c>
      <c r="AC5" s="33">
        <f>(PartyCompare_0[[#This Row],[Hard]]-INDEX(PartyCompare_0[Hard], MATCH(PartyCompare_0[[#This Row],[Mob Size]],PartyCompare_0[Mob Size],0)))/INDEX(PartyCompare_0[Hard], MATCH(PartyCompare_0[[#This Row],[Mob Size]],PartyCompare_0[Mob Size],0))</f>
        <v>0</v>
      </c>
      <c r="AD5" s="34">
        <f>(PartyCompare_0[[#This Row],[Deadly]]-INDEX(PartyCompare_0[Deadly], MATCH(PartyCompare_0[[#This Row],[Mob Size]],PartyCompare_0[Mob Size],0)))/INDEX(PartyCompare_0[Deadly], MATCH(PartyCompare_0[[#This Row],[Mob Size]],PartyCompare_0[Mob Size],0))</f>
        <v>0</v>
      </c>
      <c r="AE5" s="48">
        <f>AVERAGE(PartyCompare_0[[#This Row],[Easy Deviation]:[Deadly Deviation]])</f>
        <v>0</v>
      </c>
      <c r="AF5" s="43">
        <f>IF(ISNUMBER(PartyCompare_0[[#This Row],[Level]]), PartyCompare_0[[#This Row],[Level]]+1, PartyCompare_0[[#This Row],[Level]])</f>
        <v>2</v>
      </c>
      <c r="AG5" s="36">
        <f>INDEX(Encounter_Diff[Easy], MATCH(PartyCompare_0[[#This Row],[+1 Level]],Encounter_Diff[Player Level],0))</f>
        <v>50</v>
      </c>
      <c r="AH5" s="36">
        <f>INDEX(Encounter_Diff[Medium], MATCH(PartyCompare_0[[#This Row],[+1 Level]],Encounter_Diff[Player Level],0))</f>
        <v>100</v>
      </c>
      <c r="AI5" s="36">
        <f>INDEX(Encounter_Diff[Hard], MATCH(PartyCompare_0[[#This Row],[+1 Level]],Encounter_Diff[Player Level],0))</f>
        <v>150</v>
      </c>
      <c r="AJ5" s="36">
        <f>INDEX(Encounter_Diff[Deadly], MATCH(PartyCompare_0[[#This Row],[+1 Level]],Encounter_Diff[Player Level],0))</f>
        <v>200</v>
      </c>
      <c r="AK5" s="63">
        <f>SUM(PartyCompare_0[+1 (Easy)])/INDEX(Encounter_Mod[[Small]:[Large]], MATCH(PartyCompare_0[[#This Row],[Mob Size]], Encounter_Mod[Type], 0), MATCH(PartyCompare_0[[#This Row],[Party Size]],Encounter_Mod[[#Headers],[Small]:[Large]],0))</f>
        <v>133.33333333333334</v>
      </c>
      <c r="AL5" s="38">
        <f>SUM(PartyCompare_0[+1 (Medium)])/INDEX(Encounter_Mod[[Small]:[Large]], MATCH(PartyCompare_0[[#This Row],[Mob Size]], Encounter_Mod[Type], 0), MATCH(PartyCompare_0[[#This Row],[Party Size]],Encounter_Mod[[#Headers],[Small]:[Large]],0))</f>
        <v>266.66666666666669</v>
      </c>
      <c r="AM5" s="38">
        <f>SUM(PartyCompare_0[+1 (Hard)])/INDEX(Encounter_Mod[[Small]:[Large]], MATCH(PartyCompare_0[[#This Row],[Mob Size]], Encounter_Mod[Type], 0), MATCH(PartyCompare_0[[#This Row],[Party Size]],Encounter_Mod[[#Headers],[Small]:[Large]],0))</f>
        <v>400</v>
      </c>
      <c r="AN5" s="43">
        <f>SUM(PartyCompare_0[+1 (Deadly)])/INDEX(Encounter_Mod[[Small]:[Large]], MATCH(PartyCompare_0[[#This Row],[Mob Size]], Encounter_Mod[Type], 0), MATCH(PartyCompare_0[[#This Row],[Party Size]],Encounter_Mod[[#Headers],[Small]:[Large]],0))</f>
        <v>533.33333333333337</v>
      </c>
      <c r="AO5" s="39">
        <f>(PartyCompare_0[[#This Row],[+1 Easy]]-INDEX(PartyCompare_0[+1 Easy], MATCH(PartyCompare_0[[#This Row],[Mob Size]],PartyCompare_0[Mob Size],0)))/INDEX(PartyCompare_0[+1 Easy], MATCH(PartyCompare_0[[#This Row],[Mob Size]],PartyCompare_0[Mob Size],0))</f>
        <v>0</v>
      </c>
      <c r="AP5" s="39">
        <f>(PartyCompare_0[[#This Row],[+1 Medium]]-INDEX(PartyCompare_0[+1 Medium], MATCH(PartyCompare_0[[#This Row],[Mob Size]],PartyCompare_0[Mob Size],0)))/INDEX(PartyCompare_0[+1 Medium], MATCH(PartyCompare_0[[#This Row],[Mob Size]],PartyCompare_0[Mob Size],0))</f>
        <v>0</v>
      </c>
      <c r="AQ5" s="39">
        <f>(PartyCompare_0[[#This Row],[+1 Hard]]-INDEX(PartyCompare_0[+1 Hard], MATCH(PartyCompare_0[[#This Row],[Mob Size]],PartyCompare_0[Mob Size],0)))/INDEX(PartyCompare_0[+1 Hard], MATCH(PartyCompare_0[[#This Row],[Mob Size]],PartyCompare_0[Mob Size],0))</f>
        <v>0</v>
      </c>
      <c r="AR5" s="34">
        <f>(PartyCompare_0[[#This Row],[+1 Deadly]]-INDEX(PartyCompare_0[+1 Deadly], MATCH(PartyCompare_0[[#This Row],[Mob Size]],PartyCompare_0[Mob Size],0)))/INDEX(PartyCompare_0[+1 Deadly], MATCH(PartyCompare_0[[#This Row],[Mob Size]],PartyCompare_0[Mob Size],0))</f>
        <v>0</v>
      </c>
      <c r="AS5" s="48">
        <f>AVERAGE(PartyCompare_0[[#This Row],[+1 Easy Deviation]:[+1 Deadly Deviation]])</f>
        <v>0</v>
      </c>
      <c r="AT5" s="36">
        <f>IF(ISNUMBER(PartyCompare_0[[#This Row],[Level]]), PartyCompare_0[[#This Row],[Level]]+2, PartyCompare_0[[#This Row],[Level]])</f>
        <v>3</v>
      </c>
      <c r="AU5" s="36">
        <f>INDEX(Encounter_Diff[Easy], MATCH(PartyCompare_0[[#This Row],[+2 Level]],Encounter_Diff[Player Level],0))</f>
        <v>75</v>
      </c>
      <c r="AV5" s="36">
        <f>INDEX(Encounter_Diff[Medium], MATCH(PartyCompare_0[[#This Row],[+2 Level]],Encounter_Diff[Player Level],0))</f>
        <v>150</v>
      </c>
      <c r="AW5" s="36">
        <f>INDEX(Encounter_Diff[Hard], MATCH(PartyCompare_0[[#This Row],[+2 Level]],Encounter_Diff[Player Level],0))</f>
        <v>225</v>
      </c>
      <c r="AX5" s="36">
        <f>INDEX(Encounter_Diff[Deadly], MATCH(PartyCompare_0[[#This Row],[+2 Level]],Encounter_Diff[Player Level],0))</f>
        <v>400</v>
      </c>
      <c r="AY5" s="63">
        <f>SUM(PartyCompare_0[+2 (Easy)])/INDEX(Encounter_Mod[[Small]:[Large]], MATCH(PartyCompare_0[[#This Row],[Mob Size]], Encounter_Mod[Type], 0), MATCH(PartyCompare_0[[#This Row],[Party Size]],Encounter_Mod[[#Headers],[Small]:[Large]],0))</f>
        <v>200</v>
      </c>
      <c r="AZ5" s="38">
        <f>SUM(PartyCompare_0[+2 (Medium)])/INDEX(Encounter_Mod[[Small]:[Large]], MATCH(PartyCompare_0[[#This Row],[Mob Size]], Encounter_Mod[Type], 0), MATCH(PartyCompare_0[[#This Row],[Party Size]],Encounter_Mod[[#Headers],[Small]:[Large]],0))</f>
        <v>400</v>
      </c>
      <c r="BA5" s="38">
        <f>SUM(PartyCompare_0[+2 (Hard)])/INDEX(Encounter_Mod[[Small]:[Large]], MATCH(PartyCompare_0[[#This Row],[Mob Size]], Encounter_Mod[Type], 0), MATCH(PartyCompare_0[[#This Row],[Party Size]],Encounter_Mod[[#Headers],[Small]:[Large]],0))</f>
        <v>600</v>
      </c>
      <c r="BB5" s="38">
        <f>SUM(PartyCompare_0[+2 (Deadly)])/INDEX(Encounter_Mod[[Small]:[Large]], MATCH(PartyCompare_0[[#This Row],[Mob Size]], Encounter_Mod[Type], 0), MATCH(PartyCompare_0[[#This Row],[Party Size]],Encounter_Mod[[#Headers],[Small]:[Large]],0))</f>
        <v>1066.6666666666667</v>
      </c>
      <c r="BC5" s="46">
        <f>(PartyCompare_0[[#This Row],[+2 Easy]]-INDEX(PartyCompare_0[+2 Easy], MATCH(PartyCompare_0[[#This Row],[Mob Size]],PartyCompare_0[Mob Size],0)))/INDEX(PartyCompare_0[+2 Easy], MATCH(PartyCompare_0[[#This Row],[Mob Size]],PartyCompare_0[Mob Size],0))</f>
        <v>0</v>
      </c>
      <c r="BD5" s="39">
        <f>(PartyCompare_0[[#This Row],[+2 Medium]]-INDEX(PartyCompare_0[+2 Medium], MATCH(PartyCompare_0[[#This Row],[Mob Size]],PartyCompare_0[Mob Size],0)))/INDEX(PartyCompare_0[+2 Medium], MATCH(PartyCompare_0[[#This Row],[Mob Size]],PartyCompare_0[Mob Size],0))</f>
        <v>0</v>
      </c>
      <c r="BE5" s="39">
        <f>(PartyCompare_0[[#This Row],[+2 Hard]]-INDEX(PartyCompare_0[+2 Hard], MATCH(PartyCompare_0[[#This Row],[Mob Size]],PartyCompare_0[Mob Size],0)))/INDEX(PartyCompare_0[+2 Hard], MATCH(PartyCompare_0[[#This Row],[Mob Size]],PartyCompare_0[Mob Size],0))</f>
        <v>0</v>
      </c>
      <c r="BF5" s="34">
        <f>(PartyCompare_0[[#This Row],[+2 Deadly]]-INDEX(PartyCompare_0[+2 Deadly], MATCH(PartyCompare_0[[#This Row],[Mob Size]],PartyCompare_0[Mob Size],0)))/INDEX(PartyCompare_0[+2 Deadly], MATCH(PartyCompare_0[[#This Row],[Mob Size]],PartyCompare_0[Mob Size],0))</f>
        <v>0</v>
      </c>
      <c r="BG5" s="48">
        <f>AVERAGE(PartyCompare_0[[#This Row],[+2 Easy Deviation]:[+2 Deadly Deviation]])</f>
        <v>0</v>
      </c>
      <c r="BH5" s="43">
        <f>IF(ISNUMBER(PartyCompare_0[[#This Row],[Level]]), PartyCompare_0[[#This Row],[Level]]+3, PartyCompare_0[[#This Row],[Level]])</f>
        <v>4</v>
      </c>
      <c r="BI5" s="36">
        <f>INDEX(Encounter_Diff[Easy], MATCH(PartyCompare_0[[#This Row],[+3 Level]],Encounter_Diff[Player Level],0))</f>
        <v>125</v>
      </c>
      <c r="BJ5" s="36">
        <f>INDEX(Encounter_Diff[Medium], MATCH(PartyCompare_0[[#This Row],[+3 Level]],Encounter_Diff[Player Level],0))</f>
        <v>250</v>
      </c>
      <c r="BK5" s="36">
        <f>INDEX(Encounter_Diff[Hard], MATCH(PartyCompare_0[[#This Row],[+3 Level]],Encounter_Diff[Player Level],0))</f>
        <v>375</v>
      </c>
      <c r="BL5" s="36">
        <f>INDEX(Encounter_Diff[Deadly], MATCH(PartyCompare_0[[#This Row],[+3 Level]],Encounter_Diff[Player Level],0))</f>
        <v>500</v>
      </c>
      <c r="BM5" s="63">
        <f>SUM(PartyCompare_0[+3 (Easy)])/INDEX(Encounter_Mod[[Small]:[Large]], MATCH(PartyCompare_0[[#This Row],[Mob Size]], Encounter_Mod[Type], 0), MATCH(PartyCompare_0[[#This Row],[Party Size]],Encounter_Mod[[#Headers],[Small]:[Large]],0))</f>
        <v>333.33333333333331</v>
      </c>
      <c r="BN5" s="38">
        <f>SUM(PartyCompare_0[+3 (Medium)])/INDEX(Encounter_Mod[[Small]:[Large]], MATCH(PartyCompare_0[[#This Row],[Mob Size]], Encounter_Mod[Type], 0), MATCH(PartyCompare_0[[#This Row],[Party Size]],Encounter_Mod[[#Headers],[Small]:[Large]],0))</f>
        <v>666.66666666666663</v>
      </c>
      <c r="BO5" s="38">
        <f>SUM(PartyCompare_0[+3 (Hard)])/INDEX(Encounter_Mod[[Small]:[Large]], MATCH(PartyCompare_0[[#This Row],[Mob Size]], Encounter_Mod[Type], 0), MATCH(PartyCompare_0[[#This Row],[Party Size]],Encounter_Mod[[#Headers],[Small]:[Large]],0))</f>
        <v>1000</v>
      </c>
      <c r="BP5" s="42">
        <f>SUM(PartyCompare_0[+3 (Deadly)])/INDEX(Encounter_Mod[[Small]:[Large]], MATCH(PartyCompare_0[[#This Row],[Mob Size]], Encounter_Mod[Type], 0), MATCH(PartyCompare_0[[#This Row],[Party Size]],Encounter_Mod[[#Headers],[Small]:[Large]],0))</f>
        <v>1333.3333333333333</v>
      </c>
      <c r="BQ5" s="46">
        <f>(PartyCompare_0[[#This Row],[+3 Easy]]-INDEX(PartyCompare_0[+3 Easy], MATCH(PartyCompare_0[[#This Row],[Mob Size]],PartyCompare_0[Mob Size],0)))/INDEX(PartyCompare_0[+3 Easy], MATCH(PartyCompare_0[[#This Row],[Mob Size]],PartyCompare_0[Mob Size],0))</f>
        <v>0</v>
      </c>
      <c r="BR5" s="39">
        <f>(PartyCompare_0[[#This Row],[+3 Medium]]-INDEX(PartyCompare_0[+3 Medium], MATCH(PartyCompare_0[[#This Row],[Mob Size]],PartyCompare_0[Mob Size],0)))/INDEX(PartyCompare_0[+3 Medium], MATCH(PartyCompare_0[[#This Row],[Mob Size]],PartyCompare_0[Mob Size],0))</f>
        <v>0</v>
      </c>
      <c r="BS5" s="39">
        <f>(PartyCompare_0[[#This Row],[+3 Hard]]-INDEX(PartyCompare_0[+3 Hard], MATCH(PartyCompare_0[[#This Row],[Mob Size]],PartyCompare_0[Mob Size],0)))/INDEX(PartyCompare_0[+3 Hard], MATCH(PartyCompare_0[[#This Row],[Mob Size]],PartyCompare_0[Mob Size],0))</f>
        <v>0</v>
      </c>
      <c r="BT5" s="33">
        <f>(PartyCompare_0[[#This Row],[+3 Deadly]]-INDEX(PartyCompare_0[+3 Deadly], MATCH(PartyCompare_0[[#This Row],[Mob Size]],PartyCompare_0[Mob Size],0)))/INDEX(PartyCompare_0[+3 Deadly], MATCH(PartyCompare_0[[#This Row],[Mob Size]],PartyCompare_0[Mob Size],0))</f>
        <v>0</v>
      </c>
      <c r="BU5" s="48">
        <f>AVERAGE(PartyCompare_0[[#This Row],[+3 Easy Deviation]:[+3 Deadly Deviation]])</f>
        <v>0</v>
      </c>
      <c r="BV5" s="42">
        <f>IF(ISNUMBER(PartyCompare_0[[#This Row],[Level]]), PartyCompare_0[[#This Row],[Level]]+4, PartyCompare_0[[#This Row],[Level]])</f>
        <v>5</v>
      </c>
      <c r="BW5" s="31">
        <f>INDEX(Encounter_Diff[Easy], MATCH(PartyCompare_0[[#This Row],[+4 Level]],Encounter_Diff[Player Level],0))</f>
        <v>250</v>
      </c>
      <c r="BX5" s="36">
        <f>INDEX(Encounter_Diff[Medium], MATCH(PartyCompare_0[[#This Row],[+4 Level]],Encounter_Diff[Player Level],0))</f>
        <v>500</v>
      </c>
      <c r="BY5" s="36">
        <f>INDEX(Encounter_Diff[Hard], MATCH(PartyCompare_0[[#This Row],[+4 Level]],Encounter_Diff[Player Level],0))</f>
        <v>750</v>
      </c>
      <c r="BZ5" s="36">
        <f>INDEX(Encounter_Diff[Deadly], MATCH(PartyCompare_0[[#This Row],[+4 Level]],Encounter_Diff[Player Level],0))</f>
        <v>1100</v>
      </c>
      <c r="CA5" s="63">
        <f>SUM(PartyCompare_0[+4 (Easy)])/INDEX(Encounter_Mod[[Small]:[Large]], MATCH(PartyCompare_0[[#This Row],[Mob Size]], Encounter_Mod[Type], 0), MATCH(PartyCompare_0[[#This Row],[Party Size]],Encounter_Mod[[#Headers],[Small]:[Large]],0))</f>
        <v>666.66666666666663</v>
      </c>
      <c r="CB5" s="38">
        <f>SUM(PartyCompare_0[+4 (Medium)])/INDEX(Encounter_Mod[[Small]:[Large]], MATCH(PartyCompare_0[[#This Row],[Mob Size]], Encounter_Mod[Type], 0), MATCH(PartyCompare_0[[#This Row],[Party Size]],Encounter_Mod[[#Headers],[Small]:[Large]],0))</f>
        <v>1333.3333333333333</v>
      </c>
      <c r="CC5" s="38">
        <f>SUM(PartyCompare_0[+4 (Hard)])/INDEX(Encounter_Mod[[Small]:[Large]], MATCH(PartyCompare_0[[#This Row],[Mob Size]], Encounter_Mod[Type], 0), MATCH(PartyCompare_0[[#This Row],[Party Size]],Encounter_Mod[[#Headers],[Small]:[Large]],0))</f>
        <v>2000</v>
      </c>
      <c r="CD5" s="42">
        <f>SUM(PartyCompare_0[+4 (Deadly)])/INDEX(Encounter_Mod[[Small]:[Large]], MATCH(PartyCompare_0[[#This Row],[Mob Size]], Encounter_Mod[Type], 0), MATCH(PartyCompare_0[[#This Row],[Party Size]],Encounter_Mod[[#Headers],[Small]:[Large]],0))</f>
        <v>2933.3333333333335</v>
      </c>
      <c r="CE5" s="46">
        <f>(PartyCompare_0[[#This Row],[+4 Easy]]-INDEX(PartyCompare_0[+4 Easy], MATCH(PartyCompare_0[[#This Row],[Mob Size]],PartyCompare_0[Mob Size],0)))/INDEX(PartyCompare_0[+4 Easy], MATCH(PartyCompare_0[[#This Row],[Mob Size]],PartyCompare_0[Mob Size],0))</f>
        <v>0</v>
      </c>
      <c r="CF5" s="39">
        <f>(PartyCompare_0[[#This Row],[+4 Medium]]-INDEX(PartyCompare_0[+4 Medium], MATCH(PartyCompare_0[[#This Row],[Mob Size]],PartyCompare_0[Mob Size],0)))/INDEX(PartyCompare_0[+4 Medium], MATCH(PartyCompare_0[[#This Row],[Mob Size]],PartyCompare_0[Mob Size],0))</f>
        <v>0</v>
      </c>
      <c r="CG5" s="39">
        <f>(PartyCompare_0[[#This Row],[+4 Hard]]-INDEX(PartyCompare_0[+4 Hard], MATCH(PartyCompare_0[[#This Row],[Mob Size]],PartyCompare_0[Mob Size],0)))/INDEX(PartyCompare_0[+4 Hard], MATCH(PartyCompare_0[[#This Row],[Mob Size]],PartyCompare_0[Mob Size],0))</f>
        <v>0</v>
      </c>
      <c r="CH5" s="34">
        <f>(PartyCompare_0[[#This Row],[+4 Deadly]]-INDEX(PartyCompare_0[+4 Deadly], MATCH(PartyCompare_0[[#This Row],[Mob Size]],PartyCompare_0[Mob Size],0)))/INDEX(PartyCompare_0[+4 Deadly], MATCH(PartyCompare_0[[#This Row],[Mob Size]],PartyCompare_0[Mob Size],0))</f>
        <v>0</v>
      </c>
      <c r="CI5" s="48">
        <f>AVERAGE(PartyCompare_0[[#This Row],[+4 Easy Deviation]:[+4 Deadly Deviation]])</f>
        <v>0</v>
      </c>
    </row>
    <row r="6" spans="2:87" x14ac:dyDescent="0.2">
      <c r="B6" s="167" t="s">
        <v>228</v>
      </c>
      <c r="C6" s="168">
        <v>2</v>
      </c>
      <c r="D6" s="169">
        <v>6</v>
      </c>
      <c r="E6" s="170">
        <v>0.24583333333333335</v>
      </c>
      <c r="F6" s="170">
        <v>-4.1666666666666706E-2</v>
      </c>
      <c r="G6" s="170">
        <v>0.22187499999999996</v>
      </c>
      <c r="H6" s="170">
        <v>-4.1666666666666657E-2</v>
      </c>
      <c r="I6" s="170">
        <v>-0.43342171717171712</v>
      </c>
      <c r="J6" s="88"/>
      <c r="L6" s="228"/>
      <c r="M6" s="89" t="s">
        <v>137</v>
      </c>
      <c r="N6" s="90">
        <v>1</v>
      </c>
      <c r="O6" s="36">
        <f>INDEX(Encounter_Diff[Easy], MATCH(PartyCompare_0[[#This Row],[Level]],Encounter_Diff[Player Level],0))</f>
        <v>25</v>
      </c>
      <c r="P6" s="36">
        <f>INDEX(Encounter_Diff[Medium], MATCH(PartyCompare_0[[#This Row],[Level]],Encounter_Diff[Player Level],0))</f>
        <v>50</v>
      </c>
      <c r="Q6" s="36">
        <f>INDEX(Encounter_Diff[Hard], MATCH(PartyCompare_0[[#This Row],[Level]],Encounter_Diff[Player Level],0))</f>
        <v>75</v>
      </c>
      <c r="R6" s="30">
        <f>INDEX(Encounter_Diff[Deadly], MATCH(PartyCompare_0[[#This Row],[Level]],Encounter_Diff[Player Level],0))</f>
        <v>100</v>
      </c>
      <c r="S6" s="97" t="str">
        <f t="shared" si="0"/>
        <v>Base Party (Zero Comparison)</v>
      </c>
      <c r="T6" s="32" t="str">
        <f>IF(COUNT(PartyCompare_0[Level])&lt;=2,"Small", IF(COUNT(PartyCompare_0[Level])&lt;=5,"Med", IF(COUNT(PartyCompare_0[Level])&lt;=8, "Large", "TOO BIG!")))</f>
        <v>Med</v>
      </c>
      <c r="U6" s="73" t="s">
        <v>109</v>
      </c>
      <c r="V6" s="77" t="str">
        <f>INDEX(Encounter_Mod[Count], MATCH(PartyCompare_0[[#This Row],[Mob Size]], Encounter_Mod[Type],0))</f>
        <v>3-6</v>
      </c>
      <c r="W6" s="81">
        <f>SUM(PartyCompare_0[(Easy)])/INDEX(Encounter_Mod[[Small]:[Large]], MATCH(PartyCompare_0[[#This Row],[Mob Size]], Encounter_Mod[Type], 0), MATCH(PartyCompare_0[[#This Row],[Party Size]],Encounter_Mod[[#Headers],[Small]:[Large]],0))</f>
        <v>50</v>
      </c>
      <c r="X6" s="42">
        <f>SUM(PartyCompare_0[(Medium)])/INDEX(Encounter_Mod[[Small]:[Large]], MATCH(PartyCompare_0[[#This Row],[Mob Size]], Encounter_Mod[Type], 0), MATCH(PartyCompare_0[[#This Row],[Party Size]],Encounter_Mod[[#Headers],[Small]:[Large]],0))</f>
        <v>100</v>
      </c>
      <c r="Y6" s="42">
        <f>SUM(PartyCompare_0[(Hard)])/INDEX(Encounter_Mod[[Small]:[Large]], MATCH(PartyCompare_0[[#This Row],[Mob Size]], Encounter_Mod[Type], 0), MATCH(PartyCompare_0[[#This Row],[Party Size]],Encounter_Mod[[#Headers],[Small]:[Large]],0))</f>
        <v>150</v>
      </c>
      <c r="Z6" s="43">
        <f>SUM(PartyCompare_0[(Deadly)])/INDEX(Encounter_Mod[[Small]:[Large]], MATCH(PartyCompare_0[[#This Row],[Mob Size]], Encounter_Mod[Type], 0), MATCH(PartyCompare_0[[#This Row],[Party Size]],Encounter_Mod[[#Headers],[Small]:[Large]],0))</f>
        <v>200</v>
      </c>
      <c r="AA6" s="33">
        <f>(PartyCompare_0[[#This Row],[Easy]]-INDEX(PartyCompare_0[Easy], MATCH(PartyCompare_0[[#This Row],[Mob Size]],PartyCompare_0[Mob Size],0)))/INDEX(PartyCompare_0[Easy], MATCH(PartyCompare_0[[#This Row],[Mob Size]],PartyCompare_0[Mob Size],0))</f>
        <v>0</v>
      </c>
      <c r="AB6" s="33">
        <f>(PartyCompare_0[[#This Row],[Medium]]-INDEX(PartyCompare_0[Medium], MATCH(PartyCompare_0[[#This Row],[Mob Size]],PartyCompare_0[Mob Size],0)))/INDEX(PartyCompare_0[Medium], MATCH(PartyCompare_0[[#This Row],[Mob Size]],PartyCompare_0[Mob Size],0))</f>
        <v>0</v>
      </c>
      <c r="AC6" s="33">
        <f>(PartyCompare_0[[#This Row],[Hard]]-INDEX(PartyCompare_0[Hard], MATCH(PartyCompare_0[[#This Row],[Mob Size]],PartyCompare_0[Mob Size],0)))/INDEX(PartyCompare_0[Hard], MATCH(PartyCompare_0[[#This Row],[Mob Size]],PartyCompare_0[Mob Size],0))</f>
        <v>0</v>
      </c>
      <c r="AD6" s="34">
        <f>(PartyCompare_0[[#This Row],[Deadly]]-INDEX(PartyCompare_0[Deadly], MATCH(PartyCompare_0[[#This Row],[Mob Size]],PartyCompare_0[Mob Size],0)))/INDEX(PartyCompare_0[Deadly], MATCH(PartyCompare_0[[#This Row],[Mob Size]],PartyCompare_0[Mob Size],0))</f>
        <v>0</v>
      </c>
      <c r="AE6" s="48">
        <f>AVERAGE(PartyCompare_0[[#This Row],[Easy Deviation]:[Deadly Deviation]])</f>
        <v>0</v>
      </c>
      <c r="AF6" s="43">
        <f>IF(ISNUMBER(PartyCompare_0[[#This Row],[Level]]), PartyCompare_0[[#This Row],[Level]]+1, PartyCompare_0[[#This Row],[Level]])</f>
        <v>2</v>
      </c>
      <c r="AG6" s="36">
        <f>INDEX(Encounter_Diff[Easy], MATCH(PartyCompare_0[[#This Row],[+1 Level]],Encounter_Diff[Player Level],0))</f>
        <v>50</v>
      </c>
      <c r="AH6" s="36">
        <f>INDEX(Encounter_Diff[Medium], MATCH(PartyCompare_0[[#This Row],[+1 Level]],Encounter_Diff[Player Level],0))</f>
        <v>100</v>
      </c>
      <c r="AI6" s="36">
        <f>INDEX(Encounter_Diff[Hard], MATCH(PartyCompare_0[[#This Row],[+1 Level]],Encounter_Diff[Player Level],0))</f>
        <v>150</v>
      </c>
      <c r="AJ6" s="36">
        <f>INDEX(Encounter_Diff[Deadly], MATCH(PartyCompare_0[[#This Row],[+1 Level]],Encounter_Diff[Player Level],0))</f>
        <v>200</v>
      </c>
      <c r="AK6" s="63">
        <f>SUM(PartyCompare_0[+1 (Easy)])/INDEX(Encounter_Mod[[Small]:[Large]], MATCH(PartyCompare_0[[#This Row],[Mob Size]], Encounter_Mod[Type], 0), MATCH(PartyCompare_0[[#This Row],[Party Size]],Encounter_Mod[[#Headers],[Small]:[Large]],0))</f>
        <v>100</v>
      </c>
      <c r="AL6" s="38">
        <f>SUM(PartyCompare_0[+1 (Medium)])/INDEX(Encounter_Mod[[Small]:[Large]], MATCH(PartyCompare_0[[#This Row],[Mob Size]], Encounter_Mod[Type], 0), MATCH(PartyCompare_0[[#This Row],[Party Size]],Encounter_Mod[[#Headers],[Small]:[Large]],0))</f>
        <v>200</v>
      </c>
      <c r="AM6" s="38">
        <f>SUM(PartyCompare_0[+1 (Hard)])/INDEX(Encounter_Mod[[Small]:[Large]], MATCH(PartyCompare_0[[#This Row],[Mob Size]], Encounter_Mod[Type], 0), MATCH(PartyCompare_0[[#This Row],[Party Size]],Encounter_Mod[[#Headers],[Small]:[Large]],0))</f>
        <v>300</v>
      </c>
      <c r="AN6" s="43">
        <f>SUM(PartyCompare_0[+1 (Deadly)])/INDEX(Encounter_Mod[[Small]:[Large]], MATCH(PartyCompare_0[[#This Row],[Mob Size]], Encounter_Mod[Type], 0), MATCH(PartyCompare_0[[#This Row],[Party Size]],Encounter_Mod[[#Headers],[Small]:[Large]],0))</f>
        <v>400</v>
      </c>
      <c r="AO6" s="39">
        <f>(PartyCompare_0[[#This Row],[+1 Easy]]-INDEX(PartyCompare_0[+1 Easy], MATCH(PartyCompare_0[[#This Row],[Mob Size]],PartyCompare_0[Mob Size],0)))/INDEX(PartyCompare_0[+1 Easy], MATCH(PartyCompare_0[[#This Row],[Mob Size]],PartyCompare_0[Mob Size],0))</f>
        <v>0</v>
      </c>
      <c r="AP6" s="39">
        <f>(PartyCompare_0[[#This Row],[+1 Medium]]-INDEX(PartyCompare_0[+1 Medium], MATCH(PartyCompare_0[[#This Row],[Mob Size]],PartyCompare_0[Mob Size],0)))/INDEX(PartyCompare_0[+1 Medium], MATCH(PartyCompare_0[[#This Row],[Mob Size]],PartyCompare_0[Mob Size],0))</f>
        <v>0</v>
      </c>
      <c r="AQ6" s="39">
        <f>(PartyCompare_0[[#This Row],[+1 Hard]]-INDEX(PartyCompare_0[+1 Hard], MATCH(PartyCompare_0[[#This Row],[Mob Size]],PartyCompare_0[Mob Size],0)))/INDEX(PartyCompare_0[+1 Hard], MATCH(PartyCompare_0[[#This Row],[Mob Size]],PartyCompare_0[Mob Size],0))</f>
        <v>0</v>
      </c>
      <c r="AR6" s="34">
        <f>(PartyCompare_0[[#This Row],[+1 Deadly]]-INDEX(PartyCompare_0[+1 Deadly], MATCH(PartyCompare_0[[#This Row],[Mob Size]],PartyCompare_0[Mob Size],0)))/INDEX(PartyCompare_0[+1 Deadly], MATCH(PartyCompare_0[[#This Row],[Mob Size]],PartyCompare_0[Mob Size],0))</f>
        <v>0</v>
      </c>
      <c r="AS6" s="48">
        <f>AVERAGE(PartyCompare_0[[#This Row],[+1 Easy Deviation]:[+1 Deadly Deviation]])</f>
        <v>0</v>
      </c>
      <c r="AT6" s="36">
        <f>IF(ISNUMBER(PartyCompare_0[[#This Row],[Level]]), PartyCompare_0[[#This Row],[Level]]+2, PartyCompare_0[[#This Row],[Level]])</f>
        <v>3</v>
      </c>
      <c r="AU6" s="36">
        <f>INDEX(Encounter_Diff[Easy], MATCH(PartyCompare_0[[#This Row],[+2 Level]],Encounter_Diff[Player Level],0))</f>
        <v>75</v>
      </c>
      <c r="AV6" s="36">
        <f>INDEX(Encounter_Diff[Medium], MATCH(PartyCompare_0[[#This Row],[+2 Level]],Encounter_Diff[Player Level],0))</f>
        <v>150</v>
      </c>
      <c r="AW6" s="36">
        <f>INDEX(Encounter_Diff[Hard], MATCH(PartyCompare_0[[#This Row],[+2 Level]],Encounter_Diff[Player Level],0))</f>
        <v>225</v>
      </c>
      <c r="AX6" s="36">
        <f>INDEX(Encounter_Diff[Deadly], MATCH(PartyCompare_0[[#This Row],[+2 Level]],Encounter_Diff[Player Level],0))</f>
        <v>400</v>
      </c>
      <c r="AY6" s="63">
        <f>SUM(PartyCompare_0[+2 (Easy)])/INDEX(Encounter_Mod[[Small]:[Large]], MATCH(PartyCompare_0[[#This Row],[Mob Size]], Encounter_Mod[Type], 0), MATCH(PartyCompare_0[[#This Row],[Party Size]],Encounter_Mod[[#Headers],[Small]:[Large]],0))</f>
        <v>150</v>
      </c>
      <c r="AZ6" s="38">
        <f>SUM(PartyCompare_0[+2 (Medium)])/INDEX(Encounter_Mod[[Small]:[Large]], MATCH(PartyCompare_0[[#This Row],[Mob Size]], Encounter_Mod[Type], 0), MATCH(PartyCompare_0[[#This Row],[Party Size]],Encounter_Mod[[#Headers],[Small]:[Large]],0))</f>
        <v>300</v>
      </c>
      <c r="BA6" s="38">
        <f>SUM(PartyCompare_0[+2 (Hard)])/INDEX(Encounter_Mod[[Small]:[Large]], MATCH(PartyCompare_0[[#This Row],[Mob Size]], Encounter_Mod[Type], 0), MATCH(PartyCompare_0[[#This Row],[Party Size]],Encounter_Mod[[#Headers],[Small]:[Large]],0))</f>
        <v>450</v>
      </c>
      <c r="BB6" s="38">
        <f>SUM(PartyCompare_0[+2 (Deadly)])/INDEX(Encounter_Mod[[Small]:[Large]], MATCH(PartyCompare_0[[#This Row],[Mob Size]], Encounter_Mod[Type], 0), MATCH(PartyCompare_0[[#This Row],[Party Size]],Encounter_Mod[[#Headers],[Small]:[Large]],0))</f>
        <v>800</v>
      </c>
      <c r="BC6" s="46">
        <f>(PartyCompare_0[[#This Row],[+2 Easy]]-INDEX(PartyCompare_0[+2 Easy], MATCH(PartyCompare_0[[#This Row],[Mob Size]],PartyCompare_0[Mob Size],0)))/INDEX(PartyCompare_0[+2 Easy], MATCH(PartyCompare_0[[#This Row],[Mob Size]],PartyCompare_0[Mob Size],0))</f>
        <v>0</v>
      </c>
      <c r="BD6" s="39">
        <f>(PartyCompare_0[[#This Row],[+2 Medium]]-INDEX(PartyCompare_0[+2 Medium], MATCH(PartyCompare_0[[#This Row],[Mob Size]],PartyCompare_0[Mob Size],0)))/INDEX(PartyCompare_0[+2 Medium], MATCH(PartyCompare_0[[#This Row],[Mob Size]],PartyCompare_0[Mob Size],0))</f>
        <v>0</v>
      </c>
      <c r="BE6" s="39">
        <f>(PartyCompare_0[[#This Row],[+2 Hard]]-INDEX(PartyCompare_0[+2 Hard], MATCH(PartyCompare_0[[#This Row],[Mob Size]],PartyCompare_0[Mob Size],0)))/INDEX(PartyCompare_0[+2 Hard], MATCH(PartyCompare_0[[#This Row],[Mob Size]],PartyCompare_0[Mob Size],0))</f>
        <v>0</v>
      </c>
      <c r="BF6" s="34">
        <f>(PartyCompare_0[[#This Row],[+2 Deadly]]-INDEX(PartyCompare_0[+2 Deadly], MATCH(PartyCompare_0[[#This Row],[Mob Size]],PartyCompare_0[Mob Size],0)))/INDEX(PartyCompare_0[+2 Deadly], MATCH(PartyCompare_0[[#This Row],[Mob Size]],PartyCompare_0[Mob Size],0))</f>
        <v>0</v>
      </c>
      <c r="BG6" s="48">
        <f>AVERAGE(PartyCompare_0[[#This Row],[+2 Easy Deviation]:[+2 Deadly Deviation]])</f>
        <v>0</v>
      </c>
      <c r="BH6" s="43">
        <f>IF(ISNUMBER(PartyCompare_0[[#This Row],[Level]]), PartyCompare_0[[#This Row],[Level]]+3, PartyCompare_0[[#This Row],[Level]])</f>
        <v>4</v>
      </c>
      <c r="BI6" s="36">
        <f>INDEX(Encounter_Diff[Easy], MATCH(PartyCompare_0[[#This Row],[+3 Level]],Encounter_Diff[Player Level],0))</f>
        <v>125</v>
      </c>
      <c r="BJ6" s="36">
        <f>INDEX(Encounter_Diff[Medium], MATCH(PartyCompare_0[[#This Row],[+3 Level]],Encounter_Diff[Player Level],0))</f>
        <v>250</v>
      </c>
      <c r="BK6" s="36">
        <f>INDEX(Encounter_Diff[Hard], MATCH(PartyCompare_0[[#This Row],[+3 Level]],Encounter_Diff[Player Level],0))</f>
        <v>375</v>
      </c>
      <c r="BL6" s="36">
        <f>INDEX(Encounter_Diff[Deadly], MATCH(PartyCompare_0[[#This Row],[+3 Level]],Encounter_Diff[Player Level],0))</f>
        <v>500</v>
      </c>
      <c r="BM6" s="63">
        <f>SUM(PartyCompare_0[+3 (Easy)])/INDEX(Encounter_Mod[[Small]:[Large]], MATCH(PartyCompare_0[[#This Row],[Mob Size]], Encounter_Mod[Type], 0), MATCH(PartyCompare_0[[#This Row],[Party Size]],Encounter_Mod[[#Headers],[Small]:[Large]],0))</f>
        <v>250</v>
      </c>
      <c r="BN6" s="38">
        <f>SUM(PartyCompare_0[+3 (Medium)])/INDEX(Encounter_Mod[[Small]:[Large]], MATCH(PartyCompare_0[[#This Row],[Mob Size]], Encounter_Mod[Type], 0), MATCH(PartyCompare_0[[#This Row],[Party Size]],Encounter_Mod[[#Headers],[Small]:[Large]],0))</f>
        <v>500</v>
      </c>
      <c r="BO6" s="38">
        <f>SUM(PartyCompare_0[+3 (Hard)])/INDEX(Encounter_Mod[[Small]:[Large]], MATCH(PartyCompare_0[[#This Row],[Mob Size]], Encounter_Mod[Type], 0), MATCH(PartyCompare_0[[#This Row],[Party Size]],Encounter_Mod[[#Headers],[Small]:[Large]],0))</f>
        <v>750</v>
      </c>
      <c r="BP6" s="42">
        <f>SUM(PartyCompare_0[+3 (Deadly)])/INDEX(Encounter_Mod[[Small]:[Large]], MATCH(PartyCompare_0[[#This Row],[Mob Size]], Encounter_Mod[Type], 0), MATCH(PartyCompare_0[[#This Row],[Party Size]],Encounter_Mod[[#Headers],[Small]:[Large]],0))</f>
        <v>1000</v>
      </c>
      <c r="BQ6" s="46">
        <f>(PartyCompare_0[[#This Row],[+3 Easy]]-INDEX(PartyCompare_0[+3 Easy], MATCH(PartyCompare_0[[#This Row],[Mob Size]],PartyCompare_0[Mob Size],0)))/INDEX(PartyCompare_0[+3 Easy], MATCH(PartyCompare_0[[#This Row],[Mob Size]],PartyCompare_0[Mob Size],0))</f>
        <v>0</v>
      </c>
      <c r="BR6" s="39">
        <f>(PartyCompare_0[[#This Row],[+3 Medium]]-INDEX(PartyCompare_0[+3 Medium], MATCH(PartyCompare_0[[#This Row],[Mob Size]],PartyCompare_0[Mob Size],0)))/INDEX(PartyCompare_0[+3 Medium], MATCH(PartyCompare_0[[#This Row],[Mob Size]],PartyCompare_0[Mob Size],0))</f>
        <v>0</v>
      </c>
      <c r="BS6" s="39">
        <f>(PartyCompare_0[[#This Row],[+3 Hard]]-INDEX(PartyCompare_0[+3 Hard], MATCH(PartyCompare_0[[#This Row],[Mob Size]],PartyCompare_0[Mob Size],0)))/INDEX(PartyCompare_0[+3 Hard], MATCH(PartyCompare_0[[#This Row],[Mob Size]],PartyCompare_0[Mob Size],0))</f>
        <v>0</v>
      </c>
      <c r="BT6" s="33">
        <f>(PartyCompare_0[[#This Row],[+3 Deadly]]-INDEX(PartyCompare_0[+3 Deadly], MATCH(PartyCompare_0[[#This Row],[Mob Size]],PartyCompare_0[Mob Size],0)))/INDEX(PartyCompare_0[+3 Deadly], MATCH(PartyCompare_0[[#This Row],[Mob Size]],PartyCompare_0[Mob Size],0))</f>
        <v>0</v>
      </c>
      <c r="BU6" s="48">
        <f>AVERAGE(PartyCompare_0[[#This Row],[+3 Easy Deviation]:[+3 Deadly Deviation]])</f>
        <v>0</v>
      </c>
      <c r="BV6" s="42">
        <f>IF(ISNUMBER(PartyCompare_0[[#This Row],[Level]]), PartyCompare_0[[#This Row],[Level]]+4, PartyCompare_0[[#This Row],[Level]])</f>
        <v>5</v>
      </c>
      <c r="BW6" s="31">
        <f>INDEX(Encounter_Diff[Easy], MATCH(PartyCompare_0[[#This Row],[+4 Level]],Encounter_Diff[Player Level],0))</f>
        <v>250</v>
      </c>
      <c r="BX6" s="36">
        <f>INDEX(Encounter_Diff[Medium], MATCH(PartyCompare_0[[#This Row],[+4 Level]],Encounter_Diff[Player Level],0))</f>
        <v>500</v>
      </c>
      <c r="BY6" s="36">
        <f>INDEX(Encounter_Diff[Hard], MATCH(PartyCompare_0[[#This Row],[+4 Level]],Encounter_Diff[Player Level],0))</f>
        <v>750</v>
      </c>
      <c r="BZ6" s="36">
        <f>INDEX(Encounter_Diff[Deadly], MATCH(PartyCompare_0[[#This Row],[+4 Level]],Encounter_Diff[Player Level],0))</f>
        <v>1100</v>
      </c>
      <c r="CA6" s="63">
        <f>SUM(PartyCompare_0[+4 (Easy)])/INDEX(Encounter_Mod[[Small]:[Large]], MATCH(PartyCompare_0[[#This Row],[Mob Size]], Encounter_Mod[Type], 0), MATCH(PartyCompare_0[[#This Row],[Party Size]],Encounter_Mod[[#Headers],[Small]:[Large]],0))</f>
        <v>500</v>
      </c>
      <c r="CB6" s="38">
        <f>SUM(PartyCompare_0[+4 (Medium)])/INDEX(Encounter_Mod[[Small]:[Large]], MATCH(PartyCompare_0[[#This Row],[Mob Size]], Encounter_Mod[Type], 0), MATCH(PartyCompare_0[[#This Row],[Party Size]],Encounter_Mod[[#Headers],[Small]:[Large]],0))</f>
        <v>1000</v>
      </c>
      <c r="CC6" s="38">
        <f>SUM(PartyCompare_0[+4 (Hard)])/INDEX(Encounter_Mod[[Small]:[Large]], MATCH(PartyCompare_0[[#This Row],[Mob Size]], Encounter_Mod[Type], 0), MATCH(PartyCompare_0[[#This Row],[Party Size]],Encounter_Mod[[#Headers],[Small]:[Large]],0))</f>
        <v>1500</v>
      </c>
      <c r="CD6" s="42">
        <f>SUM(PartyCompare_0[+4 (Deadly)])/INDEX(Encounter_Mod[[Small]:[Large]], MATCH(PartyCompare_0[[#This Row],[Mob Size]], Encounter_Mod[Type], 0), MATCH(PartyCompare_0[[#This Row],[Party Size]],Encounter_Mod[[#Headers],[Small]:[Large]],0))</f>
        <v>2200</v>
      </c>
      <c r="CE6" s="46">
        <f>(PartyCompare_0[[#This Row],[+4 Easy]]-INDEX(PartyCompare_0[+4 Easy], MATCH(PartyCompare_0[[#This Row],[Mob Size]],PartyCompare_0[Mob Size],0)))/INDEX(PartyCompare_0[+4 Easy], MATCH(PartyCompare_0[[#This Row],[Mob Size]],PartyCompare_0[Mob Size],0))</f>
        <v>0</v>
      </c>
      <c r="CF6" s="39">
        <f>(PartyCompare_0[[#This Row],[+4 Medium]]-INDEX(PartyCompare_0[+4 Medium], MATCH(PartyCompare_0[[#This Row],[Mob Size]],PartyCompare_0[Mob Size],0)))/INDEX(PartyCompare_0[+4 Medium], MATCH(PartyCompare_0[[#This Row],[Mob Size]],PartyCompare_0[Mob Size],0))</f>
        <v>0</v>
      </c>
      <c r="CG6" s="39">
        <f>(PartyCompare_0[[#This Row],[+4 Hard]]-INDEX(PartyCompare_0[+4 Hard], MATCH(PartyCompare_0[[#This Row],[Mob Size]],PartyCompare_0[Mob Size],0)))/INDEX(PartyCompare_0[+4 Hard], MATCH(PartyCompare_0[[#This Row],[Mob Size]],PartyCompare_0[Mob Size],0))</f>
        <v>0</v>
      </c>
      <c r="CH6" s="34">
        <f>(PartyCompare_0[[#This Row],[+4 Deadly]]-INDEX(PartyCompare_0[+4 Deadly], MATCH(PartyCompare_0[[#This Row],[Mob Size]],PartyCompare_0[Mob Size],0)))/INDEX(PartyCompare_0[+4 Deadly], MATCH(PartyCompare_0[[#This Row],[Mob Size]],PartyCompare_0[Mob Size],0))</f>
        <v>0</v>
      </c>
      <c r="CI6" s="48">
        <f>AVERAGE(PartyCompare_0[[#This Row],[+4 Easy Deviation]:[+4 Deadly Deviation]])</f>
        <v>0</v>
      </c>
    </row>
    <row r="7" spans="2:87" x14ac:dyDescent="0.2">
      <c r="B7" s="167" t="s">
        <v>231</v>
      </c>
      <c r="C7" s="168">
        <v>4</v>
      </c>
      <c r="D7" s="169">
        <v>4</v>
      </c>
      <c r="E7" s="170">
        <v>0</v>
      </c>
      <c r="F7" s="170">
        <v>0</v>
      </c>
      <c r="G7" s="170">
        <v>0</v>
      </c>
      <c r="H7" s="170">
        <v>0</v>
      </c>
      <c r="I7" s="170">
        <v>0</v>
      </c>
      <c r="J7" s="88"/>
      <c r="L7" s="228"/>
      <c r="M7" s="89" t="s">
        <v>138</v>
      </c>
      <c r="N7" s="90">
        <v>1</v>
      </c>
      <c r="O7" s="36">
        <f>INDEX(Encounter_Diff[Easy], MATCH(PartyCompare_0[[#This Row],[Level]],Encounter_Diff[Player Level],0))</f>
        <v>25</v>
      </c>
      <c r="P7" s="36">
        <f>INDEX(Encounter_Diff[Medium], MATCH(PartyCompare_0[[#This Row],[Level]],Encounter_Diff[Player Level],0))</f>
        <v>50</v>
      </c>
      <c r="Q7" s="36">
        <f>INDEX(Encounter_Diff[Hard], MATCH(PartyCompare_0[[#This Row],[Level]],Encounter_Diff[Player Level],0))</f>
        <v>75</v>
      </c>
      <c r="R7" s="30">
        <f>INDEX(Encounter_Diff[Deadly], MATCH(PartyCompare_0[[#This Row],[Level]],Encounter_Diff[Player Level],0))</f>
        <v>100</v>
      </c>
      <c r="S7" s="97" t="str">
        <f t="shared" si="0"/>
        <v>Base Party (Zero Comparison)</v>
      </c>
      <c r="T7" s="32" t="str">
        <f>IF(COUNT(PartyCompare_0[Level])&lt;=2,"Small", IF(COUNT(PartyCompare_0[Level])&lt;=5,"Med", IF(COUNT(PartyCompare_0[Level])&lt;=8, "Large", "TOO BIG!")))</f>
        <v>Med</v>
      </c>
      <c r="U7" s="73" t="s">
        <v>110</v>
      </c>
      <c r="V7" s="77" t="str">
        <f>INDEX(Encounter_Mod[Count], MATCH(PartyCompare_0[[#This Row],[Mob Size]], Encounter_Mod[Type],0))</f>
        <v>7-10</v>
      </c>
      <c r="W7" s="81">
        <f>SUM(PartyCompare_0[(Easy)])/INDEX(Encounter_Mod[[Small]:[Large]], MATCH(PartyCompare_0[[#This Row],[Mob Size]], Encounter_Mod[Type], 0), MATCH(PartyCompare_0[[#This Row],[Party Size]],Encounter_Mod[[#Headers],[Small]:[Large]],0))</f>
        <v>40</v>
      </c>
      <c r="X7" s="42">
        <f>SUM(PartyCompare_0[(Medium)])/INDEX(Encounter_Mod[[Small]:[Large]], MATCH(PartyCompare_0[[#This Row],[Mob Size]], Encounter_Mod[Type], 0), MATCH(PartyCompare_0[[#This Row],[Party Size]],Encounter_Mod[[#Headers],[Small]:[Large]],0))</f>
        <v>80</v>
      </c>
      <c r="Y7" s="42">
        <f>SUM(PartyCompare_0[(Hard)])/INDEX(Encounter_Mod[[Small]:[Large]], MATCH(PartyCompare_0[[#This Row],[Mob Size]], Encounter_Mod[Type], 0), MATCH(PartyCompare_0[[#This Row],[Party Size]],Encounter_Mod[[#Headers],[Small]:[Large]],0))</f>
        <v>120</v>
      </c>
      <c r="Z7" s="43">
        <f>SUM(PartyCompare_0[(Deadly)])/INDEX(Encounter_Mod[[Small]:[Large]], MATCH(PartyCompare_0[[#This Row],[Mob Size]], Encounter_Mod[Type], 0), MATCH(PartyCompare_0[[#This Row],[Party Size]],Encounter_Mod[[#Headers],[Small]:[Large]],0))</f>
        <v>160</v>
      </c>
      <c r="AA7" s="33">
        <f>(PartyCompare_0[[#This Row],[Easy]]-INDEX(PartyCompare_0[Easy], MATCH(PartyCompare_0[[#This Row],[Mob Size]],PartyCompare_0[Mob Size],0)))/INDEX(PartyCompare_0[Easy], MATCH(PartyCompare_0[[#This Row],[Mob Size]],PartyCompare_0[Mob Size],0))</f>
        <v>0</v>
      </c>
      <c r="AB7" s="33">
        <f>(PartyCompare_0[[#This Row],[Medium]]-INDEX(PartyCompare_0[Medium], MATCH(PartyCompare_0[[#This Row],[Mob Size]],PartyCompare_0[Mob Size],0)))/INDEX(PartyCompare_0[Medium], MATCH(PartyCompare_0[[#This Row],[Mob Size]],PartyCompare_0[Mob Size],0))</f>
        <v>0</v>
      </c>
      <c r="AC7" s="33">
        <f>(PartyCompare_0[[#This Row],[Hard]]-INDEX(PartyCompare_0[Hard], MATCH(PartyCompare_0[[#This Row],[Mob Size]],PartyCompare_0[Mob Size],0)))/INDEX(PartyCompare_0[Hard], MATCH(PartyCompare_0[[#This Row],[Mob Size]],PartyCompare_0[Mob Size],0))</f>
        <v>0</v>
      </c>
      <c r="AD7" s="34">
        <f>(PartyCompare_0[[#This Row],[Deadly]]-INDEX(PartyCompare_0[Deadly], MATCH(PartyCompare_0[[#This Row],[Mob Size]],PartyCompare_0[Mob Size],0)))/INDEX(PartyCompare_0[Deadly], MATCH(PartyCompare_0[[#This Row],[Mob Size]],PartyCompare_0[Mob Size],0))</f>
        <v>0</v>
      </c>
      <c r="AE7" s="48">
        <f>AVERAGE(PartyCompare_0[[#This Row],[Easy Deviation]:[Deadly Deviation]])</f>
        <v>0</v>
      </c>
      <c r="AF7" s="43">
        <f>IF(ISNUMBER(PartyCompare_0[[#This Row],[Level]]), PartyCompare_0[[#This Row],[Level]]+1, PartyCompare_0[[#This Row],[Level]])</f>
        <v>2</v>
      </c>
      <c r="AG7" s="36">
        <f>INDEX(Encounter_Diff[Easy], MATCH(PartyCompare_0[[#This Row],[+1 Level]],Encounter_Diff[Player Level],0))</f>
        <v>50</v>
      </c>
      <c r="AH7" s="36">
        <f>INDEX(Encounter_Diff[Medium], MATCH(PartyCompare_0[[#This Row],[+1 Level]],Encounter_Diff[Player Level],0))</f>
        <v>100</v>
      </c>
      <c r="AI7" s="36">
        <f>INDEX(Encounter_Diff[Hard], MATCH(PartyCompare_0[[#This Row],[+1 Level]],Encounter_Diff[Player Level],0))</f>
        <v>150</v>
      </c>
      <c r="AJ7" s="36">
        <f>INDEX(Encounter_Diff[Deadly], MATCH(PartyCompare_0[[#This Row],[+1 Level]],Encounter_Diff[Player Level],0))</f>
        <v>200</v>
      </c>
      <c r="AK7" s="63">
        <f>SUM(PartyCompare_0[+1 (Easy)])/INDEX(Encounter_Mod[[Small]:[Large]], MATCH(PartyCompare_0[[#This Row],[Mob Size]], Encounter_Mod[Type], 0), MATCH(PartyCompare_0[[#This Row],[Party Size]],Encounter_Mod[[#Headers],[Small]:[Large]],0))</f>
        <v>80</v>
      </c>
      <c r="AL7" s="38">
        <f>SUM(PartyCompare_0[+1 (Medium)])/INDEX(Encounter_Mod[[Small]:[Large]], MATCH(PartyCompare_0[[#This Row],[Mob Size]], Encounter_Mod[Type], 0), MATCH(PartyCompare_0[[#This Row],[Party Size]],Encounter_Mod[[#Headers],[Small]:[Large]],0))</f>
        <v>160</v>
      </c>
      <c r="AM7" s="38">
        <f>SUM(PartyCompare_0[+1 (Hard)])/INDEX(Encounter_Mod[[Small]:[Large]], MATCH(PartyCompare_0[[#This Row],[Mob Size]], Encounter_Mod[Type], 0), MATCH(PartyCompare_0[[#This Row],[Party Size]],Encounter_Mod[[#Headers],[Small]:[Large]],0))</f>
        <v>240</v>
      </c>
      <c r="AN7" s="43">
        <f>SUM(PartyCompare_0[+1 (Deadly)])/INDEX(Encounter_Mod[[Small]:[Large]], MATCH(PartyCompare_0[[#This Row],[Mob Size]], Encounter_Mod[Type], 0), MATCH(PartyCompare_0[[#This Row],[Party Size]],Encounter_Mod[[#Headers],[Small]:[Large]],0))</f>
        <v>320</v>
      </c>
      <c r="AO7" s="39">
        <f>(PartyCompare_0[[#This Row],[+1 Easy]]-INDEX(PartyCompare_0[+1 Easy], MATCH(PartyCompare_0[[#This Row],[Mob Size]],PartyCompare_0[Mob Size],0)))/INDEX(PartyCompare_0[+1 Easy], MATCH(PartyCompare_0[[#This Row],[Mob Size]],PartyCompare_0[Mob Size],0))</f>
        <v>0</v>
      </c>
      <c r="AP7" s="39">
        <f>(PartyCompare_0[[#This Row],[+1 Medium]]-INDEX(PartyCompare_0[+1 Medium], MATCH(PartyCompare_0[[#This Row],[Mob Size]],PartyCompare_0[Mob Size],0)))/INDEX(PartyCompare_0[+1 Medium], MATCH(PartyCompare_0[[#This Row],[Mob Size]],PartyCompare_0[Mob Size],0))</f>
        <v>0</v>
      </c>
      <c r="AQ7" s="39">
        <f>(PartyCompare_0[[#This Row],[+1 Hard]]-INDEX(PartyCompare_0[+1 Hard], MATCH(PartyCompare_0[[#This Row],[Mob Size]],PartyCompare_0[Mob Size],0)))/INDEX(PartyCompare_0[+1 Hard], MATCH(PartyCompare_0[[#This Row],[Mob Size]],PartyCompare_0[Mob Size],0))</f>
        <v>0</v>
      </c>
      <c r="AR7" s="34">
        <f>(PartyCompare_0[[#This Row],[+1 Deadly]]-INDEX(PartyCompare_0[+1 Deadly], MATCH(PartyCompare_0[[#This Row],[Mob Size]],PartyCompare_0[Mob Size],0)))/INDEX(PartyCompare_0[+1 Deadly], MATCH(PartyCompare_0[[#This Row],[Mob Size]],PartyCompare_0[Mob Size],0))</f>
        <v>0</v>
      </c>
      <c r="AS7" s="48">
        <f>AVERAGE(PartyCompare_0[[#This Row],[+1 Easy Deviation]:[+1 Deadly Deviation]])</f>
        <v>0</v>
      </c>
      <c r="AT7" s="36">
        <f>IF(ISNUMBER(PartyCompare_0[[#This Row],[Level]]), PartyCompare_0[[#This Row],[Level]]+2, PartyCompare_0[[#This Row],[Level]])</f>
        <v>3</v>
      </c>
      <c r="AU7" s="36">
        <f>INDEX(Encounter_Diff[Easy], MATCH(PartyCompare_0[[#This Row],[+2 Level]],Encounter_Diff[Player Level],0))</f>
        <v>75</v>
      </c>
      <c r="AV7" s="36">
        <f>INDEX(Encounter_Diff[Medium], MATCH(PartyCompare_0[[#This Row],[+2 Level]],Encounter_Diff[Player Level],0))</f>
        <v>150</v>
      </c>
      <c r="AW7" s="36">
        <f>INDEX(Encounter_Diff[Hard], MATCH(PartyCompare_0[[#This Row],[+2 Level]],Encounter_Diff[Player Level],0))</f>
        <v>225</v>
      </c>
      <c r="AX7" s="36">
        <f>INDEX(Encounter_Diff[Deadly], MATCH(PartyCompare_0[[#This Row],[+2 Level]],Encounter_Diff[Player Level],0))</f>
        <v>400</v>
      </c>
      <c r="AY7" s="63">
        <f>SUM(PartyCompare_0[+2 (Easy)])/INDEX(Encounter_Mod[[Small]:[Large]], MATCH(PartyCompare_0[[#This Row],[Mob Size]], Encounter_Mod[Type], 0), MATCH(PartyCompare_0[[#This Row],[Party Size]],Encounter_Mod[[#Headers],[Small]:[Large]],0))</f>
        <v>120</v>
      </c>
      <c r="AZ7" s="38">
        <f>SUM(PartyCompare_0[+2 (Medium)])/INDEX(Encounter_Mod[[Small]:[Large]], MATCH(PartyCompare_0[[#This Row],[Mob Size]], Encounter_Mod[Type], 0), MATCH(PartyCompare_0[[#This Row],[Party Size]],Encounter_Mod[[#Headers],[Small]:[Large]],0))</f>
        <v>240</v>
      </c>
      <c r="BA7" s="38">
        <f>SUM(PartyCompare_0[+2 (Hard)])/INDEX(Encounter_Mod[[Small]:[Large]], MATCH(PartyCompare_0[[#This Row],[Mob Size]], Encounter_Mod[Type], 0), MATCH(PartyCompare_0[[#This Row],[Party Size]],Encounter_Mod[[#Headers],[Small]:[Large]],0))</f>
        <v>360</v>
      </c>
      <c r="BB7" s="38">
        <f>SUM(PartyCompare_0[+2 (Deadly)])/INDEX(Encounter_Mod[[Small]:[Large]], MATCH(PartyCompare_0[[#This Row],[Mob Size]], Encounter_Mod[Type], 0), MATCH(PartyCompare_0[[#This Row],[Party Size]],Encounter_Mod[[#Headers],[Small]:[Large]],0))</f>
        <v>640</v>
      </c>
      <c r="BC7" s="46">
        <f>(PartyCompare_0[[#This Row],[+2 Easy]]-INDEX(PartyCompare_0[+2 Easy], MATCH(PartyCompare_0[[#This Row],[Mob Size]],PartyCompare_0[Mob Size],0)))/INDEX(PartyCompare_0[+2 Easy], MATCH(PartyCompare_0[[#This Row],[Mob Size]],PartyCompare_0[Mob Size],0))</f>
        <v>0</v>
      </c>
      <c r="BD7" s="39">
        <f>(PartyCompare_0[[#This Row],[+2 Medium]]-INDEX(PartyCompare_0[+2 Medium], MATCH(PartyCompare_0[[#This Row],[Mob Size]],PartyCompare_0[Mob Size],0)))/INDEX(PartyCompare_0[+2 Medium], MATCH(PartyCompare_0[[#This Row],[Mob Size]],PartyCompare_0[Mob Size],0))</f>
        <v>0</v>
      </c>
      <c r="BE7" s="39">
        <f>(PartyCompare_0[[#This Row],[+2 Hard]]-INDEX(PartyCompare_0[+2 Hard], MATCH(PartyCompare_0[[#This Row],[Mob Size]],PartyCompare_0[Mob Size],0)))/INDEX(PartyCompare_0[+2 Hard], MATCH(PartyCompare_0[[#This Row],[Mob Size]],PartyCompare_0[Mob Size],0))</f>
        <v>0</v>
      </c>
      <c r="BF7" s="34">
        <f>(PartyCompare_0[[#This Row],[+2 Deadly]]-INDEX(PartyCompare_0[+2 Deadly], MATCH(PartyCompare_0[[#This Row],[Mob Size]],PartyCompare_0[Mob Size],0)))/INDEX(PartyCompare_0[+2 Deadly], MATCH(PartyCompare_0[[#This Row],[Mob Size]],PartyCompare_0[Mob Size],0))</f>
        <v>0</v>
      </c>
      <c r="BG7" s="48">
        <f>AVERAGE(PartyCompare_0[[#This Row],[+2 Easy Deviation]:[+2 Deadly Deviation]])</f>
        <v>0</v>
      </c>
      <c r="BH7" s="43">
        <f>IF(ISNUMBER(PartyCompare_0[[#This Row],[Level]]), PartyCompare_0[[#This Row],[Level]]+3, PartyCompare_0[[#This Row],[Level]])</f>
        <v>4</v>
      </c>
      <c r="BI7" s="36">
        <f>INDEX(Encounter_Diff[Easy], MATCH(PartyCompare_0[[#This Row],[+3 Level]],Encounter_Diff[Player Level],0))</f>
        <v>125</v>
      </c>
      <c r="BJ7" s="36">
        <f>INDEX(Encounter_Diff[Medium], MATCH(PartyCompare_0[[#This Row],[+3 Level]],Encounter_Diff[Player Level],0))</f>
        <v>250</v>
      </c>
      <c r="BK7" s="36">
        <f>INDEX(Encounter_Diff[Hard], MATCH(PartyCompare_0[[#This Row],[+3 Level]],Encounter_Diff[Player Level],0))</f>
        <v>375</v>
      </c>
      <c r="BL7" s="36">
        <f>INDEX(Encounter_Diff[Deadly], MATCH(PartyCompare_0[[#This Row],[+3 Level]],Encounter_Diff[Player Level],0))</f>
        <v>500</v>
      </c>
      <c r="BM7" s="63">
        <f>SUM(PartyCompare_0[+3 (Easy)])/INDEX(Encounter_Mod[[Small]:[Large]], MATCH(PartyCompare_0[[#This Row],[Mob Size]], Encounter_Mod[Type], 0), MATCH(PartyCompare_0[[#This Row],[Party Size]],Encounter_Mod[[#Headers],[Small]:[Large]],0))</f>
        <v>200</v>
      </c>
      <c r="BN7" s="38">
        <f>SUM(PartyCompare_0[+3 (Medium)])/INDEX(Encounter_Mod[[Small]:[Large]], MATCH(PartyCompare_0[[#This Row],[Mob Size]], Encounter_Mod[Type], 0), MATCH(PartyCompare_0[[#This Row],[Party Size]],Encounter_Mod[[#Headers],[Small]:[Large]],0))</f>
        <v>400</v>
      </c>
      <c r="BO7" s="38">
        <f>SUM(PartyCompare_0[+3 (Hard)])/INDEX(Encounter_Mod[[Small]:[Large]], MATCH(PartyCompare_0[[#This Row],[Mob Size]], Encounter_Mod[Type], 0), MATCH(PartyCompare_0[[#This Row],[Party Size]],Encounter_Mod[[#Headers],[Small]:[Large]],0))</f>
        <v>600</v>
      </c>
      <c r="BP7" s="42">
        <f>SUM(PartyCompare_0[+3 (Deadly)])/INDEX(Encounter_Mod[[Small]:[Large]], MATCH(PartyCompare_0[[#This Row],[Mob Size]], Encounter_Mod[Type], 0), MATCH(PartyCompare_0[[#This Row],[Party Size]],Encounter_Mod[[#Headers],[Small]:[Large]],0))</f>
        <v>800</v>
      </c>
      <c r="BQ7" s="46">
        <f>(PartyCompare_0[[#This Row],[+3 Easy]]-INDEX(PartyCompare_0[+3 Easy], MATCH(PartyCompare_0[[#This Row],[Mob Size]],PartyCompare_0[Mob Size],0)))/INDEX(PartyCompare_0[+3 Easy], MATCH(PartyCompare_0[[#This Row],[Mob Size]],PartyCompare_0[Mob Size],0))</f>
        <v>0</v>
      </c>
      <c r="BR7" s="39">
        <f>(PartyCompare_0[[#This Row],[+3 Medium]]-INDEX(PartyCompare_0[+3 Medium], MATCH(PartyCompare_0[[#This Row],[Mob Size]],PartyCompare_0[Mob Size],0)))/INDEX(PartyCompare_0[+3 Medium], MATCH(PartyCompare_0[[#This Row],[Mob Size]],PartyCompare_0[Mob Size],0))</f>
        <v>0</v>
      </c>
      <c r="BS7" s="39">
        <f>(PartyCompare_0[[#This Row],[+3 Hard]]-INDEX(PartyCompare_0[+3 Hard], MATCH(PartyCompare_0[[#This Row],[Mob Size]],PartyCompare_0[Mob Size],0)))/INDEX(PartyCompare_0[+3 Hard], MATCH(PartyCompare_0[[#This Row],[Mob Size]],PartyCompare_0[Mob Size],0))</f>
        <v>0</v>
      </c>
      <c r="BT7" s="33">
        <f>(PartyCompare_0[[#This Row],[+3 Deadly]]-INDEX(PartyCompare_0[+3 Deadly], MATCH(PartyCompare_0[[#This Row],[Mob Size]],PartyCompare_0[Mob Size],0)))/INDEX(PartyCompare_0[+3 Deadly], MATCH(PartyCompare_0[[#This Row],[Mob Size]],PartyCompare_0[Mob Size],0))</f>
        <v>0</v>
      </c>
      <c r="BU7" s="48">
        <f>AVERAGE(PartyCompare_0[[#This Row],[+3 Easy Deviation]:[+3 Deadly Deviation]])</f>
        <v>0</v>
      </c>
      <c r="BV7" s="42">
        <f>IF(ISNUMBER(PartyCompare_0[[#This Row],[Level]]), PartyCompare_0[[#This Row],[Level]]+4, PartyCompare_0[[#This Row],[Level]])</f>
        <v>5</v>
      </c>
      <c r="BW7" s="31">
        <f>INDEX(Encounter_Diff[Easy], MATCH(PartyCompare_0[[#This Row],[+4 Level]],Encounter_Diff[Player Level],0))</f>
        <v>250</v>
      </c>
      <c r="BX7" s="36">
        <f>INDEX(Encounter_Diff[Medium], MATCH(PartyCompare_0[[#This Row],[+4 Level]],Encounter_Diff[Player Level],0))</f>
        <v>500</v>
      </c>
      <c r="BY7" s="36">
        <f>INDEX(Encounter_Diff[Hard], MATCH(PartyCompare_0[[#This Row],[+4 Level]],Encounter_Diff[Player Level],0))</f>
        <v>750</v>
      </c>
      <c r="BZ7" s="36">
        <f>INDEX(Encounter_Diff[Deadly], MATCH(PartyCompare_0[[#This Row],[+4 Level]],Encounter_Diff[Player Level],0))</f>
        <v>1100</v>
      </c>
      <c r="CA7" s="63">
        <f>SUM(PartyCompare_0[+4 (Easy)])/INDEX(Encounter_Mod[[Small]:[Large]], MATCH(PartyCompare_0[[#This Row],[Mob Size]], Encounter_Mod[Type], 0), MATCH(PartyCompare_0[[#This Row],[Party Size]],Encounter_Mod[[#Headers],[Small]:[Large]],0))</f>
        <v>400</v>
      </c>
      <c r="CB7" s="38">
        <f>SUM(PartyCompare_0[+4 (Medium)])/INDEX(Encounter_Mod[[Small]:[Large]], MATCH(PartyCompare_0[[#This Row],[Mob Size]], Encounter_Mod[Type], 0), MATCH(PartyCompare_0[[#This Row],[Party Size]],Encounter_Mod[[#Headers],[Small]:[Large]],0))</f>
        <v>800</v>
      </c>
      <c r="CC7" s="38">
        <f>SUM(PartyCompare_0[+4 (Hard)])/INDEX(Encounter_Mod[[Small]:[Large]], MATCH(PartyCompare_0[[#This Row],[Mob Size]], Encounter_Mod[Type], 0), MATCH(PartyCompare_0[[#This Row],[Party Size]],Encounter_Mod[[#Headers],[Small]:[Large]],0))</f>
        <v>1200</v>
      </c>
      <c r="CD7" s="42">
        <f>SUM(PartyCompare_0[+4 (Deadly)])/INDEX(Encounter_Mod[[Small]:[Large]], MATCH(PartyCompare_0[[#This Row],[Mob Size]], Encounter_Mod[Type], 0), MATCH(PartyCompare_0[[#This Row],[Party Size]],Encounter_Mod[[#Headers],[Small]:[Large]],0))</f>
        <v>1760</v>
      </c>
      <c r="CE7" s="46">
        <f>(PartyCompare_0[[#This Row],[+4 Easy]]-INDEX(PartyCompare_0[+4 Easy], MATCH(PartyCompare_0[[#This Row],[Mob Size]],PartyCompare_0[Mob Size],0)))/INDEX(PartyCompare_0[+4 Easy], MATCH(PartyCompare_0[[#This Row],[Mob Size]],PartyCompare_0[Mob Size],0))</f>
        <v>0</v>
      </c>
      <c r="CF7" s="39">
        <f>(PartyCompare_0[[#This Row],[+4 Medium]]-INDEX(PartyCompare_0[+4 Medium], MATCH(PartyCompare_0[[#This Row],[Mob Size]],PartyCompare_0[Mob Size],0)))/INDEX(PartyCompare_0[+4 Medium], MATCH(PartyCompare_0[[#This Row],[Mob Size]],PartyCompare_0[Mob Size],0))</f>
        <v>0</v>
      </c>
      <c r="CG7" s="39">
        <f>(PartyCompare_0[[#This Row],[+4 Hard]]-INDEX(PartyCompare_0[+4 Hard], MATCH(PartyCompare_0[[#This Row],[Mob Size]],PartyCompare_0[Mob Size],0)))/INDEX(PartyCompare_0[+4 Hard], MATCH(PartyCompare_0[[#This Row],[Mob Size]],PartyCompare_0[Mob Size],0))</f>
        <v>0</v>
      </c>
      <c r="CH7" s="34">
        <f>(PartyCompare_0[[#This Row],[+4 Deadly]]-INDEX(PartyCompare_0[+4 Deadly], MATCH(PartyCompare_0[[#This Row],[Mob Size]],PartyCompare_0[Mob Size],0)))/INDEX(PartyCompare_0[+4 Deadly], MATCH(PartyCompare_0[[#This Row],[Mob Size]],PartyCompare_0[Mob Size],0))</f>
        <v>0</v>
      </c>
      <c r="CI7" s="48">
        <f>AVERAGE(PartyCompare_0[[#This Row],[+4 Easy Deviation]:[+4 Deadly Deviation]])</f>
        <v>0</v>
      </c>
    </row>
    <row r="8" spans="2:87" x14ac:dyDescent="0.2">
      <c r="B8" s="167" t="s">
        <v>249</v>
      </c>
      <c r="C8" s="168">
        <v>3</v>
      </c>
      <c r="D8" s="169">
        <v>4</v>
      </c>
      <c r="E8" s="170">
        <v>0</v>
      </c>
      <c r="F8" s="170">
        <v>-9.375E-2</v>
      </c>
      <c r="G8" s="170">
        <v>-0.109375</v>
      </c>
      <c r="H8" s="170">
        <v>1.2500000000000004E-2</v>
      </c>
      <c r="I8" s="170">
        <v>-0.19545454545454546</v>
      </c>
      <c r="J8" s="88"/>
      <c r="L8" s="228"/>
      <c r="M8" s="89"/>
      <c r="N8" s="90"/>
      <c r="O8" s="36">
        <f>INDEX(Encounter_Diff[Easy], MATCH(PartyCompare_0[[#This Row],[Level]],Encounter_Diff[Player Level],0))</f>
        <v>0</v>
      </c>
      <c r="P8" s="36">
        <f>INDEX(Encounter_Diff[Medium], MATCH(PartyCompare_0[[#This Row],[Level]],Encounter_Diff[Player Level],0))</f>
        <v>0</v>
      </c>
      <c r="Q8" s="36">
        <f>INDEX(Encounter_Diff[Hard], MATCH(PartyCompare_0[[#This Row],[Level]],Encounter_Diff[Player Level],0))</f>
        <v>0</v>
      </c>
      <c r="R8" s="30">
        <f>INDEX(Encounter_Diff[Deadly], MATCH(PartyCompare_0[[#This Row],[Level]],Encounter_Diff[Player Level],0))</f>
        <v>0</v>
      </c>
      <c r="S8" s="97" t="str">
        <f t="shared" si="0"/>
        <v>Base Party (Zero Comparison)</v>
      </c>
      <c r="T8" s="32" t="str">
        <f>IF(COUNT(PartyCompare_0[Level])&lt;=2,"Small", IF(COUNT(PartyCompare_0[Level])&lt;=5,"Med", IF(COUNT(PartyCompare_0[Level])&lt;=8, "Large", "TOO BIG!")))</f>
        <v>Med</v>
      </c>
      <c r="U8" s="73" t="s">
        <v>111</v>
      </c>
      <c r="V8" s="77" t="str">
        <f>INDEX(Encounter_Mod[Count], MATCH(PartyCompare_0[[#This Row],[Mob Size]], Encounter_Mod[Type],0))</f>
        <v>11-14</v>
      </c>
      <c r="W8" s="81">
        <f>SUM(PartyCompare_0[(Easy)])/INDEX(Encounter_Mod[[Small]:[Large]], MATCH(PartyCompare_0[[#This Row],[Mob Size]], Encounter_Mod[Type], 0), MATCH(PartyCompare_0[[#This Row],[Party Size]],Encounter_Mod[[#Headers],[Small]:[Large]],0))</f>
        <v>33.333333333333336</v>
      </c>
      <c r="X8" s="42">
        <f>SUM(PartyCompare_0[(Medium)])/INDEX(Encounter_Mod[[Small]:[Large]], MATCH(PartyCompare_0[[#This Row],[Mob Size]], Encounter_Mod[Type], 0), MATCH(PartyCompare_0[[#This Row],[Party Size]],Encounter_Mod[[#Headers],[Small]:[Large]],0))</f>
        <v>66.666666666666671</v>
      </c>
      <c r="Y8" s="42">
        <f>SUM(PartyCompare_0[(Hard)])/INDEX(Encounter_Mod[[Small]:[Large]], MATCH(PartyCompare_0[[#This Row],[Mob Size]], Encounter_Mod[Type], 0), MATCH(PartyCompare_0[[#This Row],[Party Size]],Encounter_Mod[[#Headers],[Small]:[Large]],0))</f>
        <v>100</v>
      </c>
      <c r="Z8" s="43">
        <f>SUM(PartyCompare_0[(Deadly)])/INDEX(Encounter_Mod[[Small]:[Large]], MATCH(PartyCompare_0[[#This Row],[Mob Size]], Encounter_Mod[Type], 0), MATCH(PartyCompare_0[[#This Row],[Party Size]],Encounter_Mod[[#Headers],[Small]:[Large]],0))</f>
        <v>133.33333333333334</v>
      </c>
      <c r="AA8" s="33">
        <f>(PartyCompare_0[[#This Row],[Easy]]-INDEX(PartyCompare_0[Easy], MATCH(PartyCompare_0[[#This Row],[Mob Size]],PartyCompare_0[Mob Size],0)))/INDEX(PartyCompare_0[Easy], MATCH(PartyCompare_0[[#This Row],[Mob Size]],PartyCompare_0[Mob Size],0))</f>
        <v>0</v>
      </c>
      <c r="AB8" s="33">
        <f>(PartyCompare_0[[#This Row],[Medium]]-INDEX(PartyCompare_0[Medium], MATCH(PartyCompare_0[[#This Row],[Mob Size]],PartyCompare_0[Mob Size],0)))/INDEX(PartyCompare_0[Medium], MATCH(PartyCompare_0[[#This Row],[Mob Size]],PartyCompare_0[Mob Size],0))</f>
        <v>0</v>
      </c>
      <c r="AC8" s="33">
        <f>(PartyCompare_0[[#This Row],[Hard]]-INDEX(PartyCompare_0[Hard], MATCH(PartyCompare_0[[#This Row],[Mob Size]],PartyCompare_0[Mob Size],0)))/INDEX(PartyCompare_0[Hard], MATCH(PartyCompare_0[[#This Row],[Mob Size]],PartyCompare_0[Mob Size],0))</f>
        <v>0</v>
      </c>
      <c r="AD8" s="34">
        <f>(PartyCompare_0[[#This Row],[Deadly]]-INDEX(PartyCompare_0[Deadly], MATCH(PartyCompare_0[[#This Row],[Mob Size]],PartyCompare_0[Mob Size],0)))/INDEX(PartyCompare_0[Deadly], MATCH(PartyCompare_0[[#This Row],[Mob Size]],PartyCompare_0[Mob Size],0))</f>
        <v>0</v>
      </c>
      <c r="AE8" s="48">
        <f>AVERAGE(PartyCompare_0[[#This Row],[Easy Deviation]:[Deadly Deviation]])</f>
        <v>0</v>
      </c>
      <c r="AF8" s="43">
        <f>IF(ISNUMBER(PartyCompare_0[[#This Row],[Level]]), PartyCompare_0[[#This Row],[Level]]+1, PartyCompare_0[[#This Row],[Level]])</f>
        <v>0</v>
      </c>
      <c r="AG8" s="36">
        <f>INDEX(Encounter_Diff[Easy], MATCH(PartyCompare_0[[#This Row],[+1 Level]],Encounter_Diff[Player Level],0))</f>
        <v>0</v>
      </c>
      <c r="AH8" s="36">
        <f>INDEX(Encounter_Diff[Medium], MATCH(PartyCompare_0[[#This Row],[+1 Level]],Encounter_Diff[Player Level],0))</f>
        <v>0</v>
      </c>
      <c r="AI8" s="36">
        <f>INDEX(Encounter_Diff[Hard], MATCH(PartyCompare_0[[#This Row],[+1 Level]],Encounter_Diff[Player Level],0))</f>
        <v>0</v>
      </c>
      <c r="AJ8" s="36">
        <f>INDEX(Encounter_Diff[Deadly], MATCH(PartyCompare_0[[#This Row],[+1 Level]],Encounter_Diff[Player Level],0))</f>
        <v>0</v>
      </c>
      <c r="AK8" s="63">
        <f>SUM(PartyCompare_0[+1 (Easy)])/INDEX(Encounter_Mod[[Small]:[Large]], MATCH(PartyCompare_0[[#This Row],[Mob Size]], Encounter_Mod[Type], 0), MATCH(PartyCompare_0[[#This Row],[Party Size]],Encounter_Mod[[#Headers],[Small]:[Large]],0))</f>
        <v>66.666666666666671</v>
      </c>
      <c r="AL8" s="38">
        <f>SUM(PartyCompare_0[+1 (Medium)])/INDEX(Encounter_Mod[[Small]:[Large]], MATCH(PartyCompare_0[[#This Row],[Mob Size]], Encounter_Mod[Type], 0), MATCH(PartyCompare_0[[#This Row],[Party Size]],Encounter_Mod[[#Headers],[Small]:[Large]],0))</f>
        <v>133.33333333333334</v>
      </c>
      <c r="AM8" s="38">
        <f>SUM(PartyCompare_0[+1 (Hard)])/INDEX(Encounter_Mod[[Small]:[Large]], MATCH(PartyCompare_0[[#This Row],[Mob Size]], Encounter_Mod[Type], 0), MATCH(PartyCompare_0[[#This Row],[Party Size]],Encounter_Mod[[#Headers],[Small]:[Large]],0))</f>
        <v>200</v>
      </c>
      <c r="AN8" s="43">
        <f>SUM(PartyCompare_0[+1 (Deadly)])/INDEX(Encounter_Mod[[Small]:[Large]], MATCH(PartyCompare_0[[#This Row],[Mob Size]], Encounter_Mod[Type], 0), MATCH(PartyCompare_0[[#This Row],[Party Size]],Encounter_Mod[[#Headers],[Small]:[Large]],0))</f>
        <v>266.66666666666669</v>
      </c>
      <c r="AO8" s="39">
        <f>(PartyCompare_0[[#This Row],[+1 Easy]]-INDEX(PartyCompare_0[+1 Easy], MATCH(PartyCompare_0[[#This Row],[Mob Size]],PartyCompare_0[Mob Size],0)))/INDEX(PartyCompare_0[+1 Easy], MATCH(PartyCompare_0[[#This Row],[Mob Size]],PartyCompare_0[Mob Size],0))</f>
        <v>0</v>
      </c>
      <c r="AP8" s="39">
        <f>(PartyCompare_0[[#This Row],[+1 Medium]]-INDEX(PartyCompare_0[+1 Medium], MATCH(PartyCompare_0[[#This Row],[Mob Size]],PartyCompare_0[Mob Size],0)))/INDEX(PartyCompare_0[+1 Medium], MATCH(PartyCompare_0[[#This Row],[Mob Size]],PartyCompare_0[Mob Size],0))</f>
        <v>0</v>
      </c>
      <c r="AQ8" s="39">
        <f>(PartyCompare_0[[#This Row],[+1 Hard]]-INDEX(PartyCompare_0[+1 Hard], MATCH(PartyCompare_0[[#This Row],[Mob Size]],PartyCompare_0[Mob Size],0)))/INDEX(PartyCompare_0[+1 Hard], MATCH(PartyCompare_0[[#This Row],[Mob Size]],PartyCompare_0[Mob Size],0))</f>
        <v>0</v>
      </c>
      <c r="AR8" s="34">
        <f>(PartyCompare_0[[#This Row],[+1 Deadly]]-INDEX(PartyCompare_0[+1 Deadly], MATCH(PartyCompare_0[[#This Row],[Mob Size]],PartyCompare_0[Mob Size],0)))/INDEX(PartyCompare_0[+1 Deadly], MATCH(PartyCompare_0[[#This Row],[Mob Size]],PartyCompare_0[Mob Size],0))</f>
        <v>0</v>
      </c>
      <c r="AS8" s="48">
        <f>AVERAGE(PartyCompare_0[[#This Row],[+1 Easy Deviation]:[+1 Deadly Deviation]])</f>
        <v>0</v>
      </c>
      <c r="AT8" s="36">
        <f>IF(ISNUMBER(PartyCompare_0[[#This Row],[Level]]), PartyCompare_0[[#This Row],[Level]]+2, PartyCompare_0[[#This Row],[Level]])</f>
        <v>0</v>
      </c>
      <c r="AU8" s="36">
        <f>INDEX(Encounter_Diff[Easy], MATCH(PartyCompare_0[[#This Row],[+2 Level]],Encounter_Diff[Player Level],0))</f>
        <v>0</v>
      </c>
      <c r="AV8" s="36">
        <f>INDEX(Encounter_Diff[Medium], MATCH(PartyCompare_0[[#This Row],[+2 Level]],Encounter_Diff[Player Level],0))</f>
        <v>0</v>
      </c>
      <c r="AW8" s="36">
        <f>INDEX(Encounter_Diff[Hard], MATCH(PartyCompare_0[[#This Row],[+2 Level]],Encounter_Diff[Player Level],0))</f>
        <v>0</v>
      </c>
      <c r="AX8" s="36">
        <f>INDEX(Encounter_Diff[Deadly], MATCH(PartyCompare_0[[#This Row],[+2 Level]],Encounter_Diff[Player Level],0))</f>
        <v>0</v>
      </c>
      <c r="AY8" s="63">
        <f>SUM(PartyCompare_0[+2 (Easy)])/INDEX(Encounter_Mod[[Small]:[Large]], MATCH(PartyCompare_0[[#This Row],[Mob Size]], Encounter_Mod[Type], 0), MATCH(PartyCompare_0[[#This Row],[Party Size]],Encounter_Mod[[#Headers],[Small]:[Large]],0))</f>
        <v>100</v>
      </c>
      <c r="AZ8" s="38">
        <f>SUM(PartyCompare_0[+2 (Medium)])/INDEX(Encounter_Mod[[Small]:[Large]], MATCH(PartyCompare_0[[#This Row],[Mob Size]], Encounter_Mod[Type], 0), MATCH(PartyCompare_0[[#This Row],[Party Size]],Encounter_Mod[[#Headers],[Small]:[Large]],0))</f>
        <v>200</v>
      </c>
      <c r="BA8" s="38">
        <f>SUM(PartyCompare_0[+2 (Hard)])/INDEX(Encounter_Mod[[Small]:[Large]], MATCH(PartyCompare_0[[#This Row],[Mob Size]], Encounter_Mod[Type], 0), MATCH(PartyCompare_0[[#This Row],[Party Size]],Encounter_Mod[[#Headers],[Small]:[Large]],0))</f>
        <v>300</v>
      </c>
      <c r="BB8" s="38">
        <f>SUM(PartyCompare_0[+2 (Deadly)])/INDEX(Encounter_Mod[[Small]:[Large]], MATCH(PartyCompare_0[[#This Row],[Mob Size]], Encounter_Mod[Type], 0), MATCH(PartyCompare_0[[#This Row],[Party Size]],Encounter_Mod[[#Headers],[Small]:[Large]],0))</f>
        <v>533.33333333333337</v>
      </c>
      <c r="BC8" s="46">
        <f>(PartyCompare_0[[#This Row],[+2 Easy]]-INDEX(PartyCompare_0[+2 Easy], MATCH(PartyCompare_0[[#This Row],[Mob Size]],PartyCompare_0[Mob Size],0)))/INDEX(PartyCompare_0[+2 Easy], MATCH(PartyCompare_0[[#This Row],[Mob Size]],PartyCompare_0[Mob Size],0))</f>
        <v>0</v>
      </c>
      <c r="BD8" s="39">
        <f>(PartyCompare_0[[#This Row],[+2 Medium]]-INDEX(PartyCompare_0[+2 Medium], MATCH(PartyCompare_0[[#This Row],[Mob Size]],PartyCompare_0[Mob Size],0)))/INDEX(PartyCompare_0[+2 Medium], MATCH(PartyCompare_0[[#This Row],[Mob Size]],PartyCompare_0[Mob Size],0))</f>
        <v>0</v>
      </c>
      <c r="BE8" s="39">
        <f>(PartyCompare_0[[#This Row],[+2 Hard]]-INDEX(PartyCompare_0[+2 Hard], MATCH(PartyCompare_0[[#This Row],[Mob Size]],PartyCompare_0[Mob Size],0)))/INDEX(PartyCompare_0[+2 Hard], MATCH(PartyCompare_0[[#This Row],[Mob Size]],PartyCompare_0[Mob Size],0))</f>
        <v>0</v>
      </c>
      <c r="BF8" s="34">
        <f>(PartyCompare_0[[#This Row],[+2 Deadly]]-INDEX(PartyCompare_0[+2 Deadly], MATCH(PartyCompare_0[[#This Row],[Mob Size]],PartyCompare_0[Mob Size],0)))/INDEX(PartyCompare_0[+2 Deadly], MATCH(PartyCompare_0[[#This Row],[Mob Size]],PartyCompare_0[Mob Size],0))</f>
        <v>0</v>
      </c>
      <c r="BG8" s="48">
        <f>AVERAGE(PartyCompare_0[[#This Row],[+2 Easy Deviation]:[+2 Deadly Deviation]])</f>
        <v>0</v>
      </c>
      <c r="BH8" s="43">
        <f>IF(ISNUMBER(PartyCompare_0[[#This Row],[Level]]), PartyCompare_0[[#This Row],[Level]]+3, PartyCompare_0[[#This Row],[Level]])</f>
        <v>0</v>
      </c>
      <c r="BI8" s="36">
        <f>INDEX(Encounter_Diff[Easy], MATCH(PartyCompare_0[[#This Row],[+3 Level]],Encounter_Diff[Player Level],0))</f>
        <v>0</v>
      </c>
      <c r="BJ8" s="36">
        <f>INDEX(Encounter_Diff[Medium], MATCH(PartyCompare_0[[#This Row],[+3 Level]],Encounter_Diff[Player Level],0))</f>
        <v>0</v>
      </c>
      <c r="BK8" s="36">
        <f>INDEX(Encounter_Diff[Hard], MATCH(PartyCompare_0[[#This Row],[+3 Level]],Encounter_Diff[Player Level],0))</f>
        <v>0</v>
      </c>
      <c r="BL8" s="36">
        <f>INDEX(Encounter_Diff[Deadly], MATCH(PartyCompare_0[[#This Row],[+3 Level]],Encounter_Diff[Player Level],0))</f>
        <v>0</v>
      </c>
      <c r="BM8" s="63">
        <f>SUM(PartyCompare_0[+3 (Easy)])/INDEX(Encounter_Mod[[Small]:[Large]], MATCH(PartyCompare_0[[#This Row],[Mob Size]], Encounter_Mod[Type], 0), MATCH(PartyCompare_0[[#This Row],[Party Size]],Encounter_Mod[[#Headers],[Small]:[Large]],0))</f>
        <v>166.66666666666666</v>
      </c>
      <c r="BN8" s="38">
        <f>SUM(PartyCompare_0[+3 (Medium)])/INDEX(Encounter_Mod[[Small]:[Large]], MATCH(PartyCompare_0[[#This Row],[Mob Size]], Encounter_Mod[Type], 0), MATCH(PartyCompare_0[[#This Row],[Party Size]],Encounter_Mod[[#Headers],[Small]:[Large]],0))</f>
        <v>333.33333333333331</v>
      </c>
      <c r="BO8" s="38">
        <f>SUM(PartyCompare_0[+3 (Hard)])/INDEX(Encounter_Mod[[Small]:[Large]], MATCH(PartyCompare_0[[#This Row],[Mob Size]], Encounter_Mod[Type], 0), MATCH(PartyCompare_0[[#This Row],[Party Size]],Encounter_Mod[[#Headers],[Small]:[Large]],0))</f>
        <v>500</v>
      </c>
      <c r="BP8" s="42">
        <f>SUM(PartyCompare_0[+3 (Deadly)])/INDEX(Encounter_Mod[[Small]:[Large]], MATCH(PartyCompare_0[[#This Row],[Mob Size]], Encounter_Mod[Type], 0), MATCH(PartyCompare_0[[#This Row],[Party Size]],Encounter_Mod[[#Headers],[Small]:[Large]],0))</f>
        <v>666.66666666666663</v>
      </c>
      <c r="BQ8" s="46">
        <f>(PartyCompare_0[[#This Row],[+3 Easy]]-INDEX(PartyCompare_0[+3 Easy], MATCH(PartyCompare_0[[#This Row],[Mob Size]],PartyCompare_0[Mob Size],0)))/INDEX(PartyCompare_0[+3 Easy], MATCH(PartyCompare_0[[#This Row],[Mob Size]],PartyCompare_0[Mob Size],0))</f>
        <v>0</v>
      </c>
      <c r="BR8" s="39">
        <f>(PartyCompare_0[[#This Row],[+3 Medium]]-INDEX(PartyCompare_0[+3 Medium], MATCH(PartyCompare_0[[#This Row],[Mob Size]],PartyCompare_0[Mob Size],0)))/INDEX(PartyCompare_0[+3 Medium], MATCH(PartyCompare_0[[#This Row],[Mob Size]],PartyCompare_0[Mob Size],0))</f>
        <v>0</v>
      </c>
      <c r="BS8" s="39">
        <f>(PartyCompare_0[[#This Row],[+3 Hard]]-INDEX(PartyCompare_0[+3 Hard], MATCH(PartyCompare_0[[#This Row],[Mob Size]],PartyCompare_0[Mob Size],0)))/INDEX(PartyCompare_0[+3 Hard], MATCH(PartyCompare_0[[#This Row],[Mob Size]],PartyCompare_0[Mob Size],0))</f>
        <v>0</v>
      </c>
      <c r="BT8" s="33">
        <f>(PartyCompare_0[[#This Row],[+3 Deadly]]-INDEX(PartyCompare_0[+3 Deadly], MATCH(PartyCompare_0[[#This Row],[Mob Size]],PartyCompare_0[Mob Size],0)))/INDEX(PartyCompare_0[+3 Deadly], MATCH(PartyCompare_0[[#This Row],[Mob Size]],PartyCompare_0[Mob Size],0))</f>
        <v>0</v>
      </c>
      <c r="BU8" s="48">
        <f>AVERAGE(PartyCompare_0[[#This Row],[+3 Easy Deviation]:[+3 Deadly Deviation]])</f>
        <v>0</v>
      </c>
      <c r="BV8" s="42">
        <f>IF(ISNUMBER(PartyCompare_0[[#This Row],[Level]]), PartyCompare_0[[#This Row],[Level]]+4, PartyCompare_0[[#This Row],[Level]])</f>
        <v>0</v>
      </c>
      <c r="BW8" s="31">
        <f>INDEX(Encounter_Diff[Easy], MATCH(PartyCompare_0[[#This Row],[+4 Level]],Encounter_Diff[Player Level],0))</f>
        <v>0</v>
      </c>
      <c r="BX8" s="36">
        <f>INDEX(Encounter_Diff[Medium], MATCH(PartyCompare_0[[#This Row],[+4 Level]],Encounter_Diff[Player Level],0))</f>
        <v>0</v>
      </c>
      <c r="BY8" s="36">
        <f>INDEX(Encounter_Diff[Hard], MATCH(PartyCompare_0[[#This Row],[+4 Level]],Encounter_Diff[Player Level],0))</f>
        <v>0</v>
      </c>
      <c r="BZ8" s="36">
        <f>INDEX(Encounter_Diff[Deadly], MATCH(PartyCompare_0[[#This Row],[+4 Level]],Encounter_Diff[Player Level],0))</f>
        <v>0</v>
      </c>
      <c r="CA8" s="63">
        <f>SUM(PartyCompare_0[+4 (Easy)])/INDEX(Encounter_Mod[[Small]:[Large]], MATCH(PartyCompare_0[[#This Row],[Mob Size]], Encounter_Mod[Type], 0), MATCH(PartyCompare_0[[#This Row],[Party Size]],Encounter_Mod[[#Headers],[Small]:[Large]],0))</f>
        <v>333.33333333333331</v>
      </c>
      <c r="CB8" s="38">
        <f>SUM(PartyCompare_0[+4 (Medium)])/INDEX(Encounter_Mod[[Small]:[Large]], MATCH(PartyCompare_0[[#This Row],[Mob Size]], Encounter_Mod[Type], 0), MATCH(PartyCompare_0[[#This Row],[Party Size]],Encounter_Mod[[#Headers],[Small]:[Large]],0))</f>
        <v>666.66666666666663</v>
      </c>
      <c r="CC8" s="38">
        <f>SUM(PartyCompare_0[+4 (Hard)])/INDEX(Encounter_Mod[[Small]:[Large]], MATCH(PartyCompare_0[[#This Row],[Mob Size]], Encounter_Mod[Type], 0), MATCH(PartyCompare_0[[#This Row],[Party Size]],Encounter_Mod[[#Headers],[Small]:[Large]],0))</f>
        <v>1000</v>
      </c>
      <c r="CD8" s="42">
        <f>SUM(PartyCompare_0[+4 (Deadly)])/INDEX(Encounter_Mod[[Small]:[Large]], MATCH(PartyCompare_0[[#This Row],[Mob Size]], Encounter_Mod[Type], 0), MATCH(PartyCompare_0[[#This Row],[Party Size]],Encounter_Mod[[#Headers],[Small]:[Large]],0))</f>
        <v>1466.6666666666667</v>
      </c>
      <c r="CE8" s="46">
        <f>(PartyCompare_0[[#This Row],[+4 Easy]]-INDEX(PartyCompare_0[+4 Easy], MATCH(PartyCompare_0[[#This Row],[Mob Size]],PartyCompare_0[Mob Size],0)))/INDEX(PartyCompare_0[+4 Easy], MATCH(PartyCompare_0[[#This Row],[Mob Size]],PartyCompare_0[Mob Size],0))</f>
        <v>0</v>
      </c>
      <c r="CF8" s="39">
        <f>(PartyCompare_0[[#This Row],[+4 Medium]]-INDEX(PartyCompare_0[+4 Medium], MATCH(PartyCompare_0[[#This Row],[Mob Size]],PartyCompare_0[Mob Size],0)))/INDEX(PartyCompare_0[+4 Medium], MATCH(PartyCompare_0[[#This Row],[Mob Size]],PartyCompare_0[Mob Size],0))</f>
        <v>0</v>
      </c>
      <c r="CG8" s="39">
        <f>(PartyCompare_0[[#This Row],[+4 Hard]]-INDEX(PartyCompare_0[+4 Hard], MATCH(PartyCompare_0[[#This Row],[Mob Size]],PartyCompare_0[Mob Size],0)))/INDEX(PartyCompare_0[+4 Hard], MATCH(PartyCompare_0[[#This Row],[Mob Size]],PartyCompare_0[Mob Size],0))</f>
        <v>0</v>
      </c>
      <c r="CH8" s="34">
        <f>(PartyCompare_0[[#This Row],[+4 Deadly]]-INDEX(PartyCompare_0[+4 Deadly], MATCH(PartyCompare_0[[#This Row],[Mob Size]],PartyCompare_0[Mob Size],0)))/INDEX(PartyCompare_0[+4 Deadly], MATCH(PartyCompare_0[[#This Row],[Mob Size]],PartyCompare_0[Mob Size],0))</f>
        <v>0</v>
      </c>
      <c r="CI8" s="48">
        <f>AVERAGE(PartyCompare_0[[#This Row],[+4 Easy Deviation]:[+4 Deadly Deviation]])</f>
        <v>0</v>
      </c>
    </row>
    <row r="9" spans="2:87" x14ac:dyDescent="0.2">
      <c r="B9" s="167" t="s">
        <v>145</v>
      </c>
      <c r="C9" s="168">
        <v>4</v>
      </c>
      <c r="D9" s="169">
        <v>4</v>
      </c>
      <c r="E9" s="170">
        <v>0</v>
      </c>
      <c r="F9" s="170">
        <v>0</v>
      </c>
      <c r="G9" s="170">
        <v>0</v>
      </c>
      <c r="H9" s="170">
        <v>0</v>
      </c>
      <c r="I9" s="170">
        <v>0</v>
      </c>
      <c r="J9" s="88"/>
      <c r="L9" s="228"/>
      <c r="M9" s="89"/>
      <c r="N9" s="90"/>
      <c r="O9" s="36">
        <f>INDEX(Encounter_Diff[Easy], MATCH(PartyCompare_0[[#This Row],[Level]],Encounter_Diff[Player Level],0))</f>
        <v>0</v>
      </c>
      <c r="P9" s="36">
        <f>INDEX(Encounter_Diff[Medium], MATCH(PartyCompare_0[[#This Row],[Level]],Encounter_Diff[Player Level],0))</f>
        <v>0</v>
      </c>
      <c r="Q9" s="36">
        <f>INDEX(Encounter_Diff[Hard], MATCH(PartyCompare_0[[#This Row],[Level]],Encounter_Diff[Player Level],0))</f>
        <v>0</v>
      </c>
      <c r="R9" s="30">
        <f>INDEX(Encounter_Diff[Deadly], MATCH(PartyCompare_0[[#This Row],[Level]],Encounter_Diff[Player Level],0))</f>
        <v>0</v>
      </c>
      <c r="S9" s="97" t="str">
        <f t="shared" si="0"/>
        <v>Base Party (Zero Comparison)</v>
      </c>
      <c r="T9" s="32" t="str">
        <f>IF(COUNT(PartyCompare_0[Level])&lt;=2,"Small", IF(COUNT(PartyCompare_0[Level])&lt;=5,"Med", IF(COUNT(PartyCompare_0[Level])&lt;=8, "Large", "TOO BIG!")))</f>
        <v>Med</v>
      </c>
      <c r="U9" s="73" t="s">
        <v>112</v>
      </c>
      <c r="V9" s="77" t="str">
        <f>INDEX(Encounter_Mod[Count], MATCH(PartyCompare_0[[#This Row],[Mob Size]], Encounter_Mod[Type],0))</f>
        <v>15+</v>
      </c>
      <c r="W9" s="81">
        <f>SUM(PartyCompare_0[(Easy)])/INDEX(Encounter_Mod[[Small]:[Large]], MATCH(PartyCompare_0[[#This Row],[Mob Size]], Encounter_Mod[Type], 0), MATCH(PartyCompare_0[[#This Row],[Party Size]],Encounter_Mod[[#Headers],[Small]:[Large]],0))</f>
        <v>25</v>
      </c>
      <c r="X9" s="42">
        <f>SUM(PartyCompare_0[(Medium)])/INDEX(Encounter_Mod[[Small]:[Large]], MATCH(PartyCompare_0[[#This Row],[Mob Size]], Encounter_Mod[Type], 0), MATCH(PartyCompare_0[[#This Row],[Party Size]],Encounter_Mod[[#Headers],[Small]:[Large]],0))</f>
        <v>50</v>
      </c>
      <c r="Y9" s="42">
        <f>SUM(PartyCompare_0[(Hard)])/INDEX(Encounter_Mod[[Small]:[Large]], MATCH(PartyCompare_0[[#This Row],[Mob Size]], Encounter_Mod[Type], 0), MATCH(PartyCompare_0[[#This Row],[Party Size]],Encounter_Mod[[#Headers],[Small]:[Large]],0))</f>
        <v>75</v>
      </c>
      <c r="Z9" s="43">
        <f>SUM(PartyCompare_0[(Deadly)])/INDEX(Encounter_Mod[[Small]:[Large]], MATCH(PartyCompare_0[[#This Row],[Mob Size]], Encounter_Mod[Type], 0), MATCH(PartyCompare_0[[#This Row],[Party Size]],Encounter_Mod[[#Headers],[Small]:[Large]],0))</f>
        <v>100</v>
      </c>
      <c r="AA9" s="33">
        <f>(PartyCompare_0[[#This Row],[Easy]]-INDEX(PartyCompare_0[Easy], MATCH(PartyCompare_0[[#This Row],[Mob Size]],PartyCompare_0[Mob Size],0)))/INDEX(PartyCompare_0[Easy], MATCH(PartyCompare_0[[#This Row],[Mob Size]],PartyCompare_0[Mob Size],0))</f>
        <v>0</v>
      </c>
      <c r="AB9" s="33">
        <f>(PartyCompare_0[[#This Row],[Medium]]-INDEX(PartyCompare_0[Medium], MATCH(PartyCompare_0[[#This Row],[Mob Size]],PartyCompare_0[Mob Size],0)))/INDEX(PartyCompare_0[Medium], MATCH(PartyCompare_0[[#This Row],[Mob Size]],PartyCompare_0[Mob Size],0))</f>
        <v>0</v>
      </c>
      <c r="AC9" s="33">
        <f>(PartyCompare_0[[#This Row],[Hard]]-INDEX(PartyCompare_0[Hard], MATCH(PartyCompare_0[[#This Row],[Mob Size]],PartyCompare_0[Mob Size],0)))/INDEX(PartyCompare_0[Hard], MATCH(PartyCompare_0[[#This Row],[Mob Size]],PartyCompare_0[Mob Size],0))</f>
        <v>0</v>
      </c>
      <c r="AD9" s="34">
        <f>(PartyCompare_0[[#This Row],[Deadly]]-INDEX(PartyCompare_0[Deadly], MATCH(PartyCompare_0[[#This Row],[Mob Size]],PartyCompare_0[Mob Size],0)))/INDEX(PartyCompare_0[Deadly], MATCH(PartyCompare_0[[#This Row],[Mob Size]],PartyCompare_0[Mob Size],0))</f>
        <v>0</v>
      </c>
      <c r="AE9" s="48">
        <f>AVERAGE(PartyCompare_0[[#This Row],[Easy Deviation]:[Deadly Deviation]])</f>
        <v>0</v>
      </c>
      <c r="AF9" s="43">
        <f>IF(ISNUMBER(PartyCompare_0[[#This Row],[Level]]), PartyCompare_0[[#This Row],[Level]]+1, PartyCompare_0[[#This Row],[Level]])</f>
        <v>0</v>
      </c>
      <c r="AG9" s="36">
        <f>INDEX(Encounter_Diff[Easy], MATCH(PartyCompare_0[[#This Row],[+1 Level]],Encounter_Diff[Player Level],0))</f>
        <v>0</v>
      </c>
      <c r="AH9" s="36">
        <f>INDEX(Encounter_Diff[Medium], MATCH(PartyCompare_0[[#This Row],[+1 Level]],Encounter_Diff[Player Level],0))</f>
        <v>0</v>
      </c>
      <c r="AI9" s="36">
        <f>INDEX(Encounter_Diff[Hard], MATCH(PartyCompare_0[[#This Row],[+1 Level]],Encounter_Diff[Player Level],0))</f>
        <v>0</v>
      </c>
      <c r="AJ9" s="36">
        <f>INDEX(Encounter_Diff[Deadly], MATCH(PartyCompare_0[[#This Row],[+1 Level]],Encounter_Diff[Player Level],0))</f>
        <v>0</v>
      </c>
      <c r="AK9" s="63">
        <f>SUM(PartyCompare_0[+1 (Easy)])/INDEX(Encounter_Mod[[Small]:[Large]], MATCH(PartyCompare_0[[#This Row],[Mob Size]], Encounter_Mod[Type], 0), MATCH(PartyCompare_0[[#This Row],[Party Size]],Encounter_Mod[[#Headers],[Small]:[Large]],0))</f>
        <v>50</v>
      </c>
      <c r="AL9" s="38">
        <f>SUM(PartyCompare_0[+1 (Medium)])/INDEX(Encounter_Mod[[Small]:[Large]], MATCH(PartyCompare_0[[#This Row],[Mob Size]], Encounter_Mod[Type], 0), MATCH(PartyCompare_0[[#This Row],[Party Size]],Encounter_Mod[[#Headers],[Small]:[Large]],0))</f>
        <v>100</v>
      </c>
      <c r="AM9" s="38">
        <f>SUM(PartyCompare_0[+1 (Hard)])/INDEX(Encounter_Mod[[Small]:[Large]], MATCH(PartyCompare_0[[#This Row],[Mob Size]], Encounter_Mod[Type], 0), MATCH(PartyCompare_0[[#This Row],[Party Size]],Encounter_Mod[[#Headers],[Small]:[Large]],0))</f>
        <v>150</v>
      </c>
      <c r="AN9" s="43">
        <f>SUM(PartyCompare_0[+1 (Deadly)])/INDEX(Encounter_Mod[[Small]:[Large]], MATCH(PartyCompare_0[[#This Row],[Mob Size]], Encounter_Mod[Type], 0), MATCH(PartyCompare_0[[#This Row],[Party Size]],Encounter_Mod[[#Headers],[Small]:[Large]],0))</f>
        <v>200</v>
      </c>
      <c r="AO9" s="39">
        <f>(PartyCompare_0[[#This Row],[+1 Easy]]-INDEX(PartyCompare_0[+1 Easy], MATCH(PartyCompare_0[[#This Row],[Mob Size]],PartyCompare_0[Mob Size],0)))/INDEX(PartyCompare_0[+1 Easy], MATCH(PartyCompare_0[[#This Row],[Mob Size]],PartyCompare_0[Mob Size],0))</f>
        <v>0</v>
      </c>
      <c r="AP9" s="39">
        <f>(PartyCompare_0[[#This Row],[+1 Medium]]-INDEX(PartyCompare_0[+1 Medium], MATCH(PartyCompare_0[[#This Row],[Mob Size]],PartyCompare_0[Mob Size],0)))/INDEX(PartyCompare_0[+1 Medium], MATCH(PartyCompare_0[[#This Row],[Mob Size]],PartyCompare_0[Mob Size],0))</f>
        <v>0</v>
      </c>
      <c r="AQ9" s="39">
        <f>(PartyCompare_0[[#This Row],[+1 Hard]]-INDEX(PartyCompare_0[+1 Hard], MATCH(PartyCompare_0[[#This Row],[Mob Size]],PartyCompare_0[Mob Size],0)))/INDEX(PartyCompare_0[+1 Hard], MATCH(PartyCompare_0[[#This Row],[Mob Size]],PartyCompare_0[Mob Size],0))</f>
        <v>0</v>
      </c>
      <c r="AR9" s="34">
        <f>(PartyCompare_0[[#This Row],[+1 Deadly]]-INDEX(PartyCompare_0[+1 Deadly], MATCH(PartyCompare_0[[#This Row],[Mob Size]],PartyCompare_0[Mob Size],0)))/INDEX(PartyCompare_0[+1 Deadly], MATCH(PartyCompare_0[[#This Row],[Mob Size]],PartyCompare_0[Mob Size],0))</f>
        <v>0</v>
      </c>
      <c r="AS9" s="48">
        <f>AVERAGE(PartyCompare_0[[#This Row],[+1 Easy Deviation]:[+1 Deadly Deviation]])</f>
        <v>0</v>
      </c>
      <c r="AT9" s="36">
        <f>IF(ISNUMBER(PartyCompare_0[[#This Row],[Level]]), PartyCompare_0[[#This Row],[Level]]+2, PartyCompare_0[[#This Row],[Level]])</f>
        <v>0</v>
      </c>
      <c r="AU9" s="36">
        <f>INDEX(Encounter_Diff[Easy], MATCH(PartyCompare_0[[#This Row],[+2 Level]],Encounter_Diff[Player Level],0))</f>
        <v>0</v>
      </c>
      <c r="AV9" s="36">
        <f>INDEX(Encounter_Diff[Medium], MATCH(PartyCompare_0[[#This Row],[+2 Level]],Encounter_Diff[Player Level],0))</f>
        <v>0</v>
      </c>
      <c r="AW9" s="36">
        <f>INDEX(Encounter_Diff[Hard], MATCH(PartyCompare_0[[#This Row],[+2 Level]],Encounter_Diff[Player Level],0))</f>
        <v>0</v>
      </c>
      <c r="AX9" s="36">
        <f>INDEX(Encounter_Diff[Deadly], MATCH(PartyCompare_0[[#This Row],[+2 Level]],Encounter_Diff[Player Level],0))</f>
        <v>0</v>
      </c>
      <c r="AY9" s="63">
        <f>SUM(PartyCompare_0[+2 (Easy)])/INDEX(Encounter_Mod[[Small]:[Large]], MATCH(PartyCompare_0[[#This Row],[Mob Size]], Encounter_Mod[Type], 0), MATCH(PartyCompare_0[[#This Row],[Party Size]],Encounter_Mod[[#Headers],[Small]:[Large]],0))</f>
        <v>75</v>
      </c>
      <c r="AZ9" s="38">
        <f>SUM(PartyCompare_0[+2 (Medium)])/INDEX(Encounter_Mod[[Small]:[Large]], MATCH(PartyCompare_0[[#This Row],[Mob Size]], Encounter_Mod[Type], 0), MATCH(PartyCompare_0[[#This Row],[Party Size]],Encounter_Mod[[#Headers],[Small]:[Large]],0))</f>
        <v>150</v>
      </c>
      <c r="BA9" s="38">
        <f>SUM(PartyCompare_0[+2 (Hard)])/INDEX(Encounter_Mod[[Small]:[Large]], MATCH(PartyCompare_0[[#This Row],[Mob Size]], Encounter_Mod[Type], 0), MATCH(PartyCompare_0[[#This Row],[Party Size]],Encounter_Mod[[#Headers],[Small]:[Large]],0))</f>
        <v>225</v>
      </c>
      <c r="BB9" s="38">
        <f>SUM(PartyCompare_0[+2 (Deadly)])/INDEX(Encounter_Mod[[Small]:[Large]], MATCH(PartyCompare_0[[#This Row],[Mob Size]], Encounter_Mod[Type], 0), MATCH(PartyCompare_0[[#This Row],[Party Size]],Encounter_Mod[[#Headers],[Small]:[Large]],0))</f>
        <v>400</v>
      </c>
      <c r="BC9" s="46">
        <f>(PartyCompare_0[[#This Row],[+2 Easy]]-INDEX(PartyCompare_0[+2 Easy], MATCH(PartyCompare_0[[#This Row],[Mob Size]],PartyCompare_0[Mob Size],0)))/INDEX(PartyCompare_0[+2 Easy], MATCH(PartyCompare_0[[#This Row],[Mob Size]],PartyCompare_0[Mob Size],0))</f>
        <v>0</v>
      </c>
      <c r="BD9" s="39">
        <f>(PartyCompare_0[[#This Row],[+2 Medium]]-INDEX(PartyCompare_0[+2 Medium], MATCH(PartyCompare_0[[#This Row],[Mob Size]],PartyCompare_0[Mob Size],0)))/INDEX(PartyCompare_0[+2 Medium], MATCH(PartyCompare_0[[#This Row],[Mob Size]],PartyCompare_0[Mob Size],0))</f>
        <v>0</v>
      </c>
      <c r="BE9" s="39">
        <f>(PartyCompare_0[[#This Row],[+2 Hard]]-INDEX(PartyCompare_0[+2 Hard], MATCH(PartyCompare_0[[#This Row],[Mob Size]],PartyCompare_0[Mob Size],0)))/INDEX(PartyCompare_0[+2 Hard], MATCH(PartyCompare_0[[#This Row],[Mob Size]],PartyCompare_0[Mob Size],0))</f>
        <v>0</v>
      </c>
      <c r="BF9" s="34">
        <f>(PartyCompare_0[[#This Row],[+2 Deadly]]-INDEX(PartyCompare_0[+2 Deadly], MATCH(PartyCompare_0[[#This Row],[Mob Size]],PartyCompare_0[Mob Size],0)))/INDEX(PartyCompare_0[+2 Deadly], MATCH(PartyCompare_0[[#This Row],[Mob Size]],PartyCompare_0[Mob Size],0))</f>
        <v>0</v>
      </c>
      <c r="BG9" s="48">
        <f>AVERAGE(PartyCompare_0[[#This Row],[+2 Easy Deviation]:[+2 Deadly Deviation]])</f>
        <v>0</v>
      </c>
      <c r="BH9" s="43">
        <f>IF(ISNUMBER(PartyCompare_0[[#This Row],[Level]]), PartyCompare_0[[#This Row],[Level]]+3, PartyCompare_0[[#This Row],[Level]])</f>
        <v>0</v>
      </c>
      <c r="BI9" s="36">
        <f>INDEX(Encounter_Diff[Easy], MATCH(PartyCompare_0[[#This Row],[+3 Level]],Encounter_Diff[Player Level],0))</f>
        <v>0</v>
      </c>
      <c r="BJ9" s="36">
        <f>INDEX(Encounter_Diff[Medium], MATCH(PartyCompare_0[[#This Row],[+3 Level]],Encounter_Diff[Player Level],0))</f>
        <v>0</v>
      </c>
      <c r="BK9" s="36">
        <f>INDEX(Encounter_Diff[Hard], MATCH(PartyCompare_0[[#This Row],[+3 Level]],Encounter_Diff[Player Level],0))</f>
        <v>0</v>
      </c>
      <c r="BL9" s="36">
        <f>INDEX(Encounter_Diff[Deadly], MATCH(PartyCompare_0[[#This Row],[+3 Level]],Encounter_Diff[Player Level],0))</f>
        <v>0</v>
      </c>
      <c r="BM9" s="63">
        <f>SUM(PartyCompare_0[+3 (Easy)])/INDEX(Encounter_Mod[[Small]:[Large]], MATCH(PartyCompare_0[[#This Row],[Mob Size]], Encounter_Mod[Type], 0), MATCH(PartyCompare_0[[#This Row],[Party Size]],Encounter_Mod[[#Headers],[Small]:[Large]],0))</f>
        <v>125</v>
      </c>
      <c r="BN9" s="38">
        <f>SUM(PartyCompare_0[+3 (Medium)])/INDEX(Encounter_Mod[[Small]:[Large]], MATCH(PartyCompare_0[[#This Row],[Mob Size]], Encounter_Mod[Type], 0), MATCH(PartyCompare_0[[#This Row],[Party Size]],Encounter_Mod[[#Headers],[Small]:[Large]],0))</f>
        <v>250</v>
      </c>
      <c r="BO9" s="38">
        <f>SUM(PartyCompare_0[+3 (Hard)])/INDEX(Encounter_Mod[[Small]:[Large]], MATCH(PartyCompare_0[[#This Row],[Mob Size]], Encounter_Mod[Type], 0), MATCH(PartyCompare_0[[#This Row],[Party Size]],Encounter_Mod[[#Headers],[Small]:[Large]],0))</f>
        <v>375</v>
      </c>
      <c r="BP9" s="42">
        <f>SUM(PartyCompare_0[+3 (Deadly)])/INDEX(Encounter_Mod[[Small]:[Large]], MATCH(PartyCompare_0[[#This Row],[Mob Size]], Encounter_Mod[Type], 0), MATCH(PartyCompare_0[[#This Row],[Party Size]],Encounter_Mod[[#Headers],[Small]:[Large]],0))</f>
        <v>500</v>
      </c>
      <c r="BQ9" s="46">
        <f>(PartyCompare_0[[#This Row],[+3 Easy]]-INDEX(PartyCompare_0[+3 Easy], MATCH(PartyCompare_0[[#This Row],[Mob Size]],PartyCompare_0[Mob Size],0)))/INDEX(PartyCompare_0[+3 Easy], MATCH(PartyCompare_0[[#This Row],[Mob Size]],PartyCompare_0[Mob Size],0))</f>
        <v>0</v>
      </c>
      <c r="BR9" s="39">
        <f>(PartyCompare_0[[#This Row],[+3 Medium]]-INDEX(PartyCompare_0[+3 Medium], MATCH(PartyCompare_0[[#This Row],[Mob Size]],PartyCompare_0[Mob Size],0)))/INDEX(PartyCompare_0[+3 Medium], MATCH(PartyCompare_0[[#This Row],[Mob Size]],PartyCompare_0[Mob Size],0))</f>
        <v>0</v>
      </c>
      <c r="BS9" s="39">
        <f>(PartyCompare_0[[#This Row],[+3 Hard]]-INDEX(PartyCompare_0[+3 Hard], MATCH(PartyCompare_0[[#This Row],[Mob Size]],PartyCompare_0[Mob Size],0)))/INDEX(PartyCompare_0[+3 Hard], MATCH(PartyCompare_0[[#This Row],[Mob Size]],PartyCompare_0[Mob Size],0))</f>
        <v>0</v>
      </c>
      <c r="BT9" s="33">
        <f>(PartyCompare_0[[#This Row],[+3 Deadly]]-INDEX(PartyCompare_0[+3 Deadly], MATCH(PartyCompare_0[[#This Row],[Mob Size]],PartyCompare_0[Mob Size],0)))/INDEX(PartyCompare_0[+3 Deadly], MATCH(PartyCompare_0[[#This Row],[Mob Size]],PartyCompare_0[Mob Size],0))</f>
        <v>0</v>
      </c>
      <c r="BU9" s="48">
        <f>AVERAGE(PartyCompare_0[[#This Row],[+3 Easy Deviation]:[+3 Deadly Deviation]])</f>
        <v>0</v>
      </c>
      <c r="BV9" s="42">
        <f>IF(ISNUMBER(PartyCompare_0[[#This Row],[Level]]), PartyCompare_0[[#This Row],[Level]]+4, PartyCompare_0[[#This Row],[Level]])</f>
        <v>0</v>
      </c>
      <c r="BW9" s="31">
        <f>INDEX(Encounter_Diff[Easy], MATCH(PartyCompare_0[[#This Row],[+4 Level]],Encounter_Diff[Player Level],0))</f>
        <v>0</v>
      </c>
      <c r="BX9" s="36">
        <f>INDEX(Encounter_Diff[Medium], MATCH(PartyCompare_0[[#This Row],[+4 Level]],Encounter_Diff[Player Level],0))</f>
        <v>0</v>
      </c>
      <c r="BY9" s="36">
        <f>INDEX(Encounter_Diff[Hard], MATCH(PartyCompare_0[[#This Row],[+4 Level]],Encounter_Diff[Player Level],0))</f>
        <v>0</v>
      </c>
      <c r="BZ9" s="36">
        <f>INDEX(Encounter_Diff[Deadly], MATCH(PartyCompare_0[[#This Row],[+4 Level]],Encounter_Diff[Player Level],0))</f>
        <v>0</v>
      </c>
      <c r="CA9" s="63">
        <f>SUM(PartyCompare_0[+4 (Easy)])/INDEX(Encounter_Mod[[Small]:[Large]], MATCH(PartyCompare_0[[#This Row],[Mob Size]], Encounter_Mod[Type], 0), MATCH(PartyCompare_0[[#This Row],[Party Size]],Encounter_Mod[[#Headers],[Small]:[Large]],0))</f>
        <v>250</v>
      </c>
      <c r="CB9" s="38">
        <f>SUM(PartyCompare_0[+4 (Medium)])/INDEX(Encounter_Mod[[Small]:[Large]], MATCH(PartyCompare_0[[#This Row],[Mob Size]], Encounter_Mod[Type], 0), MATCH(PartyCompare_0[[#This Row],[Party Size]],Encounter_Mod[[#Headers],[Small]:[Large]],0))</f>
        <v>500</v>
      </c>
      <c r="CC9" s="38">
        <f>SUM(PartyCompare_0[+4 (Hard)])/INDEX(Encounter_Mod[[Small]:[Large]], MATCH(PartyCompare_0[[#This Row],[Mob Size]], Encounter_Mod[Type], 0), MATCH(PartyCompare_0[[#This Row],[Party Size]],Encounter_Mod[[#Headers],[Small]:[Large]],0))</f>
        <v>750</v>
      </c>
      <c r="CD9" s="42">
        <f>SUM(PartyCompare_0[+4 (Deadly)])/INDEX(Encounter_Mod[[Small]:[Large]], MATCH(PartyCompare_0[[#This Row],[Mob Size]], Encounter_Mod[Type], 0), MATCH(PartyCompare_0[[#This Row],[Party Size]],Encounter_Mod[[#Headers],[Small]:[Large]],0))</f>
        <v>1100</v>
      </c>
      <c r="CE9" s="46">
        <f>(PartyCompare_0[[#This Row],[+4 Easy]]-INDEX(PartyCompare_0[+4 Easy], MATCH(PartyCompare_0[[#This Row],[Mob Size]],PartyCompare_0[Mob Size],0)))/INDEX(PartyCompare_0[+4 Easy], MATCH(PartyCompare_0[[#This Row],[Mob Size]],PartyCompare_0[Mob Size],0))</f>
        <v>0</v>
      </c>
      <c r="CF9" s="39">
        <f>(PartyCompare_0[[#This Row],[+4 Medium]]-INDEX(PartyCompare_0[+4 Medium], MATCH(PartyCompare_0[[#This Row],[Mob Size]],PartyCompare_0[Mob Size],0)))/INDEX(PartyCompare_0[+4 Medium], MATCH(PartyCompare_0[[#This Row],[Mob Size]],PartyCompare_0[Mob Size],0))</f>
        <v>0</v>
      </c>
      <c r="CG9" s="39">
        <f>(PartyCompare_0[[#This Row],[+4 Hard]]-INDEX(PartyCompare_0[+4 Hard], MATCH(PartyCompare_0[[#This Row],[Mob Size]],PartyCompare_0[Mob Size],0)))/INDEX(PartyCompare_0[+4 Hard], MATCH(PartyCompare_0[[#This Row],[Mob Size]],PartyCompare_0[Mob Size],0))</f>
        <v>0</v>
      </c>
      <c r="CH9" s="34">
        <f>(PartyCompare_0[[#This Row],[+4 Deadly]]-INDEX(PartyCompare_0[+4 Deadly], MATCH(PartyCompare_0[[#This Row],[Mob Size]],PartyCompare_0[Mob Size],0)))/INDEX(PartyCompare_0[+4 Deadly], MATCH(PartyCompare_0[[#This Row],[Mob Size]],PartyCompare_0[Mob Size],0))</f>
        <v>0</v>
      </c>
      <c r="CI9" s="48">
        <f>AVERAGE(PartyCompare_0[[#This Row],[+4 Easy Deviation]:[+4 Deadly Deviation]])</f>
        <v>0</v>
      </c>
    </row>
    <row r="10" spans="2:87" x14ac:dyDescent="0.2">
      <c r="B10" s="167">
        <v>4</v>
      </c>
      <c r="C10" s="168">
        <v>1</v>
      </c>
      <c r="D10" s="169">
        <v>4</v>
      </c>
      <c r="E10" s="170">
        <v>-4.1666666666666706E-2</v>
      </c>
      <c r="F10" s="170">
        <v>-1.7708333333333357E-2</v>
      </c>
      <c r="G10" s="170">
        <v>-0.25729166666666664</v>
      </c>
      <c r="H10" s="170">
        <v>-0.4186111111111111</v>
      </c>
      <c r="I10" s="170">
        <v>-0.64657828282828278</v>
      </c>
      <c r="J10" s="88"/>
      <c r="L10" s="228"/>
      <c r="M10" s="89"/>
      <c r="N10" s="90"/>
      <c r="O10" s="36">
        <f>INDEX(Encounter_Diff[Easy], MATCH(PartyCompare_0[[#This Row],[Level]],Encounter_Diff[Player Level],0))</f>
        <v>0</v>
      </c>
      <c r="P10" s="36">
        <f>INDEX(Encounter_Diff[Medium], MATCH(PartyCompare_0[[#This Row],[Level]],Encounter_Diff[Player Level],0))</f>
        <v>0</v>
      </c>
      <c r="Q10" s="36">
        <f>INDEX(Encounter_Diff[Hard], MATCH(PartyCompare_0[[#This Row],[Level]],Encounter_Diff[Player Level],0))</f>
        <v>0</v>
      </c>
      <c r="R10" s="30">
        <f>INDEX(Encounter_Diff[Deadly], MATCH(PartyCompare_0[[#This Row],[Level]],Encounter_Diff[Player Level],0))</f>
        <v>0</v>
      </c>
      <c r="S10" s="97" t="str">
        <f t="shared" si="0"/>
        <v>Base Party (Zero Comparison)</v>
      </c>
      <c r="T10" s="45" t="s">
        <v>139</v>
      </c>
      <c r="U10" s="74" t="s">
        <v>139</v>
      </c>
      <c r="V10" s="78" t="s">
        <v>139</v>
      </c>
      <c r="W10" s="82" t="s">
        <v>139</v>
      </c>
      <c r="X10" s="45" t="s">
        <v>139</v>
      </c>
      <c r="Y10" s="45" t="s">
        <v>139</v>
      </c>
      <c r="Z10" s="41" t="s">
        <v>139</v>
      </c>
      <c r="AA10" s="45" t="s">
        <v>139</v>
      </c>
      <c r="AB10" s="45" t="s">
        <v>139</v>
      </c>
      <c r="AC10" s="45" t="s">
        <v>139</v>
      </c>
      <c r="AD10" s="41" t="s">
        <v>139</v>
      </c>
      <c r="AE10" s="49" t="s">
        <v>139</v>
      </c>
      <c r="AF10" s="43">
        <f>IF(ISNUMBER(PartyCompare_0[[#This Row],[Level]]), PartyCompare_0[[#This Row],[Level]]+1, PartyCompare_0[[#This Row],[Level]])</f>
        <v>0</v>
      </c>
      <c r="AG10" s="36">
        <f>INDEX(Encounter_Diff[Easy], MATCH(PartyCompare_0[[#This Row],[+1 Level]],Encounter_Diff[Player Level],0))</f>
        <v>0</v>
      </c>
      <c r="AH10" s="36">
        <f>INDEX(Encounter_Diff[Medium], MATCH(PartyCompare_0[[#This Row],[+1 Level]],Encounter_Diff[Player Level],0))</f>
        <v>0</v>
      </c>
      <c r="AI10" s="36">
        <f>INDEX(Encounter_Diff[Hard], MATCH(PartyCompare_0[[#This Row],[+1 Level]],Encounter_Diff[Player Level],0))</f>
        <v>0</v>
      </c>
      <c r="AJ10" s="36">
        <f>INDEX(Encounter_Diff[Deadly], MATCH(PartyCompare_0[[#This Row],[+1 Level]],Encounter_Diff[Player Level],0))</f>
        <v>0</v>
      </c>
      <c r="AK10" s="44" t="s">
        <v>139</v>
      </c>
      <c r="AL10" s="37" t="s">
        <v>139</v>
      </c>
      <c r="AM10" s="37" t="s">
        <v>139</v>
      </c>
      <c r="AN10" s="41" t="s">
        <v>139</v>
      </c>
      <c r="AO10" s="37" t="s">
        <v>139</v>
      </c>
      <c r="AP10" s="37" t="s">
        <v>139</v>
      </c>
      <c r="AQ10" s="37" t="s">
        <v>139</v>
      </c>
      <c r="AR10" s="41" t="s">
        <v>139</v>
      </c>
      <c r="AS10" s="49" t="s">
        <v>139</v>
      </c>
      <c r="AT10" s="36">
        <f>IF(ISNUMBER(PartyCompare_0[[#This Row],[Level]]), PartyCompare_0[[#This Row],[Level]]+2, PartyCompare_0[[#This Row],[Level]])</f>
        <v>0</v>
      </c>
      <c r="AU10" s="36">
        <f>INDEX(Encounter_Diff[Easy], MATCH(PartyCompare_0[[#This Row],[+2 Level]],Encounter_Diff[Player Level],0))</f>
        <v>0</v>
      </c>
      <c r="AV10" s="36">
        <f>INDEX(Encounter_Diff[Medium], MATCH(PartyCompare_0[[#This Row],[+2 Level]],Encounter_Diff[Player Level],0))</f>
        <v>0</v>
      </c>
      <c r="AW10" s="36">
        <f>INDEX(Encounter_Diff[Hard], MATCH(PartyCompare_0[[#This Row],[+2 Level]],Encounter_Diff[Player Level],0))</f>
        <v>0</v>
      </c>
      <c r="AX10" s="36">
        <f>INDEX(Encounter_Diff[Deadly], MATCH(PartyCompare_0[[#This Row],[+2 Level]],Encounter_Diff[Player Level],0))</f>
        <v>0</v>
      </c>
      <c r="AY10" s="44" t="s">
        <v>139</v>
      </c>
      <c r="AZ10" s="37" t="s">
        <v>139</v>
      </c>
      <c r="BA10" s="37" t="s">
        <v>139</v>
      </c>
      <c r="BB10" s="45" t="s">
        <v>139</v>
      </c>
      <c r="BC10" s="44" t="s">
        <v>139</v>
      </c>
      <c r="BD10" s="37" t="s">
        <v>139</v>
      </c>
      <c r="BE10" s="37" t="s">
        <v>139</v>
      </c>
      <c r="BF10" s="41" t="s">
        <v>139</v>
      </c>
      <c r="BG10" s="49" t="s">
        <v>139</v>
      </c>
      <c r="BH10" s="43">
        <f>IF(ISNUMBER(PartyCompare_0[[#This Row],[Level]]), PartyCompare_0[[#This Row],[Level]]+3, PartyCompare_0[[#This Row],[Level]])</f>
        <v>0</v>
      </c>
      <c r="BI10" s="36">
        <f>INDEX(Encounter_Diff[Easy], MATCH(PartyCompare_0[[#This Row],[+3 Level]],Encounter_Diff[Player Level],0))</f>
        <v>0</v>
      </c>
      <c r="BJ10" s="36">
        <f>INDEX(Encounter_Diff[Medium], MATCH(PartyCompare_0[[#This Row],[+3 Level]],Encounter_Diff[Player Level],0))</f>
        <v>0</v>
      </c>
      <c r="BK10" s="36">
        <f>INDEX(Encounter_Diff[Hard], MATCH(PartyCompare_0[[#This Row],[+3 Level]],Encounter_Diff[Player Level],0))</f>
        <v>0</v>
      </c>
      <c r="BL10" s="36">
        <f>INDEX(Encounter_Diff[Deadly], MATCH(PartyCompare_0[[#This Row],[+3 Level]],Encounter_Diff[Player Level],0))</f>
        <v>0</v>
      </c>
      <c r="BM10" s="44" t="s">
        <v>139</v>
      </c>
      <c r="BN10" s="37" t="s">
        <v>139</v>
      </c>
      <c r="BO10" s="37" t="s">
        <v>139</v>
      </c>
      <c r="BP10" s="45" t="s">
        <v>139</v>
      </c>
      <c r="BQ10" s="44" t="s">
        <v>139</v>
      </c>
      <c r="BR10" s="37" t="s">
        <v>139</v>
      </c>
      <c r="BS10" s="37" t="s">
        <v>139</v>
      </c>
      <c r="BT10" s="45" t="s">
        <v>139</v>
      </c>
      <c r="BU10" s="49" t="s">
        <v>139</v>
      </c>
      <c r="BV10" s="42">
        <f>IF(ISNUMBER(PartyCompare_0[[#This Row],[Level]]), PartyCompare_0[[#This Row],[Level]]+4, PartyCompare_0[[#This Row],[Level]])</f>
        <v>0</v>
      </c>
      <c r="BW10" s="31">
        <f>INDEX(Encounter_Diff[Easy], MATCH(PartyCompare_0[[#This Row],[+4 Level]],Encounter_Diff[Player Level],0))</f>
        <v>0</v>
      </c>
      <c r="BX10" s="36">
        <f>INDEX(Encounter_Diff[Medium], MATCH(PartyCompare_0[[#This Row],[+4 Level]],Encounter_Diff[Player Level],0))</f>
        <v>0</v>
      </c>
      <c r="BY10" s="36">
        <f>INDEX(Encounter_Diff[Hard], MATCH(PartyCompare_0[[#This Row],[+4 Level]],Encounter_Diff[Player Level],0))</f>
        <v>0</v>
      </c>
      <c r="BZ10" s="36">
        <f>INDEX(Encounter_Diff[Deadly], MATCH(PartyCompare_0[[#This Row],[+4 Level]],Encounter_Diff[Player Level],0))</f>
        <v>0</v>
      </c>
      <c r="CA10" s="44" t="s">
        <v>139</v>
      </c>
      <c r="CB10" s="37" t="s">
        <v>139</v>
      </c>
      <c r="CC10" s="37" t="s">
        <v>139</v>
      </c>
      <c r="CD10" s="45" t="s">
        <v>139</v>
      </c>
      <c r="CE10" s="44" t="s">
        <v>139</v>
      </c>
      <c r="CF10" s="37" t="s">
        <v>139</v>
      </c>
      <c r="CG10" s="37" t="s">
        <v>139</v>
      </c>
      <c r="CH10" s="45" t="s">
        <v>139</v>
      </c>
      <c r="CI10" s="49" t="s">
        <v>139</v>
      </c>
    </row>
    <row r="11" spans="2:87" ht="15.75" thickBot="1" x14ac:dyDescent="0.25">
      <c r="B11" s="167" t="s">
        <v>230</v>
      </c>
      <c r="C11" s="168">
        <v>2</v>
      </c>
      <c r="D11" s="169">
        <v>4</v>
      </c>
      <c r="E11" s="170">
        <v>-0.23333333333333331</v>
      </c>
      <c r="F11" s="170">
        <v>-0.37708333333333338</v>
      </c>
      <c r="G11" s="170">
        <v>-0.40104166666666669</v>
      </c>
      <c r="H11" s="170">
        <v>-0.21416666666666664</v>
      </c>
      <c r="I11" s="170">
        <v>-0.53303030303030308</v>
      </c>
      <c r="J11"/>
      <c r="L11" s="229"/>
      <c r="M11" s="89"/>
      <c r="N11" s="90"/>
      <c r="O11" s="36">
        <f>INDEX(Encounter_Diff[Easy], MATCH(PartyCompare_0[[#This Row],[Level]],Encounter_Diff[Player Level],0))</f>
        <v>0</v>
      </c>
      <c r="P11" s="36">
        <f>INDEX(Encounter_Diff[Medium], MATCH(PartyCompare_0[[#This Row],[Level]],Encounter_Diff[Player Level],0))</f>
        <v>0</v>
      </c>
      <c r="Q11" s="36">
        <f>INDEX(Encounter_Diff[Hard], MATCH(PartyCompare_0[[#This Row],[Level]],Encounter_Diff[Player Level],0))</f>
        <v>0</v>
      </c>
      <c r="R11" s="30">
        <f>INDEX(Encounter_Diff[Deadly], MATCH(PartyCompare_0[[#This Row],[Level]],Encounter_Diff[Player Level],0))</f>
        <v>0</v>
      </c>
      <c r="S11" s="98" t="str">
        <f t="shared" si="0"/>
        <v>Base Party (Zero Comparison)</v>
      </c>
      <c r="T11" s="45" t="s">
        <v>139</v>
      </c>
      <c r="U11" s="74" t="s">
        <v>139</v>
      </c>
      <c r="V11" s="78" t="s">
        <v>139</v>
      </c>
      <c r="W11" s="82" t="s">
        <v>139</v>
      </c>
      <c r="X11" s="45" t="s">
        <v>139</v>
      </c>
      <c r="Y11" s="45" t="s">
        <v>139</v>
      </c>
      <c r="Z11" s="41" t="s">
        <v>139</v>
      </c>
      <c r="AA11" s="45" t="s">
        <v>139</v>
      </c>
      <c r="AB11" s="45" t="s">
        <v>139</v>
      </c>
      <c r="AC11" s="45" t="s">
        <v>139</v>
      </c>
      <c r="AD11" s="41" t="s">
        <v>139</v>
      </c>
      <c r="AE11" s="49" t="s">
        <v>139</v>
      </c>
      <c r="AF11" s="43">
        <f>IF(ISNUMBER(PartyCompare_0[[#This Row],[Level]]), PartyCompare_0[[#This Row],[Level]]+1, PartyCompare_0[[#This Row],[Level]])</f>
        <v>0</v>
      </c>
      <c r="AG11" s="36">
        <f>INDEX(Encounter_Diff[Easy], MATCH(PartyCompare_0[[#This Row],[+1 Level]],Encounter_Diff[Player Level],0))</f>
        <v>0</v>
      </c>
      <c r="AH11" s="36">
        <f>INDEX(Encounter_Diff[Medium], MATCH(PartyCompare_0[[#This Row],[+1 Level]],Encounter_Diff[Player Level],0))</f>
        <v>0</v>
      </c>
      <c r="AI11" s="36">
        <f>INDEX(Encounter_Diff[Hard], MATCH(PartyCompare_0[[#This Row],[+1 Level]],Encounter_Diff[Player Level],0))</f>
        <v>0</v>
      </c>
      <c r="AJ11" s="36">
        <f>INDEX(Encounter_Diff[Deadly], MATCH(PartyCompare_0[[#This Row],[+1 Level]],Encounter_Diff[Player Level],0))</f>
        <v>0</v>
      </c>
      <c r="AK11" s="44" t="s">
        <v>139</v>
      </c>
      <c r="AL11" s="37" t="s">
        <v>139</v>
      </c>
      <c r="AM11" s="37" t="s">
        <v>139</v>
      </c>
      <c r="AN11" s="41" t="s">
        <v>139</v>
      </c>
      <c r="AO11" s="37" t="s">
        <v>139</v>
      </c>
      <c r="AP11" s="37" t="s">
        <v>139</v>
      </c>
      <c r="AQ11" s="37" t="s">
        <v>139</v>
      </c>
      <c r="AR11" s="41" t="s">
        <v>139</v>
      </c>
      <c r="AS11" s="49" t="s">
        <v>139</v>
      </c>
      <c r="AT11" s="53">
        <f>IF(ISNUMBER(PartyCompare_0[[#This Row],[Level]]), PartyCompare_0[[#This Row],[Level]]+2, PartyCompare_0[[#This Row],[Level]])</f>
        <v>0</v>
      </c>
      <c r="AU11" s="53">
        <f>INDEX(Encounter_Diff[Easy], MATCH(PartyCompare_0[[#This Row],[+2 Level]],Encounter_Diff[Player Level],0))</f>
        <v>0</v>
      </c>
      <c r="AV11" s="53">
        <f>INDEX(Encounter_Diff[Medium], MATCH(PartyCompare_0[[#This Row],[+2 Level]],Encounter_Diff[Player Level],0))</f>
        <v>0</v>
      </c>
      <c r="AW11" s="53">
        <f>INDEX(Encounter_Diff[Hard], MATCH(PartyCompare_0[[#This Row],[+2 Level]],Encounter_Diff[Player Level],0))</f>
        <v>0</v>
      </c>
      <c r="AX11" s="53">
        <f>INDEX(Encounter_Diff[Deadly], MATCH(PartyCompare_0[[#This Row],[+2 Level]],Encounter_Diff[Player Level],0))</f>
        <v>0</v>
      </c>
      <c r="AY11" s="61" t="s">
        <v>139</v>
      </c>
      <c r="AZ11" s="54" t="s">
        <v>139</v>
      </c>
      <c r="BA11" s="54" t="s">
        <v>139</v>
      </c>
      <c r="BB11" s="54" t="s">
        <v>139</v>
      </c>
      <c r="BC11" s="61" t="s">
        <v>139</v>
      </c>
      <c r="BD11" s="37" t="s">
        <v>139</v>
      </c>
      <c r="BE11" s="37" t="s">
        <v>139</v>
      </c>
      <c r="BF11" s="41" t="s">
        <v>139</v>
      </c>
      <c r="BG11" s="56" t="s">
        <v>139</v>
      </c>
      <c r="BH11" s="43">
        <f>IF(ISNUMBER(PartyCompare_0[[#This Row],[Level]]), PartyCompare_0[[#This Row],[Level]]+3, PartyCompare_0[[#This Row],[Level]])</f>
        <v>0</v>
      </c>
      <c r="BI11" s="36">
        <f>INDEX(Encounter_Diff[Easy], MATCH(PartyCompare_0[[#This Row],[+3 Level]],Encounter_Diff[Player Level],0))</f>
        <v>0</v>
      </c>
      <c r="BJ11" s="36">
        <f>INDEX(Encounter_Diff[Medium], MATCH(PartyCompare_0[[#This Row],[+3 Level]],Encounter_Diff[Player Level],0))</f>
        <v>0</v>
      </c>
      <c r="BK11" s="36">
        <f>INDEX(Encounter_Diff[Hard], MATCH(PartyCompare_0[[#This Row],[+3 Level]],Encounter_Diff[Player Level],0))</f>
        <v>0</v>
      </c>
      <c r="BL11" s="36">
        <f>INDEX(Encounter_Diff[Deadly], MATCH(PartyCompare_0[[#This Row],[+3 Level]],Encounter_Diff[Player Level],0))</f>
        <v>0</v>
      </c>
      <c r="BM11" s="44" t="s">
        <v>139</v>
      </c>
      <c r="BN11" s="37" t="s">
        <v>139</v>
      </c>
      <c r="BO11" s="37" t="s">
        <v>139</v>
      </c>
      <c r="BP11" s="45" t="s">
        <v>139</v>
      </c>
      <c r="BQ11" s="44" t="s">
        <v>139</v>
      </c>
      <c r="BR11" s="37" t="s">
        <v>139</v>
      </c>
      <c r="BS11" s="37" t="s">
        <v>139</v>
      </c>
      <c r="BT11" s="45" t="s">
        <v>139</v>
      </c>
      <c r="BU11" s="49" t="s">
        <v>139</v>
      </c>
      <c r="BV11" s="42">
        <f>IF(ISNUMBER(PartyCompare_0[[#This Row],[Level]]), PartyCompare_0[[#This Row],[Level]]+4, PartyCompare_0[[#This Row],[Level]])</f>
        <v>0</v>
      </c>
      <c r="BW11" s="31">
        <f>INDEX(Encounter_Diff[Easy], MATCH(PartyCompare_0[[#This Row],[+4 Level]],Encounter_Diff[Player Level],0))</f>
        <v>0</v>
      </c>
      <c r="BX11" s="36">
        <f>INDEX(Encounter_Diff[Medium], MATCH(PartyCompare_0[[#This Row],[+4 Level]],Encounter_Diff[Player Level],0))</f>
        <v>0</v>
      </c>
      <c r="BY11" s="36">
        <f>INDEX(Encounter_Diff[Hard], MATCH(PartyCompare_0[[#This Row],[+4 Level]],Encounter_Diff[Player Level],0))</f>
        <v>0</v>
      </c>
      <c r="BZ11" s="36">
        <f>INDEX(Encounter_Diff[Deadly], MATCH(PartyCompare_0[[#This Row],[+4 Level]],Encounter_Diff[Player Level],0))</f>
        <v>0</v>
      </c>
      <c r="CA11" s="44" t="s">
        <v>139</v>
      </c>
      <c r="CB11" s="37" t="s">
        <v>139</v>
      </c>
      <c r="CC11" s="37" t="s">
        <v>139</v>
      </c>
      <c r="CD11" s="45" t="s">
        <v>139</v>
      </c>
      <c r="CE11" s="44" t="s">
        <v>139</v>
      </c>
      <c r="CF11" s="37" t="s">
        <v>139</v>
      </c>
      <c r="CG11" s="37" t="s">
        <v>139</v>
      </c>
      <c r="CH11" s="45" t="s">
        <v>139</v>
      </c>
      <c r="CI11" s="49" t="s">
        <v>139</v>
      </c>
    </row>
    <row r="12" spans="2:87" ht="15.75" x14ac:dyDescent="0.2">
      <c r="B12"/>
      <c r="C12"/>
      <c r="D12"/>
      <c r="E12"/>
      <c r="F12"/>
      <c r="G12"/>
      <c r="H12"/>
      <c r="I12"/>
      <c r="J12"/>
      <c r="L12" s="40" t="s">
        <v>144</v>
      </c>
      <c r="M12" s="29" t="s">
        <v>134</v>
      </c>
      <c r="N12" s="72" t="s">
        <v>33</v>
      </c>
      <c r="O12" s="32" t="s">
        <v>140</v>
      </c>
      <c r="P12" s="32" t="s">
        <v>141</v>
      </c>
      <c r="Q12" s="32" t="s">
        <v>142</v>
      </c>
      <c r="R12" s="30" t="s">
        <v>143</v>
      </c>
      <c r="S12" s="96" t="s">
        <v>144</v>
      </c>
      <c r="T12" s="32" t="s">
        <v>119</v>
      </c>
      <c r="U12" s="73" t="s">
        <v>120</v>
      </c>
      <c r="V12" s="79" t="s">
        <v>224</v>
      </c>
      <c r="W12" s="29" t="s">
        <v>36</v>
      </c>
      <c r="X12" s="32" t="s">
        <v>37</v>
      </c>
      <c r="Y12" s="32" t="s">
        <v>38</v>
      </c>
      <c r="Z12" s="30" t="s">
        <v>40</v>
      </c>
      <c r="AA12" s="31" t="s">
        <v>129</v>
      </c>
      <c r="AB12" s="32" t="s">
        <v>130</v>
      </c>
      <c r="AC12" s="32" t="s">
        <v>131</v>
      </c>
      <c r="AD12" s="30" t="s">
        <v>132</v>
      </c>
      <c r="AE12" s="47" t="s">
        <v>133</v>
      </c>
      <c r="AF12" s="41" t="s">
        <v>154</v>
      </c>
      <c r="AG12" s="37" t="s">
        <v>155</v>
      </c>
      <c r="AH12" s="37" t="s">
        <v>156</v>
      </c>
      <c r="AI12" s="37" t="s">
        <v>157</v>
      </c>
      <c r="AJ12" s="37" t="s">
        <v>158</v>
      </c>
      <c r="AK12" s="44" t="s">
        <v>159</v>
      </c>
      <c r="AL12" s="37" t="s">
        <v>160</v>
      </c>
      <c r="AM12" s="37" t="s">
        <v>161</v>
      </c>
      <c r="AN12" s="41" t="s">
        <v>162</v>
      </c>
      <c r="AO12" s="37" t="s">
        <v>163</v>
      </c>
      <c r="AP12" s="37" t="s">
        <v>164</v>
      </c>
      <c r="AQ12" s="37" t="s">
        <v>165</v>
      </c>
      <c r="AR12" s="41" t="s">
        <v>166</v>
      </c>
      <c r="AS12" s="49" t="s">
        <v>167</v>
      </c>
      <c r="AT12" s="50" t="s">
        <v>196</v>
      </c>
      <c r="AU12" s="51" t="s">
        <v>197</v>
      </c>
      <c r="AV12" s="51" t="s">
        <v>198</v>
      </c>
      <c r="AW12" s="51" t="s">
        <v>199</v>
      </c>
      <c r="AX12" s="51" t="s">
        <v>200</v>
      </c>
      <c r="AY12" s="62" t="s">
        <v>201</v>
      </c>
      <c r="AZ12" s="51" t="s">
        <v>202</v>
      </c>
      <c r="BA12" s="51" t="s">
        <v>203</v>
      </c>
      <c r="BB12" s="51" t="s">
        <v>204</v>
      </c>
      <c r="BC12" s="62" t="s">
        <v>205</v>
      </c>
      <c r="BD12" s="51" t="s">
        <v>206</v>
      </c>
      <c r="BE12" s="51" t="s">
        <v>207</v>
      </c>
      <c r="BF12" s="50" t="s">
        <v>208</v>
      </c>
      <c r="BG12" s="52" t="s">
        <v>209</v>
      </c>
      <c r="BH12" s="57" t="s">
        <v>168</v>
      </c>
      <c r="BI12" s="58" t="s">
        <v>169</v>
      </c>
      <c r="BJ12" s="58" t="s">
        <v>170</v>
      </c>
      <c r="BK12" s="58" t="s">
        <v>171</v>
      </c>
      <c r="BL12" s="58" t="s">
        <v>172</v>
      </c>
      <c r="BM12" s="65" t="s">
        <v>173</v>
      </c>
      <c r="BN12" s="58" t="s">
        <v>174</v>
      </c>
      <c r="BO12" s="58" t="s">
        <v>175</v>
      </c>
      <c r="BP12" s="58" t="s">
        <v>176</v>
      </c>
      <c r="BQ12" s="65" t="s">
        <v>177</v>
      </c>
      <c r="BR12" s="58" t="s">
        <v>178</v>
      </c>
      <c r="BS12" s="58" t="s">
        <v>179</v>
      </c>
      <c r="BT12" s="58" t="s">
        <v>180</v>
      </c>
      <c r="BU12" s="59" t="s">
        <v>181</v>
      </c>
      <c r="BV12" s="58" t="s">
        <v>182</v>
      </c>
      <c r="BW12" s="65" t="s">
        <v>183</v>
      </c>
      <c r="BX12" s="58" t="s">
        <v>184</v>
      </c>
      <c r="BY12" s="58" t="s">
        <v>185</v>
      </c>
      <c r="BZ12" s="58" t="s">
        <v>186</v>
      </c>
      <c r="CA12" s="65" t="s">
        <v>187</v>
      </c>
      <c r="CB12" s="58" t="s">
        <v>188</v>
      </c>
      <c r="CC12" s="58" t="s">
        <v>189</v>
      </c>
      <c r="CD12" s="58" t="s">
        <v>190</v>
      </c>
      <c r="CE12" s="65" t="s">
        <v>191</v>
      </c>
      <c r="CF12" s="58" t="s">
        <v>192</v>
      </c>
      <c r="CG12" s="58" t="s">
        <v>193</v>
      </c>
      <c r="CH12" s="58" t="s">
        <v>194</v>
      </c>
      <c r="CI12" s="59" t="s">
        <v>195</v>
      </c>
    </row>
    <row r="13" spans="2:87" x14ac:dyDescent="0.2">
      <c r="B13"/>
      <c r="C13"/>
      <c r="D13"/>
      <c r="E13"/>
      <c r="F13"/>
      <c r="G13"/>
      <c r="H13"/>
      <c r="I13"/>
      <c r="J13"/>
      <c r="L13" s="232">
        <v>5</v>
      </c>
      <c r="M13" s="91" t="s">
        <v>135</v>
      </c>
      <c r="N13" s="90">
        <v>5</v>
      </c>
      <c r="O13" s="32">
        <f>INDEX(Encounter_Diff[Easy], MATCH(PartyCompare_1[[#This Row],[Level]],Encounter_Diff[Player Level],0))</f>
        <v>250</v>
      </c>
      <c r="P13" s="32">
        <f>INDEX(Encounter_Diff[Medium], MATCH(PartyCompare_1[[#This Row],[Level]],Encounter_Diff[Player Level],0))</f>
        <v>500</v>
      </c>
      <c r="Q13" s="32">
        <f>INDEX(Encounter_Diff[Hard], MATCH(PartyCompare_1[[#This Row],[Level]],Encounter_Diff[Player Level],0))</f>
        <v>750</v>
      </c>
      <c r="R13" s="30">
        <f>INDEX(Encounter_Diff[Deadly], MATCH(PartyCompare_1[[#This Row],[Level]],Encounter_Diff[Player Level],0))</f>
        <v>1100</v>
      </c>
      <c r="S13" s="97">
        <f>L13</f>
        <v>5</v>
      </c>
      <c r="T13" s="32" t="str">
        <f>IF(COUNT(PartyCompare_1[Level])&lt;=2,"Small", IF(COUNT(PartyCompare_1[Level])&lt;=5,"Med", IF(COUNT(PartyCompare_1[Level])&lt;=8, "Large", "TOO BIG!")))</f>
        <v>Small</v>
      </c>
      <c r="U13" s="73" t="s">
        <v>107</v>
      </c>
      <c r="V13" s="77" t="str">
        <f>INDEX(Encounter_Mod[Count], MATCH(PartyCompare_1[[#This Row],[Mob Size]], Encounter_Mod[Type],0))</f>
        <v>1</v>
      </c>
      <c r="W13" s="81">
        <f>SUM(PartyCompare_1[(Easy)])/INDEX(Encounter_Mod[[Small]:[Large]], MATCH(PartyCompare_1[[#This Row],[Mob Size]], Encounter_Mod[Type], 0), MATCH(PartyCompare_1[[#This Row],[Party Size]],Encounter_Mod[[#Headers],[Small]:[Large]],0))</f>
        <v>166.66666666666666</v>
      </c>
      <c r="X13" s="42">
        <f>SUM(PartyCompare_1[(Medium)])/INDEX(Encounter_Mod[[Small]:[Large]], MATCH(PartyCompare_1[[#This Row],[Mob Size]], Encounter_Mod[Type], 0), MATCH(PartyCompare_1[[#This Row],[Party Size]],Encounter_Mod[[#Headers],[Small]:[Large]],0))</f>
        <v>333.33333333333331</v>
      </c>
      <c r="Y13" s="42">
        <f>SUM(PartyCompare_1[(Hard)])/INDEX(Encounter_Mod[[Small]:[Large]], MATCH(PartyCompare_1[[#This Row],[Mob Size]], Encounter_Mod[Type], 0), MATCH(PartyCompare_1[[#This Row],[Party Size]],Encounter_Mod[[#Headers],[Small]:[Large]],0))</f>
        <v>500</v>
      </c>
      <c r="Z13" s="43">
        <f>SUM(PartyCompare_1[(Deadly)])/INDEX(Encounter_Mod[[Small]:[Large]], MATCH(PartyCompare_1[[#This Row],[Mob Size]], Encounter_Mod[Type], 0), MATCH(PartyCompare_1[[#This Row],[Party Size]],Encounter_Mod[[#Headers],[Small]:[Large]],0))</f>
        <v>733.33333333333337</v>
      </c>
      <c r="AA13" s="46">
        <f>(PartyCompare_1[[#This Row],[Easy]]-INDEX(PartyCompare_0[Easy], MATCH(PartyCompare_1[[#This Row],[Mob Size]],PartyCompare_0[Mob Size],0)))/INDEX(PartyCompare_0[Easy], MATCH(PartyCompare_1[[#This Row],[Mob Size]],PartyCompare_0[Mob Size],0))</f>
        <v>0.66666666666666652</v>
      </c>
      <c r="AB13" s="33">
        <f>(PartyCompare_1[[#This Row],[Medium]]-INDEX(PartyCompare_0[Medium], MATCH(PartyCompare_1[[#This Row],[Mob Size]],PartyCompare_0[Mob Size],0)))/INDEX(PartyCompare_0[Medium], MATCH(PartyCompare_1[[#This Row],[Mob Size]],PartyCompare_0[Mob Size],0))</f>
        <v>0.66666666666666652</v>
      </c>
      <c r="AC13" s="33">
        <f>(PartyCompare_1[[#This Row],[Hard]]-INDEX(PartyCompare_0[Hard], MATCH(PartyCompare_1[[#This Row],[Mob Size]],PartyCompare_0[Mob Size],0)))/INDEX(PartyCompare_0[Hard], MATCH(PartyCompare_1[[#This Row],[Mob Size]],PartyCompare_0[Mob Size],0))</f>
        <v>0.66666666666666663</v>
      </c>
      <c r="AD13" s="34">
        <f>(PartyCompare_1[[#This Row],[Deadly]]-INDEX(PartyCompare_0[Deadly], MATCH(PartyCompare_1[[#This Row],[Mob Size]],PartyCompare_0[Mob Size],0)))/INDEX(PartyCompare_0[Deadly], MATCH(PartyCompare_1[[#This Row],[Mob Size]],PartyCompare_0[Mob Size],0))</f>
        <v>0.83333333333333348</v>
      </c>
      <c r="AE13" s="48">
        <f>AVERAGE(PartyCompare_1[[#This Row],[Easy Deviation]:[Deadly Deviation]])</f>
        <v>0.70833333333333326</v>
      </c>
      <c r="AF13" s="36">
        <f>IF(ISNUMBER(PartyCompare_1[[#This Row],[Level]]), PartyCompare_1[[#This Row],[Level]]+1, PartyCompare_1[[#This Row],[Level]])</f>
        <v>6</v>
      </c>
      <c r="AG13" s="36">
        <f>INDEX(Encounter_Diff[Easy], MATCH(PartyCompare_1[[#This Row],[+1 Level]],Encounter_Diff[Player Level],0))</f>
        <v>300</v>
      </c>
      <c r="AH13" s="36">
        <f>INDEX(Encounter_Diff[Medium], MATCH(PartyCompare_1[[#This Row],[+1 Level]],Encounter_Diff[Player Level],0))</f>
        <v>600</v>
      </c>
      <c r="AI13" s="36">
        <f>INDEX(Encounter_Diff[Hard], MATCH(PartyCompare_1[[#This Row],[+1 Level]],Encounter_Diff[Player Level],0))</f>
        <v>900</v>
      </c>
      <c r="AJ13" s="36">
        <f>INDEX(Encounter_Diff[Deadly], MATCH(PartyCompare_1[[#This Row],[+1 Level]],Encounter_Diff[Player Level],0))</f>
        <v>1400</v>
      </c>
      <c r="AK13" s="63">
        <f>SUM(PartyCompare_1[+1 (Easy)])/INDEX(Encounter_Mod[[Small]:[Large]], MATCH(PartyCompare_1[[#This Row],[Mob Size]], Encounter_Mod[Type], 0), MATCH(PartyCompare_1[[#This Row],[Party Size]],Encounter_Mod[[#Headers],[Small]:[Large]],0))</f>
        <v>200</v>
      </c>
      <c r="AL13" s="38">
        <f>SUM(PartyCompare_1[+1 (Medium)])/INDEX(Encounter_Mod[[Small]:[Large]], MATCH(PartyCompare_1[[#This Row],[Mob Size]], Encounter_Mod[Type], 0), MATCH(PartyCompare_1[[#This Row],[Party Size]],Encounter_Mod[[#Headers],[Small]:[Large]],0))</f>
        <v>400</v>
      </c>
      <c r="AM13" s="38">
        <f>SUM(PartyCompare_1[+1 (Hard)])/INDEX(Encounter_Mod[[Small]:[Large]], MATCH(PartyCompare_1[[#This Row],[Mob Size]], Encounter_Mod[Type], 0), MATCH(PartyCompare_1[[#This Row],[Party Size]],Encounter_Mod[[#Headers],[Small]:[Large]],0))</f>
        <v>600</v>
      </c>
      <c r="AN13" s="38">
        <f>SUM(PartyCompare_1[+1 (Deadly)])/INDEX(Encounter_Mod[[Small]:[Large]], MATCH(PartyCompare_1[[#This Row],[Mob Size]], Encounter_Mod[Type], 0), MATCH(PartyCompare_1[[#This Row],[Party Size]],Encounter_Mod[[#Headers],[Small]:[Large]],0))</f>
        <v>933.33333333333337</v>
      </c>
      <c r="AO13" s="46">
        <f>(PartyCompare_1[[#This Row],[+1 Easy]]-INDEX(PartyCompare_0[+1 Easy], MATCH(PartyCompare_1[[#This Row],[Mob Size]],PartyCompare_1[Mob Size],0)))/INDEX(PartyCompare_0[+1 Easy], MATCH(PartyCompare_1[[#This Row],[Mob Size]],PartyCompare_1[Mob Size],0))</f>
        <v>0</v>
      </c>
      <c r="AP13" s="39">
        <f>(PartyCompare_1[[#This Row],[+1 Medium]]-INDEX(PartyCompare_0[+1 Medium], MATCH(PartyCompare_1[[#This Row],[Mob Size]],PartyCompare_1[Mob Size],0)))/INDEX(PartyCompare_0[+1 Medium], MATCH(PartyCompare_1[[#This Row],[Mob Size]],PartyCompare_1[Mob Size],0))</f>
        <v>0</v>
      </c>
      <c r="AQ13" s="39">
        <f>(PartyCompare_1[[#This Row],[+1 Hard]]-INDEX(PartyCompare_0[+1 Hard], MATCH(PartyCompare_1[[#This Row],[Mob Size]],PartyCompare_1[Mob Size],0)))/INDEX(PartyCompare_0[+1 Hard], MATCH(PartyCompare_1[[#This Row],[Mob Size]],PartyCompare_1[Mob Size],0))</f>
        <v>0</v>
      </c>
      <c r="AR13" s="34">
        <f>(PartyCompare_1[[#This Row],[+1 Deadly]]-INDEX(PartyCompare_0[+1 Deadly], MATCH(PartyCompare_1[[#This Row],[Mob Size]],PartyCompare_1[Mob Size],0)))/INDEX(PartyCompare_0[+1 Deadly], MATCH(PartyCompare_1[[#This Row],[Mob Size]],PartyCompare_1[Mob Size],0))</f>
        <v>0.16666666666666671</v>
      </c>
      <c r="AS13" s="48">
        <f>AVERAGE(PartyCompare_1[[#This Row],[+1 Easy Deviation]:[+1 Deadly Deviation]])</f>
        <v>4.1666666666666678E-2</v>
      </c>
      <c r="AT13" s="36">
        <f>IF(ISNUMBER(PartyCompare_1[[#This Row],[Level]]), PartyCompare_1[[#This Row],[Level]]+2, PartyCompare_1[[#This Row],[Level]])</f>
        <v>7</v>
      </c>
      <c r="AU13" s="36">
        <f>INDEX(Encounter_Diff[Easy], MATCH(PartyCompare_1[[#This Row],[+2 Level]],Encounter_Diff[Player Level],0))</f>
        <v>350</v>
      </c>
      <c r="AV13" s="36">
        <f>INDEX(Encounter_Diff[Medium], MATCH(PartyCompare_1[[#This Row],[+2 Level]],Encounter_Diff[Player Level],0))</f>
        <v>750</v>
      </c>
      <c r="AW13" s="36">
        <f>INDEX(Encounter_Diff[Hard], MATCH(PartyCompare_1[[#This Row],[+2 Level]],Encounter_Diff[Player Level],0))</f>
        <v>1100</v>
      </c>
      <c r="AX13" s="36">
        <f>INDEX(Encounter_Diff[Deadly], MATCH(PartyCompare_1[[#This Row],[+2 Level]],Encounter_Diff[Player Level],0))</f>
        <v>1700</v>
      </c>
      <c r="AY13" s="63">
        <f>SUM(PartyCompare_1[+2 (Easy)])/INDEX(Encounter_Mod[[Small]:[Large]], MATCH(PartyCompare_1[[#This Row],[Mob Size]], Encounter_Mod[Type], 0), MATCH(PartyCompare_1[[#This Row],[Party Size]],Encounter_Mod[[#Headers],[Small]:[Large]],0))</f>
        <v>233.33333333333334</v>
      </c>
      <c r="AZ13" s="38">
        <f>SUM(PartyCompare_1[+2 (Medium)])/INDEX(Encounter_Mod[[Small]:[Large]], MATCH(PartyCompare_1[[#This Row],[Mob Size]], Encounter_Mod[Type], 0), MATCH(PartyCompare_1[[#This Row],[Party Size]],Encounter_Mod[[#Headers],[Small]:[Large]],0))</f>
        <v>500</v>
      </c>
      <c r="BA13" s="38">
        <f>SUM(PartyCompare_1[+2 (Hard)])/INDEX(Encounter_Mod[[Small]:[Large]], MATCH(PartyCompare_1[[#This Row],[Mob Size]], Encounter_Mod[Type], 0), MATCH(PartyCompare_1[[#This Row],[Party Size]],Encounter_Mod[[#Headers],[Small]:[Large]],0))</f>
        <v>733.33333333333337</v>
      </c>
      <c r="BB13" s="38">
        <f>SUM(PartyCompare_1[+2 (Deadly)])/INDEX(Encounter_Mod[[Small]:[Large]], MATCH(PartyCompare_1[[#This Row],[Mob Size]], Encounter_Mod[Type], 0), MATCH(PartyCompare_1[[#This Row],[Party Size]],Encounter_Mod[[#Headers],[Small]:[Large]],0))</f>
        <v>1133.3333333333333</v>
      </c>
      <c r="BC13" s="60">
        <f>(PartyCompare_1[[#This Row],[+2 Easy]]-INDEX(PartyCompare_0[+2 Easy], MATCH(PartyCompare_1[[#This Row],[Mob Size]],PartyCompare_1[Mob Size],0)))/INDEX(PartyCompare_0[+2 Easy], MATCH(PartyCompare_1[[#This Row],[Mob Size]],PartyCompare_1[Mob Size],0))</f>
        <v>-0.22222222222222218</v>
      </c>
      <c r="BD13" s="39">
        <f>(PartyCompare_1[[#This Row],[+2 Medium]]-INDEX(PartyCompare_0[+2 Medium], MATCH(PartyCompare_1[[#This Row],[Mob Size]],PartyCompare_1[Mob Size],0)))/INDEX(PartyCompare_0[+2 Medium], MATCH(PartyCompare_1[[#This Row],[Mob Size]],PartyCompare_1[Mob Size],0))</f>
        <v>-0.16666666666666666</v>
      </c>
      <c r="BE13" s="39">
        <f>(PartyCompare_1[[#This Row],[+2 Hard]]-INDEX(PartyCompare_0[+2 Hard], MATCH(PartyCompare_1[[#This Row],[Mob Size]],PartyCompare_1[Mob Size],0)))/INDEX(PartyCompare_0[+2 Hard], MATCH(PartyCompare_1[[#This Row],[Mob Size]],PartyCompare_1[Mob Size],0))</f>
        <v>-0.18518518518518515</v>
      </c>
      <c r="BF13" s="34">
        <f>(PartyCompare_1[[#This Row],[+2 Deadly]]-INDEX(PartyCompare_0[+2 Deadly], MATCH(PartyCompare_1[[#This Row],[Mob Size]],PartyCompare_1[Mob Size],0)))/INDEX(PartyCompare_0[+2 Deadly], MATCH(PartyCompare_1[[#This Row],[Mob Size]],PartyCompare_1[Mob Size],0))</f>
        <v>-0.29166666666666674</v>
      </c>
      <c r="BG13" s="48">
        <f>AVERAGE(PartyCompare_1[[#This Row],[+2 Easy Deviation]:[+2 Deadly Deviation]])</f>
        <v>-0.21643518518518517</v>
      </c>
      <c r="BH13" s="36">
        <f>IF(ISNUMBER(PartyCompare_1[[#This Row],[Level]]), PartyCompare_1[[#This Row],[Level]]+3, PartyCompare_1[[#This Row],[Level]])</f>
        <v>8</v>
      </c>
      <c r="BI13" s="36">
        <f>INDEX(Encounter_Diff[Easy], MATCH(PartyCompare_1[[#This Row],[+3 Level]],Encounter_Diff[Player Level],0))</f>
        <v>450</v>
      </c>
      <c r="BJ13" s="36">
        <f>INDEX(Encounter_Diff[Medium], MATCH(PartyCompare_1[[#This Row],[+3 Level]],Encounter_Diff[Player Level],0))</f>
        <v>900</v>
      </c>
      <c r="BK13" s="36">
        <f>INDEX(Encounter_Diff[Hard], MATCH(PartyCompare_1[[#This Row],[+3 Level]],Encounter_Diff[Player Level],0))</f>
        <v>1400</v>
      </c>
      <c r="BL13" s="36">
        <f>INDEX(Encounter_Diff[Deadly], MATCH(PartyCompare_1[[#This Row],[+3 Level]],Encounter_Diff[Player Level],0))</f>
        <v>2100</v>
      </c>
      <c r="BM13" s="63">
        <f>SUM(PartyCompare_1[+3 (Easy)])/INDEX(Encounter_Mod[[Small]:[Large]], MATCH(PartyCompare_1[[#This Row],[Mob Size]], Encounter_Mod[Type], 0), MATCH(PartyCompare_1[[#This Row],[Party Size]],Encounter_Mod[[#Headers],[Small]:[Large]],0))</f>
        <v>300</v>
      </c>
      <c r="BN13" s="38">
        <f>SUM(PartyCompare_1[+3 (Medium)])/INDEX(Encounter_Mod[[Small]:[Large]], MATCH(PartyCompare_1[[#This Row],[Mob Size]], Encounter_Mod[Type], 0), MATCH(PartyCompare_1[[#This Row],[Party Size]],Encounter_Mod[[#Headers],[Small]:[Large]],0))</f>
        <v>600</v>
      </c>
      <c r="BO13" s="38">
        <f>SUM(PartyCompare_1[+3 (Hard)])/INDEX(Encounter_Mod[[Small]:[Large]], MATCH(PartyCompare_1[[#This Row],[Mob Size]], Encounter_Mod[Type], 0), MATCH(PartyCompare_1[[#This Row],[Party Size]],Encounter_Mod[[#Headers],[Small]:[Large]],0))</f>
        <v>933.33333333333337</v>
      </c>
      <c r="BP13" s="38">
        <f>SUM(PartyCompare_1[+3 (Deadly)])/INDEX(Encounter_Mod[[Small]:[Large]], MATCH(PartyCompare_1[[#This Row],[Mob Size]], Encounter_Mod[Type], 0), MATCH(PartyCompare_1[[#This Row],[Party Size]],Encounter_Mod[[#Headers],[Small]:[Large]],0))</f>
        <v>1400</v>
      </c>
      <c r="BQ13" s="60">
        <f>(PartyCompare_1[[#This Row],[+3 Easy]]-INDEX(PartyCompare_0[+3 Easy], MATCH(PartyCompare_1[[#This Row],[Mob Size]],PartyCompare_1[Mob Size],0)))/INDEX(PartyCompare_0[+3 Easy], MATCH(PartyCompare_1[[#This Row],[Mob Size]],PartyCompare_1[Mob Size],0))</f>
        <v>-0.4</v>
      </c>
      <c r="BR13" s="39">
        <f>(PartyCompare_1[[#This Row],[+3 Medium]]-INDEX(PartyCompare_0[+3 Medium], MATCH(PartyCompare_1[[#This Row],[Mob Size]],PartyCompare_1[Mob Size],0)))/INDEX(PartyCompare_0[+3 Medium], MATCH(PartyCompare_1[[#This Row],[Mob Size]],PartyCompare_1[Mob Size],0))</f>
        <v>-0.4</v>
      </c>
      <c r="BS13" s="39">
        <f>(PartyCompare_1[[#This Row],[+3 Hard]]-INDEX(PartyCompare_0[+3 Hard], MATCH(PartyCompare_1[[#This Row],[Mob Size]],PartyCompare_1[Mob Size],0)))/INDEX(PartyCompare_0[+3 Hard], MATCH(PartyCompare_1[[#This Row],[Mob Size]],PartyCompare_1[Mob Size],0))</f>
        <v>-0.37777777777777777</v>
      </c>
      <c r="BT13" s="34">
        <f>(PartyCompare_1[[#This Row],[+3 Deadly]]-INDEX(PartyCompare_0[+3 Deadly], MATCH(PartyCompare_1[[#This Row],[Mob Size]],PartyCompare_1[Mob Size],0)))/INDEX(PartyCompare_0[+3 Deadly], MATCH(PartyCompare_1[[#This Row],[Mob Size]],PartyCompare_1[Mob Size],0))</f>
        <v>-0.3</v>
      </c>
      <c r="BU13" s="48">
        <f>AVERAGE(PartyCompare_1[[#This Row],[+3 Easy Deviation]:[+3 Deadly Deviation]])</f>
        <v>-0.36944444444444446</v>
      </c>
      <c r="BV13" s="36">
        <f>IF(ISNUMBER(PartyCompare_1[[#This Row],[Level]]), PartyCompare_1[[#This Row],[Level]]+4, PartyCompare_1[[#This Row],[Level]])</f>
        <v>9</v>
      </c>
      <c r="BW13" s="36">
        <f>INDEX(Encounter_Diff[Easy], MATCH(PartyCompare_1[[#This Row],[+4 Level]],Encounter_Diff[Player Level],0))</f>
        <v>550</v>
      </c>
      <c r="BX13" s="36">
        <f>INDEX(Encounter_Diff[Medium], MATCH(PartyCompare_1[[#This Row],[+4 Level]],Encounter_Diff[Player Level],0))</f>
        <v>1100</v>
      </c>
      <c r="BY13" s="36">
        <f>INDEX(Encounter_Diff[Hard], MATCH(PartyCompare_1[[#This Row],[+4 Level]],Encounter_Diff[Player Level],0))</f>
        <v>1600</v>
      </c>
      <c r="BZ13" s="36">
        <f>INDEX(Encounter_Diff[Deadly], MATCH(PartyCompare_1[[#This Row],[+4 Level]],Encounter_Diff[Player Level],0))</f>
        <v>2400</v>
      </c>
      <c r="CA13" s="63">
        <f>SUM(PartyCompare_1[+4 (Easy)])/INDEX(Encounter_Mod[[Small]:[Large]], MATCH(PartyCompare_1[[#This Row],[Mob Size]], Encounter_Mod[Type], 0), MATCH(PartyCompare_1[[#This Row],[Party Size]],Encounter_Mod[[#Headers],[Small]:[Large]],0))</f>
        <v>366.66666666666669</v>
      </c>
      <c r="CB13" s="38">
        <f>SUM(PartyCompare_1[+4 (Medium)])/INDEX(Encounter_Mod[[Small]:[Large]], MATCH(PartyCompare_1[[#This Row],[Mob Size]], Encounter_Mod[Type], 0), MATCH(PartyCompare_1[[#This Row],[Party Size]],Encounter_Mod[[#Headers],[Small]:[Large]],0))</f>
        <v>733.33333333333337</v>
      </c>
      <c r="CC13" s="38">
        <f>SUM(PartyCompare_1[+4 (Hard)])/INDEX(Encounter_Mod[[Small]:[Large]], MATCH(PartyCompare_1[[#This Row],[Mob Size]], Encounter_Mod[Type], 0), MATCH(PartyCompare_1[[#This Row],[Party Size]],Encounter_Mod[[#Headers],[Small]:[Large]],0))</f>
        <v>1066.6666666666667</v>
      </c>
      <c r="CD13" s="38">
        <f>SUM(PartyCompare_1[+4 (Deadly)])/INDEX(Encounter_Mod[[Small]:[Large]], MATCH(PartyCompare_1[[#This Row],[Mob Size]], Encounter_Mod[Type], 0), MATCH(PartyCompare_1[[#This Row],[Party Size]],Encounter_Mod[[#Headers],[Small]:[Large]],0))</f>
        <v>1600</v>
      </c>
      <c r="CE13" s="60">
        <f>(PartyCompare_1[[#This Row],[+4 Easy]]-INDEX(PartyCompare_0[+4 Easy], MATCH(PartyCompare_1[[#This Row],[Mob Size]],PartyCompare_1[Mob Size],0)))/INDEX(PartyCompare_0[+4 Easy], MATCH(PartyCompare_1[[#This Row],[Mob Size]],PartyCompare_1[Mob Size],0))</f>
        <v>-0.6333333333333333</v>
      </c>
      <c r="CF13" s="39">
        <f>(PartyCompare_1[[#This Row],[+4 Medium]]-INDEX(PartyCompare_0[+4 Medium], MATCH(PartyCompare_1[[#This Row],[Mob Size]],PartyCompare_1[Mob Size],0)))/INDEX(PartyCompare_0[+4 Medium], MATCH(PartyCompare_1[[#This Row],[Mob Size]],PartyCompare_1[Mob Size],0))</f>
        <v>-0.6333333333333333</v>
      </c>
      <c r="CG13" s="39">
        <f>(PartyCompare_1[[#This Row],[+4 Hard]]-INDEX(PartyCompare_0[+4 Hard], MATCH(PartyCompare_1[[#This Row],[Mob Size]],PartyCompare_1[Mob Size],0)))/INDEX(PartyCompare_0[+4 Hard], MATCH(PartyCompare_1[[#This Row],[Mob Size]],PartyCompare_1[Mob Size],0))</f>
        <v>-0.64444444444444438</v>
      </c>
      <c r="CH13" s="34">
        <f>(PartyCompare_1[[#This Row],[+4 Deadly]]-INDEX(PartyCompare_0[+4 Deadly], MATCH(PartyCompare_1[[#This Row],[Mob Size]],PartyCompare_1[Mob Size],0)))/INDEX(PartyCompare_0[+4 Deadly], MATCH(PartyCompare_1[[#This Row],[Mob Size]],PartyCompare_1[Mob Size],0))</f>
        <v>-0.63636363636363635</v>
      </c>
      <c r="CI13" s="48">
        <f>AVERAGE(PartyCompare_1[[#This Row],[+4 Easy Deviation]:[+4 Deadly Deviation]])</f>
        <v>-0.63686868686868681</v>
      </c>
    </row>
    <row r="14" spans="2:87" x14ac:dyDescent="0.2">
      <c r="B14"/>
      <c r="C14"/>
      <c r="D14"/>
      <c r="E14"/>
      <c r="F14"/>
      <c r="G14"/>
      <c r="H14"/>
      <c r="I14"/>
      <c r="J14"/>
      <c r="L14" s="233"/>
      <c r="M14" s="91"/>
      <c r="N14" s="90"/>
      <c r="O14" s="32">
        <f>INDEX(Encounter_Diff[Easy], MATCH(PartyCompare_1[[#This Row],[Level]],Encounter_Diff[Player Level],0))</f>
        <v>0</v>
      </c>
      <c r="P14" s="32">
        <f>INDEX(Encounter_Diff[Medium], MATCH(PartyCompare_1[[#This Row],[Level]],Encounter_Diff[Player Level],0))</f>
        <v>0</v>
      </c>
      <c r="Q14" s="32">
        <f>INDEX(Encounter_Diff[Hard], MATCH(PartyCompare_1[[#This Row],[Level]],Encounter_Diff[Player Level],0))</f>
        <v>0</v>
      </c>
      <c r="R14" s="30">
        <f>INDEX(Encounter_Diff[Deadly], MATCH(PartyCompare_1[[#This Row],[Level]],Encounter_Diff[Player Level],0))</f>
        <v>0</v>
      </c>
      <c r="S14" s="97">
        <f t="shared" ref="S14:S20" si="1">S13</f>
        <v>5</v>
      </c>
      <c r="T14" s="32" t="str">
        <f>IF(COUNT(PartyCompare_1[Level])&lt;=2,"Small", IF(COUNT(PartyCompare_1[Level])&lt;=5,"Med", IF(COUNT(PartyCompare_1[Level])&lt;=8, "Large", "TOO BIG!")))</f>
        <v>Small</v>
      </c>
      <c r="U14" s="73" t="s">
        <v>108</v>
      </c>
      <c r="V14" s="77" t="str">
        <f>INDEX(Encounter_Mod[Count], MATCH(PartyCompare_1[[#This Row],[Mob Size]], Encounter_Mod[Type],0))</f>
        <v>2</v>
      </c>
      <c r="W14" s="81">
        <f>SUM(PartyCompare_1[(Easy)])/INDEX(Encounter_Mod[[Small]:[Large]], MATCH(PartyCompare_1[[#This Row],[Mob Size]], Encounter_Mod[Type], 0), MATCH(PartyCompare_1[[#This Row],[Party Size]],Encounter_Mod[[#Headers],[Small]:[Large]],0))</f>
        <v>125</v>
      </c>
      <c r="X14" s="42">
        <f>SUM(PartyCompare_1[(Medium)])/INDEX(Encounter_Mod[[Small]:[Large]], MATCH(PartyCompare_1[[#This Row],[Mob Size]], Encounter_Mod[Type], 0), MATCH(PartyCompare_1[[#This Row],[Party Size]],Encounter_Mod[[#Headers],[Small]:[Large]],0))</f>
        <v>250</v>
      </c>
      <c r="Y14" s="42">
        <f>SUM(PartyCompare_1[(Hard)])/INDEX(Encounter_Mod[[Small]:[Large]], MATCH(PartyCompare_1[[#This Row],[Mob Size]], Encounter_Mod[Type], 0), MATCH(PartyCompare_1[[#This Row],[Party Size]],Encounter_Mod[[#Headers],[Small]:[Large]],0))</f>
        <v>375</v>
      </c>
      <c r="Z14" s="43">
        <f>SUM(PartyCompare_1[(Deadly)])/INDEX(Encounter_Mod[[Small]:[Large]], MATCH(PartyCompare_1[[#This Row],[Mob Size]], Encounter_Mod[Type], 0), MATCH(PartyCompare_1[[#This Row],[Party Size]],Encounter_Mod[[#Headers],[Small]:[Large]],0))</f>
        <v>550</v>
      </c>
      <c r="AA14" s="46">
        <f>(PartyCompare_1[[#This Row],[Easy]]-INDEX(PartyCompare_0[Easy], MATCH(PartyCompare_1[[#This Row],[Mob Size]],PartyCompare_0[Mob Size],0)))/INDEX(PartyCompare_0[Easy], MATCH(PartyCompare_1[[#This Row],[Mob Size]],PartyCompare_0[Mob Size],0))</f>
        <v>0.87499999999999989</v>
      </c>
      <c r="AB14" s="33">
        <f>(PartyCompare_1[[#This Row],[Medium]]-INDEX(PartyCompare_0[Medium], MATCH(PartyCompare_1[[#This Row],[Mob Size]],PartyCompare_0[Mob Size],0)))/INDEX(PartyCompare_0[Medium], MATCH(PartyCompare_1[[#This Row],[Mob Size]],PartyCompare_0[Mob Size],0))</f>
        <v>0.87499999999999989</v>
      </c>
      <c r="AC14" s="33">
        <f>(PartyCompare_1[[#This Row],[Hard]]-INDEX(PartyCompare_0[Hard], MATCH(PartyCompare_1[[#This Row],[Mob Size]],PartyCompare_0[Mob Size],0)))/INDEX(PartyCompare_0[Hard], MATCH(PartyCompare_1[[#This Row],[Mob Size]],PartyCompare_0[Mob Size],0))</f>
        <v>0.875</v>
      </c>
      <c r="AD14" s="34">
        <f>(PartyCompare_1[[#This Row],[Deadly]]-INDEX(PartyCompare_0[Deadly], MATCH(PartyCompare_1[[#This Row],[Mob Size]],PartyCompare_0[Mob Size],0)))/INDEX(PartyCompare_0[Deadly], MATCH(PartyCompare_1[[#This Row],[Mob Size]],PartyCompare_0[Mob Size],0))</f>
        <v>1.0624999999999998</v>
      </c>
      <c r="AE14" s="48">
        <f>AVERAGE(PartyCompare_1[[#This Row],[Easy Deviation]:[Deadly Deviation]])</f>
        <v>0.921875</v>
      </c>
      <c r="AF14" s="36">
        <f>IF(ISNUMBER(PartyCompare_1[[#This Row],[Level]]), PartyCompare_1[[#This Row],[Level]]+1, PartyCompare_1[[#This Row],[Level]])</f>
        <v>0</v>
      </c>
      <c r="AG14" s="36">
        <f>INDEX(Encounter_Diff[Easy], MATCH(PartyCompare_1[[#This Row],[+1 Level]],Encounter_Diff[Player Level],0))</f>
        <v>0</v>
      </c>
      <c r="AH14" s="36">
        <f>INDEX(Encounter_Diff[Medium], MATCH(PartyCompare_1[[#This Row],[+1 Level]],Encounter_Diff[Player Level],0))</f>
        <v>0</v>
      </c>
      <c r="AI14" s="36">
        <f>INDEX(Encounter_Diff[Hard], MATCH(PartyCompare_1[[#This Row],[+1 Level]],Encounter_Diff[Player Level],0))</f>
        <v>0</v>
      </c>
      <c r="AJ14" s="36">
        <f>INDEX(Encounter_Diff[Deadly], MATCH(PartyCompare_1[[#This Row],[+1 Level]],Encounter_Diff[Player Level],0))</f>
        <v>0</v>
      </c>
      <c r="AK14" s="63">
        <f>SUM(PartyCompare_1[+1 (Easy)])/INDEX(Encounter_Mod[[Small]:[Large]], MATCH(PartyCompare_1[[#This Row],[Mob Size]], Encounter_Mod[Type], 0), MATCH(PartyCompare_1[[#This Row],[Party Size]],Encounter_Mod[[#Headers],[Small]:[Large]],0))</f>
        <v>150</v>
      </c>
      <c r="AL14" s="38">
        <f>SUM(PartyCompare_1[+1 (Medium)])/INDEX(Encounter_Mod[[Small]:[Large]], MATCH(PartyCompare_1[[#This Row],[Mob Size]], Encounter_Mod[Type], 0), MATCH(PartyCompare_1[[#This Row],[Party Size]],Encounter_Mod[[#Headers],[Small]:[Large]],0))</f>
        <v>300</v>
      </c>
      <c r="AM14" s="38">
        <f>SUM(PartyCompare_1[+1 (Hard)])/INDEX(Encounter_Mod[[Small]:[Large]], MATCH(PartyCompare_1[[#This Row],[Mob Size]], Encounter_Mod[Type], 0), MATCH(PartyCompare_1[[#This Row],[Party Size]],Encounter_Mod[[#Headers],[Small]:[Large]],0))</f>
        <v>450</v>
      </c>
      <c r="AN14" s="38">
        <f>SUM(PartyCompare_1[+1 (Deadly)])/INDEX(Encounter_Mod[[Small]:[Large]], MATCH(PartyCompare_1[[#This Row],[Mob Size]], Encounter_Mod[Type], 0), MATCH(PartyCompare_1[[#This Row],[Party Size]],Encounter_Mod[[#Headers],[Small]:[Large]],0))</f>
        <v>700</v>
      </c>
      <c r="AO14" s="46">
        <f>(PartyCompare_1[[#This Row],[+1 Easy]]-INDEX(PartyCompare_0[+1 Easy], MATCH(PartyCompare_1[[#This Row],[Mob Size]],PartyCompare_1[Mob Size],0)))/INDEX(PartyCompare_0[+1 Easy], MATCH(PartyCompare_1[[#This Row],[Mob Size]],PartyCompare_1[Mob Size],0))</f>
        <v>0.12499999999999992</v>
      </c>
      <c r="AP14" s="39">
        <f>(PartyCompare_1[[#This Row],[+1 Medium]]-INDEX(PartyCompare_0[+1 Medium], MATCH(PartyCompare_1[[#This Row],[Mob Size]],PartyCompare_1[Mob Size],0)))/INDEX(PartyCompare_0[+1 Medium], MATCH(PartyCompare_1[[#This Row],[Mob Size]],PartyCompare_1[Mob Size],0))</f>
        <v>0.12499999999999992</v>
      </c>
      <c r="AQ14" s="39">
        <f>(PartyCompare_1[[#This Row],[+1 Hard]]-INDEX(PartyCompare_0[+1 Hard], MATCH(PartyCompare_1[[#This Row],[Mob Size]],PartyCompare_1[Mob Size],0)))/INDEX(PartyCompare_0[+1 Hard], MATCH(PartyCompare_1[[#This Row],[Mob Size]],PartyCompare_1[Mob Size],0))</f>
        <v>0.125</v>
      </c>
      <c r="AR14" s="34">
        <f>(PartyCompare_1[[#This Row],[+1 Deadly]]-INDEX(PartyCompare_0[+1 Deadly], MATCH(PartyCompare_1[[#This Row],[Mob Size]],PartyCompare_1[Mob Size],0)))/INDEX(PartyCompare_0[+1 Deadly], MATCH(PartyCompare_1[[#This Row],[Mob Size]],PartyCompare_1[Mob Size],0))</f>
        <v>0.31249999999999989</v>
      </c>
      <c r="AS14" s="48">
        <f>AVERAGE(PartyCompare_1[[#This Row],[+1 Easy Deviation]:[+1 Deadly Deviation]])</f>
        <v>0.17187499999999994</v>
      </c>
      <c r="AT14" s="36">
        <f>IF(ISNUMBER(PartyCompare_1[[#This Row],[Level]]), PartyCompare_1[[#This Row],[Level]]+2, PartyCompare_1[[#This Row],[Level]])</f>
        <v>0</v>
      </c>
      <c r="AU14" s="36">
        <f>INDEX(Encounter_Diff[Easy], MATCH(PartyCompare_1[[#This Row],[+2 Level]],Encounter_Diff[Player Level],0))</f>
        <v>0</v>
      </c>
      <c r="AV14" s="36">
        <f>INDEX(Encounter_Diff[Medium], MATCH(PartyCompare_1[[#This Row],[+2 Level]],Encounter_Diff[Player Level],0))</f>
        <v>0</v>
      </c>
      <c r="AW14" s="36">
        <f>INDEX(Encounter_Diff[Hard], MATCH(PartyCompare_1[[#This Row],[+2 Level]],Encounter_Diff[Player Level],0))</f>
        <v>0</v>
      </c>
      <c r="AX14" s="36">
        <f>INDEX(Encounter_Diff[Deadly], MATCH(PartyCompare_1[[#This Row],[+2 Level]],Encounter_Diff[Player Level],0))</f>
        <v>0</v>
      </c>
      <c r="AY14" s="63">
        <f>SUM(PartyCompare_1[+2 (Easy)])/INDEX(Encounter_Mod[[Small]:[Large]], MATCH(PartyCompare_1[[#This Row],[Mob Size]], Encounter_Mod[Type], 0), MATCH(PartyCompare_1[[#This Row],[Party Size]],Encounter_Mod[[#Headers],[Small]:[Large]],0))</f>
        <v>175</v>
      </c>
      <c r="AZ14" s="38">
        <f>SUM(PartyCompare_1[+2 (Medium)])/INDEX(Encounter_Mod[[Small]:[Large]], MATCH(PartyCompare_1[[#This Row],[Mob Size]], Encounter_Mod[Type], 0), MATCH(PartyCompare_1[[#This Row],[Party Size]],Encounter_Mod[[#Headers],[Small]:[Large]],0))</f>
        <v>375</v>
      </c>
      <c r="BA14" s="38">
        <f>SUM(PartyCompare_1[+2 (Hard)])/INDEX(Encounter_Mod[[Small]:[Large]], MATCH(PartyCompare_1[[#This Row],[Mob Size]], Encounter_Mod[Type], 0), MATCH(PartyCompare_1[[#This Row],[Party Size]],Encounter_Mod[[#Headers],[Small]:[Large]],0))</f>
        <v>550</v>
      </c>
      <c r="BB14" s="38">
        <f>SUM(PartyCompare_1[+2 (Deadly)])/INDEX(Encounter_Mod[[Small]:[Large]], MATCH(PartyCompare_1[[#This Row],[Mob Size]], Encounter_Mod[Type], 0), MATCH(PartyCompare_1[[#This Row],[Party Size]],Encounter_Mod[[#Headers],[Small]:[Large]],0))</f>
        <v>850</v>
      </c>
      <c r="BC14" s="46">
        <f>(PartyCompare_1[[#This Row],[+2 Easy]]-INDEX(PartyCompare_0[+2 Easy], MATCH(PartyCompare_1[[#This Row],[Mob Size]],PartyCompare_1[Mob Size],0)))/INDEX(PartyCompare_0[+2 Easy], MATCH(PartyCompare_1[[#This Row],[Mob Size]],PartyCompare_1[Mob Size],0))</f>
        <v>-0.125</v>
      </c>
      <c r="BD14" s="39">
        <f>(PartyCompare_1[[#This Row],[+2 Medium]]-INDEX(PartyCompare_0[+2 Medium], MATCH(PartyCompare_1[[#This Row],[Mob Size]],PartyCompare_1[Mob Size],0)))/INDEX(PartyCompare_0[+2 Medium], MATCH(PartyCompare_1[[#This Row],[Mob Size]],PartyCompare_1[Mob Size],0))</f>
        <v>-6.25E-2</v>
      </c>
      <c r="BE14" s="39">
        <f>(PartyCompare_1[[#This Row],[+2 Hard]]-INDEX(PartyCompare_0[+2 Hard], MATCH(PartyCompare_1[[#This Row],[Mob Size]],PartyCompare_1[Mob Size],0)))/INDEX(PartyCompare_0[+2 Hard], MATCH(PartyCompare_1[[#This Row],[Mob Size]],PartyCompare_1[Mob Size],0))</f>
        <v>-8.3333333333333329E-2</v>
      </c>
      <c r="BF14" s="34">
        <f>(PartyCompare_1[[#This Row],[+2 Deadly]]-INDEX(PartyCompare_0[+2 Deadly], MATCH(PartyCompare_1[[#This Row],[Mob Size]],PartyCompare_1[Mob Size],0)))/INDEX(PartyCompare_0[+2 Deadly], MATCH(PartyCompare_1[[#This Row],[Mob Size]],PartyCompare_1[Mob Size],0))</f>
        <v>-0.20312500000000006</v>
      </c>
      <c r="BG14" s="48">
        <f>AVERAGE(PartyCompare_1[[#This Row],[+2 Easy Deviation]:[+2 Deadly Deviation]])</f>
        <v>-0.11848958333333334</v>
      </c>
      <c r="BH14" s="36">
        <f>IF(ISNUMBER(PartyCompare_1[[#This Row],[Level]]), PartyCompare_1[[#This Row],[Level]]+3, PartyCompare_1[[#This Row],[Level]])</f>
        <v>0</v>
      </c>
      <c r="BI14" s="36">
        <f>INDEX(Encounter_Diff[Easy], MATCH(PartyCompare_1[[#This Row],[+3 Level]],Encounter_Diff[Player Level],0))</f>
        <v>0</v>
      </c>
      <c r="BJ14" s="36">
        <f>INDEX(Encounter_Diff[Medium], MATCH(PartyCompare_1[[#This Row],[+3 Level]],Encounter_Diff[Player Level],0))</f>
        <v>0</v>
      </c>
      <c r="BK14" s="36">
        <f>INDEX(Encounter_Diff[Hard], MATCH(PartyCompare_1[[#This Row],[+3 Level]],Encounter_Diff[Player Level],0))</f>
        <v>0</v>
      </c>
      <c r="BL14" s="36">
        <f>INDEX(Encounter_Diff[Deadly], MATCH(PartyCompare_1[[#This Row],[+3 Level]],Encounter_Diff[Player Level],0))</f>
        <v>0</v>
      </c>
      <c r="BM14" s="63">
        <f>SUM(PartyCompare_1[+3 (Easy)])/INDEX(Encounter_Mod[[Small]:[Large]], MATCH(PartyCompare_1[[#This Row],[Mob Size]], Encounter_Mod[Type], 0), MATCH(PartyCompare_1[[#This Row],[Party Size]],Encounter_Mod[[#Headers],[Small]:[Large]],0))</f>
        <v>225</v>
      </c>
      <c r="BN14" s="38">
        <f>SUM(PartyCompare_1[+3 (Medium)])/INDEX(Encounter_Mod[[Small]:[Large]], MATCH(PartyCompare_1[[#This Row],[Mob Size]], Encounter_Mod[Type], 0), MATCH(PartyCompare_1[[#This Row],[Party Size]],Encounter_Mod[[#Headers],[Small]:[Large]],0))</f>
        <v>450</v>
      </c>
      <c r="BO14" s="38">
        <f>SUM(PartyCompare_1[+3 (Hard)])/INDEX(Encounter_Mod[[Small]:[Large]], MATCH(PartyCompare_1[[#This Row],[Mob Size]], Encounter_Mod[Type], 0), MATCH(PartyCompare_1[[#This Row],[Party Size]],Encounter_Mod[[#Headers],[Small]:[Large]],0))</f>
        <v>700</v>
      </c>
      <c r="BP14" s="38">
        <f>SUM(PartyCompare_1[+3 (Deadly)])/INDEX(Encounter_Mod[[Small]:[Large]], MATCH(PartyCompare_1[[#This Row],[Mob Size]], Encounter_Mod[Type], 0), MATCH(PartyCompare_1[[#This Row],[Party Size]],Encounter_Mod[[#Headers],[Small]:[Large]],0))</f>
        <v>1050</v>
      </c>
      <c r="BQ14" s="46">
        <f>(PartyCompare_1[[#This Row],[+3 Easy]]-INDEX(PartyCompare_0[+3 Easy], MATCH(PartyCompare_1[[#This Row],[Mob Size]],PartyCompare_1[Mob Size],0)))/INDEX(PartyCompare_0[+3 Easy], MATCH(PartyCompare_1[[#This Row],[Mob Size]],PartyCompare_1[Mob Size],0))</f>
        <v>-0.32499999999999996</v>
      </c>
      <c r="BR14" s="39">
        <f>(PartyCompare_1[[#This Row],[+3 Medium]]-INDEX(PartyCompare_0[+3 Medium], MATCH(PartyCompare_1[[#This Row],[Mob Size]],PartyCompare_1[Mob Size],0)))/INDEX(PartyCompare_0[+3 Medium], MATCH(PartyCompare_1[[#This Row],[Mob Size]],PartyCompare_1[Mob Size],0))</f>
        <v>-0.32499999999999996</v>
      </c>
      <c r="BS14" s="39">
        <f>(PartyCompare_1[[#This Row],[+3 Hard]]-INDEX(PartyCompare_0[+3 Hard], MATCH(PartyCompare_1[[#This Row],[Mob Size]],PartyCompare_1[Mob Size],0)))/INDEX(PartyCompare_0[+3 Hard], MATCH(PartyCompare_1[[#This Row],[Mob Size]],PartyCompare_1[Mob Size],0))</f>
        <v>-0.3</v>
      </c>
      <c r="BT14" s="34">
        <f>(PartyCompare_1[[#This Row],[+3 Deadly]]-INDEX(PartyCompare_0[+3 Deadly], MATCH(PartyCompare_1[[#This Row],[Mob Size]],PartyCompare_1[Mob Size],0)))/INDEX(PartyCompare_0[+3 Deadly], MATCH(PartyCompare_1[[#This Row],[Mob Size]],PartyCompare_1[Mob Size],0))</f>
        <v>-0.21249999999999997</v>
      </c>
      <c r="BU14" s="48">
        <f>AVERAGE(PartyCompare_1[[#This Row],[+3 Easy Deviation]:[+3 Deadly Deviation]])</f>
        <v>-0.29062499999999997</v>
      </c>
      <c r="BV14" s="36">
        <f>IF(ISNUMBER(PartyCompare_1[[#This Row],[Level]]), PartyCompare_1[[#This Row],[Level]]+4, PartyCompare_1[[#This Row],[Level]])</f>
        <v>0</v>
      </c>
      <c r="BW14" s="36">
        <f>INDEX(Encounter_Diff[Easy], MATCH(PartyCompare_1[[#This Row],[+4 Level]],Encounter_Diff[Player Level],0))</f>
        <v>0</v>
      </c>
      <c r="BX14" s="36">
        <f>INDEX(Encounter_Diff[Medium], MATCH(PartyCompare_1[[#This Row],[+4 Level]],Encounter_Diff[Player Level],0))</f>
        <v>0</v>
      </c>
      <c r="BY14" s="36">
        <f>INDEX(Encounter_Diff[Hard], MATCH(PartyCompare_1[[#This Row],[+4 Level]],Encounter_Diff[Player Level],0))</f>
        <v>0</v>
      </c>
      <c r="BZ14" s="36">
        <f>INDEX(Encounter_Diff[Deadly], MATCH(PartyCompare_1[[#This Row],[+4 Level]],Encounter_Diff[Player Level],0))</f>
        <v>0</v>
      </c>
      <c r="CA14" s="63">
        <f>SUM(PartyCompare_1[+4 (Easy)])/INDEX(Encounter_Mod[[Small]:[Large]], MATCH(PartyCompare_1[[#This Row],[Mob Size]], Encounter_Mod[Type], 0), MATCH(PartyCompare_1[[#This Row],[Party Size]],Encounter_Mod[[#Headers],[Small]:[Large]],0))</f>
        <v>275</v>
      </c>
      <c r="CB14" s="38">
        <f>SUM(PartyCompare_1[+4 (Medium)])/INDEX(Encounter_Mod[[Small]:[Large]], MATCH(PartyCompare_1[[#This Row],[Mob Size]], Encounter_Mod[Type], 0), MATCH(PartyCompare_1[[#This Row],[Party Size]],Encounter_Mod[[#Headers],[Small]:[Large]],0))</f>
        <v>550</v>
      </c>
      <c r="CC14" s="38">
        <f>SUM(PartyCompare_1[+4 (Hard)])/INDEX(Encounter_Mod[[Small]:[Large]], MATCH(PartyCompare_1[[#This Row],[Mob Size]], Encounter_Mod[Type], 0), MATCH(PartyCompare_1[[#This Row],[Party Size]],Encounter_Mod[[#Headers],[Small]:[Large]],0))</f>
        <v>800</v>
      </c>
      <c r="CD14" s="38">
        <f>SUM(PartyCompare_1[+4 (Deadly)])/INDEX(Encounter_Mod[[Small]:[Large]], MATCH(PartyCompare_1[[#This Row],[Mob Size]], Encounter_Mod[Type], 0), MATCH(PartyCompare_1[[#This Row],[Party Size]],Encounter_Mod[[#Headers],[Small]:[Large]],0))</f>
        <v>1200</v>
      </c>
      <c r="CE14" s="46">
        <f>(PartyCompare_1[[#This Row],[+4 Easy]]-INDEX(PartyCompare_0[+4 Easy], MATCH(PartyCompare_1[[#This Row],[Mob Size]],PartyCompare_1[Mob Size],0)))/INDEX(PartyCompare_0[+4 Easy], MATCH(PartyCompare_1[[#This Row],[Mob Size]],PartyCompare_1[Mob Size],0))</f>
        <v>-0.58750000000000002</v>
      </c>
      <c r="CF14" s="39">
        <f>(PartyCompare_1[[#This Row],[+4 Medium]]-INDEX(PartyCompare_0[+4 Medium], MATCH(PartyCompare_1[[#This Row],[Mob Size]],PartyCompare_1[Mob Size],0)))/INDEX(PartyCompare_0[+4 Medium], MATCH(PartyCompare_1[[#This Row],[Mob Size]],PartyCompare_1[Mob Size],0))</f>
        <v>-0.58750000000000002</v>
      </c>
      <c r="CG14" s="39">
        <f>(PartyCompare_1[[#This Row],[+4 Hard]]-INDEX(PartyCompare_0[+4 Hard], MATCH(PartyCompare_1[[#This Row],[Mob Size]],PartyCompare_1[Mob Size],0)))/INDEX(PartyCompare_0[+4 Hard], MATCH(PartyCompare_1[[#This Row],[Mob Size]],PartyCompare_1[Mob Size],0))</f>
        <v>-0.6</v>
      </c>
      <c r="CH14" s="34">
        <f>(PartyCompare_1[[#This Row],[+4 Deadly]]-INDEX(PartyCompare_0[+4 Deadly], MATCH(PartyCompare_1[[#This Row],[Mob Size]],PartyCompare_1[Mob Size],0)))/INDEX(PartyCompare_0[+4 Deadly], MATCH(PartyCompare_1[[#This Row],[Mob Size]],PartyCompare_1[Mob Size],0))</f>
        <v>-0.59090909090909094</v>
      </c>
      <c r="CI14" s="48">
        <f>AVERAGE(PartyCompare_1[[#This Row],[+4 Easy Deviation]:[+4 Deadly Deviation]])</f>
        <v>-0.59147727272727268</v>
      </c>
    </row>
    <row r="15" spans="2:87" x14ac:dyDescent="0.2">
      <c r="B15"/>
      <c r="C15"/>
      <c r="D15"/>
      <c r="E15"/>
      <c r="F15"/>
      <c r="G15"/>
      <c r="H15"/>
      <c r="I15"/>
      <c r="J15"/>
      <c r="L15" s="233"/>
      <c r="M15" s="91"/>
      <c r="N15" s="90"/>
      <c r="O15" s="32">
        <f>INDEX(Encounter_Diff[Easy], MATCH(PartyCompare_1[[#This Row],[Level]],Encounter_Diff[Player Level],0))</f>
        <v>0</v>
      </c>
      <c r="P15" s="32">
        <f>INDEX(Encounter_Diff[Medium], MATCH(PartyCompare_1[[#This Row],[Level]],Encounter_Diff[Player Level],0))</f>
        <v>0</v>
      </c>
      <c r="Q15" s="32">
        <f>INDEX(Encounter_Diff[Hard], MATCH(PartyCompare_1[[#This Row],[Level]],Encounter_Diff[Player Level],0))</f>
        <v>0</v>
      </c>
      <c r="R15" s="30">
        <f>INDEX(Encounter_Diff[Deadly], MATCH(PartyCompare_1[[#This Row],[Level]],Encounter_Diff[Player Level],0))</f>
        <v>0</v>
      </c>
      <c r="S15" s="97">
        <f t="shared" si="1"/>
        <v>5</v>
      </c>
      <c r="T15" s="32" t="str">
        <f>IF(COUNT(PartyCompare_1[Level])&lt;=2,"Small", IF(COUNT(PartyCompare_1[Level])&lt;=5,"Med", IF(COUNT(PartyCompare_1[Level])&lt;=8, "Large", "TOO BIG!")))</f>
        <v>Small</v>
      </c>
      <c r="U15" s="73" t="s">
        <v>109</v>
      </c>
      <c r="V15" s="77" t="str">
        <f>INDEX(Encounter_Mod[Count], MATCH(PartyCompare_1[[#This Row],[Mob Size]], Encounter_Mod[Type],0))</f>
        <v>3-6</v>
      </c>
      <c r="W15" s="81">
        <f>SUM(PartyCompare_1[(Easy)])/INDEX(Encounter_Mod[[Small]:[Large]], MATCH(PartyCompare_1[[#This Row],[Mob Size]], Encounter_Mod[Type], 0), MATCH(PartyCompare_1[[#This Row],[Party Size]],Encounter_Mod[[#Headers],[Small]:[Large]],0))</f>
        <v>100</v>
      </c>
      <c r="X15" s="42">
        <f>SUM(PartyCompare_1[(Medium)])/INDEX(Encounter_Mod[[Small]:[Large]], MATCH(PartyCompare_1[[#This Row],[Mob Size]], Encounter_Mod[Type], 0), MATCH(PartyCompare_1[[#This Row],[Party Size]],Encounter_Mod[[#Headers],[Small]:[Large]],0))</f>
        <v>200</v>
      </c>
      <c r="Y15" s="42">
        <f>SUM(PartyCompare_1[(Hard)])/INDEX(Encounter_Mod[[Small]:[Large]], MATCH(PartyCompare_1[[#This Row],[Mob Size]], Encounter_Mod[Type], 0), MATCH(PartyCompare_1[[#This Row],[Party Size]],Encounter_Mod[[#Headers],[Small]:[Large]],0))</f>
        <v>300</v>
      </c>
      <c r="Z15" s="43">
        <f>SUM(PartyCompare_1[(Deadly)])/INDEX(Encounter_Mod[[Small]:[Large]], MATCH(PartyCompare_1[[#This Row],[Mob Size]], Encounter_Mod[Type], 0), MATCH(PartyCompare_1[[#This Row],[Party Size]],Encounter_Mod[[#Headers],[Small]:[Large]],0))</f>
        <v>440</v>
      </c>
      <c r="AA15" s="46">
        <f>(PartyCompare_1[[#This Row],[Easy]]-INDEX(PartyCompare_0[Easy], MATCH(PartyCompare_1[[#This Row],[Mob Size]],PartyCompare_0[Mob Size],0)))/INDEX(PartyCompare_0[Easy], MATCH(PartyCompare_1[[#This Row],[Mob Size]],PartyCompare_0[Mob Size],0))</f>
        <v>1</v>
      </c>
      <c r="AB15" s="33">
        <f>(PartyCompare_1[[#This Row],[Medium]]-INDEX(PartyCompare_0[Medium], MATCH(PartyCompare_1[[#This Row],[Mob Size]],PartyCompare_0[Mob Size],0)))/INDEX(PartyCompare_0[Medium], MATCH(PartyCompare_1[[#This Row],[Mob Size]],PartyCompare_0[Mob Size],0))</f>
        <v>1</v>
      </c>
      <c r="AC15" s="33">
        <f>(PartyCompare_1[[#This Row],[Hard]]-INDEX(PartyCompare_0[Hard], MATCH(PartyCompare_1[[#This Row],[Mob Size]],PartyCompare_0[Mob Size],0)))/INDEX(PartyCompare_0[Hard], MATCH(PartyCompare_1[[#This Row],[Mob Size]],PartyCompare_0[Mob Size],0))</f>
        <v>1</v>
      </c>
      <c r="AD15" s="34">
        <f>(PartyCompare_1[[#This Row],[Deadly]]-INDEX(PartyCompare_0[Deadly], MATCH(PartyCompare_1[[#This Row],[Mob Size]],PartyCompare_0[Mob Size],0)))/INDEX(PartyCompare_0[Deadly], MATCH(PartyCompare_1[[#This Row],[Mob Size]],PartyCompare_0[Mob Size],0))</f>
        <v>1.2</v>
      </c>
      <c r="AE15" s="48">
        <f>AVERAGE(PartyCompare_1[[#This Row],[Easy Deviation]:[Deadly Deviation]])</f>
        <v>1.05</v>
      </c>
      <c r="AF15" s="36">
        <f>IF(ISNUMBER(PartyCompare_1[[#This Row],[Level]]), PartyCompare_1[[#This Row],[Level]]+1, PartyCompare_1[[#This Row],[Level]])</f>
        <v>0</v>
      </c>
      <c r="AG15" s="36">
        <f>INDEX(Encounter_Diff[Easy], MATCH(PartyCompare_1[[#This Row],[+1 Level]],Encounter_Diff[Player Level],0))</f>
        <v>0</v>
      </c>
      <c r="AH15" s="36">
        <f>INDEX(Encounter_Diff[Medium], MATCH(PartyCompare_1[[#This Row],[+1 Level]],Encounter_Diff[Player Level],0))</f>
        <v>0</v>
      </c>
      <c r="AI15" s="36">
        <f>INDEX(Encounter_Diff[Hard], MATCH(PartyCompare_1[[#This Row],[+1 Level]],Encounter_Diff[Player Level],0))</f>
        <v>0</v>
      </c>
      <c r="AJ15" s="36">
        <f>INDEX(Encounter_Diff[Deadly], MATCH(PartyCompare_1[[#This Row],[+1 Level]],Encounter_Diff[Player Level],0))</f>
        <v>0</v>
      </c>
      <c r="AK15" s="63">
        <f>SUM(PartyCompare_1[+1 (Easy)])/INDEX(Encounter_Mod[[Small]:[Large]], MATCH(PartyCompare_1[[#This Row],[Mob Size]], Encounter_Mod[Type], 0), MATCH(PartyCompare_1[[#This Row],[Party Size]],Encounter_Mod[[#Headers],[Small]:[Large]],0))</f>
        <v>120</v>
      </c>
      <c r="AL15" s="38">
        <f>SUM(PartyCompare_1[+1 (Medium)])/INDEX(Encounter_Mod[[Small]:[Large]], MATCH(PartyCompare_1[[#This Row],[Mob Size]], Encounter_Mod[Type], 0), MATCH(PartyCompare_1[[#This Row],[Party Size]],Encounter_Mod[[#Headers],[Small]:[Large]],0))</f>
        <v>240</v>
      </c>
      <c r="AM15" s="38">
        <f>SUM(PartyCompare_1[+1 (Hard)])/INDEX(Encounter_Mod[[Small]:[Large]], MATCH(PartyCompare_1[[#This Row],[Mob Size]], Encounter_Mod[Type], 0), MATCH(PartyCompare_1[[#This Row],[Party Size]],Encounter_Mod[[#Headers],[Small]:[Large]],0))</f>
        <v>360</v>
      </c>
      <c r="AN15" s="38">
        <f>SUM(PartyCompare_1[+1 (Deadly)])/INDEX(Encounter_Mod[[Small]:[Large]], MATCH(PartyCompare_1[[#This Row],[Mob Size]], Encounter_Mod[Type], 0), MATCH(PartyCompare_1[[#This Row],[Party Size]],Encounter_Mod[[#Headers],[Small]:[Large]],0))</f>
        <v>560</v>
      </c>
      <c r="AO15" s="46">
        <f>(PartyCompare_1[[#This Row],[+1 Easy]]-INDEX(PartyCompare_0[+1 Easy], MATCH(PartyCompare_1[[#This Row],[Mob Size]],PartyCompare_1[Mob Size],0)))/INDEX(PartyCompare_0[+1 Easy], MATCH(PartyCompare_1[[#This Row],[Mob Size]],PartyCompare_1[Mob Size],0))</f>
        <v>0.2</v>
      </c>
      <c r="AP15" s="39">
        <f>(PartyCompare_1[[#This Row],[+1 Medium]]-INDEX(PartyCompare_0[+1 Medium], MATCH(PartyCompare_1[[#This Row],[Mob Size]],PartyCompare_1[Mob Size],0)))/INDEX(PartyCompare_0[+1 Medium], MATCH(PartyCompare_1[[#This Row],[Mob Size]],PartyCompare_1[Mob Size],0))</f>
        <v>0.2</v>
      </c>
      <c r="AQ15" s="39">
        <f>(PartyCompare_1[[#This Row],[+1 Hard]]-INDEX(PartyCompare_0[+1 Hard], MATCH(PartyCompare_1[[#This Row],[Mob Size]],PartyCompare_1[Mob Size],0)))/INDEX(PartyCompare_0[+1 Hard], MATCH(PartyCompare_1[[#This Row],[Mob Size]],PartyCompare_1[Mob Size],0))</f>
        <v>0.2</v>
      </c>
      <c r="AR15" s="34">
        <f>(PartyCompare_1[[#This Row],[+1 Deadly]]-INDEX(PartyCompare_0[+1 Deadly], MATCH(PartyCompare_1[[#This Row],[Mob Size]],PartyCompare_1[Mob Size],0)))/INDEX(PartyCompare_0[+1 Deadly], MATCH(PartyCompare_1[[#This Row],[Mob Size]],PartyCompare_1[Mob Size],0))</f>
        <v>0.4</v>
      </c>
      <c r="AS15" s="48">
        <f>AVERAGE(PartyCompare_1[[#This Row],[+1 Easy Deviation]:[+1 Deadly Deviation]])</f>
        <v>0.25</v>
      </c>
      <c r="AT15" s="36">
        <f>IF(ISNUMBER(PartyCompare_1[[#This Row],[Level]]), PartyCompare_1[[#This Row],[Level]]+2, PartyCompare_1[[#This Row],[Level]])</f>
        <v>0</v>
      </c>
      <c r="AU15" s="36">
        <f>INDEX(Encounter_Diff[Easy], MATCH(PartyCompare_1[[#This Row],[+2 Level]],Encounter_Diff[Player Level],0))</f>
        <v>0</v>
      </c>
      <c r="AV15" s="36">
        <f>INDEX(Encounter_Diff[Medium], MATCH(PartyCompare_1[[#This Row],[+2 Level]],Encounter_Diff[Player Level],0))</f>
        <v>0</v>
      </c>
      <c r="AW15" s="36">
        <f>INDEX(Encounter_Diff[Hard], MATCH(PartyCompare_1[[#This Row],[+2 Level]],Encounter_Diff[Player Level],0))</f>
        <v>0</v>
      </c>
      <c r="AX15" s="36">
        <f>INDEX(Encounter_Diff[Deadly], MATCH(PartyCompare_1[[#This Row],[+2 Level]],Encounter_Diff[Player Level],0))</f>
        <v>0</v>
      </c>
      <c r="AY15" s="63">
        <f>SUM(PartyCompare_1[+2 (Easy)])/INDEX(Encounter_Mod[[Small]:[Large]], MATCH(PartyCompare_1[[#This Row],[Mob Size]], Encounter_Mod[Type], 0), MATCH(PartyCompare_1[[#This Row],[Party Size]],Encounter_Mod[[#Headers],[Small]:[Large]],0))</f>
        <v>140</v>
      </c>
      <c r="AZ15" s="38">
        <f>SUM(PartyCompare_1[+2 (Medium)])/INDEX(Encounter_Mod[[Small]:[Large]], MATCH(PartyCompare_1[[#This Row],[Mob Size]], Encounter_Mod[Type], 0), MATCH(PartyCompare_1[[#This Row],[Party Size]],Encounter_Mod[[#Headers],[Small]:[Large]],0))</f>
        <v>300</v>
      </c>
      <c r="BA15" s="38">
        <f>SUM(PartyCompare_1[+2 (Hard)])/INDEX(Encounter_Mod[[Small]:[Large]], MATCH(PartyCompare_1[[#This Row],[Mob Size]], Encounter_Mod[Type], 0), MATCH(PartyCompare_1[[#This Row],[Party Size]],Encounter_Mod[[#Headers],[Small]:[Large]],0))</f>
        <v>440</v>
      </c>
      <c r="BB15" s="38">
        <f>SUM(PartyCompare_1[+2 (Deadly)])/INDEX(Encounter_Mod[[Small]:[Large]], MATCH(PartyCompare_1[[#This Row],[Mob Size]], Encounter_Mod[Type], 0), MATCH(PartyCompare_1[[#This Row],[Party Size]],Encounter_Mod[[#Headers],[Small]:[Large]],0))</f>
        <v>680</v>
      </c>
      <c r="BC15" s="46">
        <f>(PartyCompare_1[[#This Row],[+2 Easy]]-INDEX(PartyCompare_0[+2 Easy], MATCH(PartyCompare_1[[#This Row],[Mob Size]],PartyCompare_1[Mob Size],0)))/INDEX(PartyCompare_0[+2 Easy], MATCH(PartyCompare_1[[#This Row],[Mob Size]],PartyCompare_1[Mob Size],0))</f>
        <v>-6.6666666666666666E-2</v>
      </c>
      <c r="BD15" s="39">
        <f>(PartyCompare_1[[#This Row],[+2 Medium]]-INDEX(PartyCompare_0[+2 Medium], MATCH(PartyCompare_1[[#This Row],[Mob Size]],PartyCompare_1[Mob Size],0)))/INDEX(PartyCompare_0[+2 Medium], MATCH(PartyCompare_1[[#This Row],[Mob Size]],PartyCompare_1[Mob Size],0))</f>
        <v>0</v>
      </c>
      <c r="BE15" s="39">
        <f>(PartyCompare_1[[#This Row],[+2 Hard]]-INDEX(PartyCompare_0[+2 Hard], MATCH(PartyCompare_1[[#This Row],[Mob Size]],PartyCompare_1[Mob Size],0)))/INDEX(PartyCompare_0[+2 Hard], MATCH(PartyCompare_1[[#This Row],[Mob Size]],PartyCompare_1[Mob Size],0))</f>
        <v>-2.2222222222222223E-2</v>
      </c>
      <c r="BF15" s="34">
        <f>(PartyCompare_1[[#This Row],[+2 Deadly]]-INDEX(PartyCompare_0[+2 Deadly], MATCH(PartyCompare_1[[#This Row],[Mob Size]],PartyCompare_1[Mob Size],0)))/INDEX(PartyCompare_0[+2 Deadly], MATCH(PartyCompare_1[[#This Row],[Mob Size]],PartyCompare_1[Mob Size],0))</f>
        <v>-0.15</v>
      </c>
      <c r="BG15" s="48">
        <f>AVERAGE(PartyCompare_1[[#This Row],[+2 Easy Deviation]:[+2 Deadly Deviation]])</f>
        <v>-5.9722222222222218E-2</v>
      </c>
      <c r="BH15" s="36">
        <f>IF(ISNUMBER(PartyCompare_1[[#This Row],[Level]]), PartyCompare_1[[#This Row],[Level]]+3, PartyCompare_1[[#This Row],[Level]])</f>
        <v>0</v>
      </c>
      <c r="BI15" s="36">
        <f>INDEX(Encounter_Diff[Easy], MATCH(PartyCompare_1[[#This Row],[+3 Level]],Encounter_Diff[Player Level],0))</f>
        <v>0</v>
      </c>
      <c r="BJ15" s="36">
        <f>INDEX(Encounter_Diff[Medium], MATCH(PartyCompare_1[[#This Row],[+3 Level]],Encounter_Diff[Player Level],0))</f>
        <v>0</v>
      </c>
      <c r="BK15" s="36">
        <f>INDEX(Encounter_Diff[Hard], MATCH(PartyCompare_1[[#This Row],[+3 Level]],Encounter_Diff[Player Level],0))</f>
        <v>0</v>
      </c>
      <c r="BL15" s="36">
        <f>INDEX(Encounter_Diff[Deadly], MATCH(PartyCompare_1[[#This Row],[+3 Level]],Encounter_Diff[Player Level],0))</f>
        <v>0</v>
      </c>
      <c r="BM15" s="63">
        <f>SUM(PartyCompare_1[+3 (Easy)])/INDEX(Encounter_Mod[[Small]:[Large]], MATCH(PartyCompare_1[[#This Row],[Mob Size]], Encounter_Mod[Type], 0), MATCH(PartyCompare_1[[#This Row],[Party Size]],Encounter_Mod[[#Headers],[Small]:[Large]],0))</f>
        <v>180</v>
      </c>
      <c r="BN15" s="38">
        <f>SUM(PartyCompare_1[+3 (Medium)])/INDEX(Encounter_Mod[[Small]:[Large]], MATCH(PartyCompare_1[[#This Row],[Mob Size]], Encounter_Mod[Type], 0), MATCH(PartyCompare_1[[#This Row],[Party Size]],Encounter_Mod[[#Headers],[Small]:[Large]],0))</f>
        <v>360</v>
      </c>
      <c r="BO15" s="38">
        <f>SUM(PartyCompare_1[+3 (Hard)])/INDEX(Encounter_Mod[[Small]:[Large]], MATCH(PartyCompare_1[[#This Row],[Mob Size]], Encounter_Mod[Type], 0), MATCH(PartyCompare_1[[#This Row],[Party Size]],Encounter_Mod[[#Headers],[Small]:[Large]],0))</f>
        <v>560</v>
      </c>
      <c r="BP15" s="38">
        <f>SUM(PartyCompare_1[+3 (Deadly)])/INDEX(Encounter_Mod[[Small]:[Large]], MATCH(PartyCompare_1[[#This Row],[Mob Size]], Encounter_Mod[Type], 0), MATCH(PartyCompare_1[[#This Row],[Party Size]],Encounter_Mod[[#Headers],[Small]:[Large]],0))</f>
        <v>840</v>
      </c>
      <c r="BQ15" s="46">
        <f>(PartyCompare_1[[#This Row],[+3 Easy]]-INDEX(PartyCompare_0[+3 Easy], MATCH(PartyCompare_1[[#This Row],[Mob Size]],PartyCompare_1[Mob Size],0)))/INDEX(PartyCompare_0[+3 Easy], MATCH(PartyCompare_1[[#This Row],[Mob Size]],PartyCompare_1[Mob Size],0))</f>
        <v>-0.28000000000000003</v>
      </c>
      <c r="BR15" s="39">
        <f>(PartyCompare_1[[#This Row],[+3 Medium]]-INDEX(PartyCompare_0[+3 Medium], MATCH(PartyCompare_1[[#This Row],[Mob Size]],PartyCompare_1[Mob Size],0)))/INDEX(PartyCompare_0[+3 Medium], MATCH(PartyCompare_1[[#This Row],[Mob Size]],PartyCompare_1[Mob Size],0))</f>
        <v>-0.28000000000000003</v>
      </c>
      <c r="BS15" s="39">
        <f>(PartyCompare_1[[#This Row],[+3 Hard]]-INDEX(PartyCompare_0[+3 Hard], MATCH(PartyCompare_1[[#This Row],[Mob Size]],PartyCompare_1[Mob Size],0)))/INDEX(PartyCompare_0[+3 Hard], MATCH(PartyCompare_1[[#This Row],[Mob Size]],PartyCompare_1[Mob Size],0))</f>
        <v>-0.25333333333333335</v>
      </c>
      <c r="BT15" s="34">
        <f>(PartyCompare_1[[#This Row],[+3 Deadly]]-INDEX(PartyCompare_0[+3 Deadly], MATCH(PartyCompare_1[[#This Row],[Mob Size]],PartyCompare_1[Mob Size],0)))/INDEX(PartyCompare_0[+3 Deadly], MATCH(PartyCompare_1[[#This Row],[Mob Size]],PartyCompare_1[Mob Size],0))</f>
        <v>-0.16</v>
      </c>
      <c r="BU15" s="48">
        <f>AVERAGE(PartyCompare_1[[#This Row],[+3 Easy Deviation]:[+3 Deadly Deviation]])</f>
        <v>-0.24333333333333337</v>
      </c>
      <c r="BV15" s="36">
        <f>IF(ISNUMBER(PartyCompare_1[[#This Row],[Level]]), PartyCompare_1[[#This Row],[Level]]+4, PartyCompare_1[[#This Row],[Level]])</f>
        <v>0</v>
      </c>
      <c r="BW15" s="36">
        <f>INDEX(Encounter_Diff[Easy], MATCH(PartyCompare_1[[#This Row],[+4 Level]],Encounter_Diff[Player Level],0))</f>
        <v>0</v>
      </c>
      <c r="BX15" s="36">
        <f>INDEX(Encounter_Diff[Medium], MATCH(PartyCompare_1[[#This Row],[+4 Level]],Encounter_Diff[Player Level],0))</f>
        <v>0</v>
      </c>
      <c r="BY15" s="36">
        <f>INDEX(Encounter_Diff[Hard], MATCH(PartyCompare_1[[#This Row],[+4 Level]],Encounter_Diff[Player Level],0))</f>
        <v>0</v>
      </c>
      <c r="BZ15" s="36">
        <f>INDEX(Encounter_Diff[Deadly], MATCH(PartyCompare_1[[#This Row],[+4 Level]],Encounter_Diff[Player Level],0))</f>
        <v>0</v>
      </c>
      <c r="CA15" s="63">
        <f>SUM(PartyCompare_1[+4 (Easy)])/INDEX(Encounter_Mod[[Small]:[Large]], MATCH(PartyCompare_1[[#This Row],[Mob Size]], Encounter_Mod[Type], 0), MATCH(PartyCompare_1[[#This Row],[Party Size]],Encounter_Mod[[#Headers],[Small]:[Large]],0))</f>
        <v>220</v>
      </c>
      <c r="CB15" s="38">
        <f>SUM(PartyCompare_1[+4 (Medium)])/INDEX(Encounter_Mod[[Small]:[Large]], MATCH(PartyCompare_1[[#This Row],[Mob Size]], Encounter_Mod[Type], 0), MATCH(PartyCompare_1[[#This Row],[Party Size]],Encounter_Mod[[#Headers],[Small]:[Large]],0))</f>
        <v>440</v>
      </c>
      <c r="CC15" s="38">
        <f>SUM(PartyCompare_1[+4 (Hard)])/INDEX(Encounter_Mod[[Small]:[Large]], MATCH(PartyCompare_1[[#This Row],[Mob Size]], Encounter_Mod[Type], 0), MATCH(PartyCompare_1[[#This Row],[Party Size]],Encounter_Mod[[#Headers],[Small]:[Large]],0))</f>
        <v>640</v>
      </c>
      <c r="CD15" s="38">
        <f>SUM(PartyCompare_1[+4 (Deadly)])/INDEX(Encounter_Mod[[Small]:[Large]], MATCH(PartyCompare_1[[#This Row],[Mob Size]], Encounter_Mod[Type], 0), MATCH(PartyCompare_1[[#This Row],[Party Size]],Encounter_Mod[[#Headers],[Small]:[Large]],0))</f>
        <v>960</v>
      </c>
      <c r="CE15" s="46">
        <f>(PartyCompare_1[[#This Row],[+4 Easy]]-INDEX(PartyCompare_0[+4 Easy], MATCH(PartyCompare_1[[#This Row],[Mob Size]],PartyCompare_1[Mob Size],0)))/INDEX(PartyCompare_0[+4 Easy], MATCH(PartyCompare_1[[#This Row],[Mob Size]],PartyCompare_1[Mob Size],0))</f>
        <v>-0.56000000000000005</v>
      </c>
      <c r="CF15" s="39">
        <f>(PartyCompare_1[[#This Row],[+4 Medium]]-INDEX(PartyCompare_0[+4 Medium], MATCH(PartyCompare_1[[#This Row],[Mob Size]],PartyCompare_1[Mob Size],0)))/INDEX(PartyCompare_0[+4 Medium], MATCH(PartyCompare_1[[#This Row],[Mob Size]],PartyCompare_1[Mob Size],0))</f>
        <v>-0.56000000000000005</v>
      </c>
      <c r="CG15" s="39">
        <f>(PartyCompare_1[[#This Row],[+4 Hard]]-INDEX(PartyCompare_0[+4 Hard], MATCH(PartyCompare_1[[#This Row],[Mob Size]],PartyCompare_1[Mob Size],0)))/INDEX(PartyCompare_0[+4 Hard], MATCH(PartyCompare_1[[#This Row],[Mob Size]],PartyCompare_1[Mob Size],0))</f>
        <v>-0.57333333333333336</v>
      </c>
      <c r="CH15" s="34">
        <f>(PartyCompare_1[[#This Row],[+4 Deadly]]-INDEX(PartyCompare_0[+4 Deadly], MATCH(PartyCompare_1[[#This Row],[Mob Size]],PartyCompare_1[Mob Size],0)))/INDEX(PartyCompare_0[+4 Deadly], MATCH(PartyCompare_1[[#This Row],[Mob Size]],PartyCompare_1[Mob Size],0))</f>
        <v>-0.5636363636363636</v>
      </c>
      <c r="CI15" s="48">
        <f>AVERAGE(PartyCompare_1[[#This Row],[+4 Easy Deviation]:[+4 Deadly Deviation]])</f>
        <v>-0.56424242424242421</v>
      </c>
    </row>
    <row r="16" spans="2:87" x14ac:dyDescent="0.2">
      <c r="B16"/>
      <c r="C16"/>
      <c r="D16"/>
      <c r="E16"/>
      <c r="F16"/>
      <c r="G16"/>
      <c r="H16"/>
      <c r="I16"/>
      <c r="J16"/>
      <c r="L16" s="233"/>
      <c r="M16" s="91"/>
      <c r="N16" s="90"/>
      <c r="O16" s="32">
        <f>INDEX(Encounter_Diff[Easy], MATCH(PartyCompare_1[[#This Row],[Level]],Encounter_Diff[Player Level],0))</f>
        <v>0</v>
      </c>
      <c r="P16" s="32">
        <f>INDEX(Encounter_Diff[Medium], MATCH(PartyCompare_1[[#This Row],[Level]],Encounter_Diff[Player Level],0))</f>
        <v>0</v>
      </c>
      <c r="Q16" s="32">
        <f>INDEX(Encounter_Diff[Hard], MATCH(PartyCompare_1[[#This Row],[Level]],Encounter_Diff[Player Level],0))</f>
        <v>0</v>
      </c>
      <c r="R16" s="30">
        <f>INDEX(Encounter_Diff[Deadly], MATCH(PartyCompare_1[[#This Row],[Level]],Encounter_Diff[Player Level],0))</f>
        <v>0</v>
      </c>
      <c r="S16" s="97">
        <f t="shared" si="1"/>
        <v>5</v>
      </c>
      <c r="T16" s="32" t="str">
        <f>IF(COUNT(PartyCompare_1[Level])&lt;=2,"Small", IF(COUNT(PartyCompare_1[Level])&lt;=5,"Med", IF(COUNT(PartyCompare_1[Level])&lt;=8, "Large", "TOO BIG!")))</f>
        <v>Small</v>
      </c>
      <c r="U16" s="73" t="s">
        <v>110</v>
      </c>
      <c r="V16" s="77" t="str">
        <f>INDEX(Encounter_Mod[Count], MATCH(PartyCompare_1[[#This Row],[Mob Size]], Encounter_Mod[Type],0))</f>
        <v>7-10</v>
      </c>
      <c r="W16" s="81">
        <f>SUM(PartyCompare_1[(Easy)])/INDEX(Encounter_Mod[[Small]:[Large]], MATCH(PartyCompare_1[[#This Row],[Mob Size]], Encounter_Mod[Type], 0), MATCH(PartyCompare_1[[#This Row],[Party Size]],Encounter_Mod[[#Headers],[Small]:[Large]],0))</f>
        <v>83.333333333333329</v>
      </c>
      <c r="X16" s="42">
        <f>SUM(PartyCompare_1[(Medium)])/INDEX(Encounter_Mod[[Small]:[Large]], MATCH(PartyCompare_1[[#This Row],[Mob Size]], Encounter_Mod[Type], 0), MATCH(PartyCompare_1[[#This Row],[Party Size]],Encounter_Mod[[#Headers],[Small]:[Large]],0))</f>
        <v>166.66666666666666</v>
      </c>
      <c r="Y16" s="42">
        <f>SUM(PartyCompare_1[(Hard)])/INDEX(Encounter_Mod[[Small]:[Large]], MATCH(PartyCompare_1[[#This Row],[Mob Size]], Encounter_Mod[Type], 0), MATCH(PartyCompare_1[[#This Row],[Party Size]],Encounter_Mod[[#Headers],[Small]:[Large]],0))</f>
        <v>250</v>
      </c>
      <c r="Z16" s="43">
        <f>SUM(PartyCompare_1[(Deadly)])/INDEX(Encounter_Mod[[Small]:[Large]], MATCH(PartyCompare_1[[#This Row],[Mob Size]], Encounter_Mod[Type], 0), MATCH(PartyCompare_1[[#This Row],[Party Size]],Encounter_Mod[[#Headers],[Small]:[Large]],0))</f>
        <v>366.66666666666669</v>
      </c>
      <c r="AA16" s="46">
        <f>(PartyCompare_1[[#This Row],[Easy]]-INDEX(PartyCompare_0[Easy], MATCH(PartyCompare_1[[#This Row],[Mob Size]],PartyCompare_0[Mob Size],0)))/INDEX(PartyCompare_0[Easy], MATCH(PartyCompare_1[[#This Row],[Mob Size]],PartyCompare_0[Mob Size],0))</f>
        <v>1.0833333333333333</v>
      </c>
      <c r="AB16" s="33">
        <f>(PartyCompare_1[[#This Row],[Medium]]-INDEX(PartyCompare_0[Medium], MATCH(PartyCompare_1[[#This Row],[Mob Size]],PartyCompare_0[Mob Size],0)))/INDEX(PartyCompare_0[Medium], MATCH(PartyCompare_1[[#This Row],[Mob Size]],PartyCompare_0[Mob Size],0))</f>
        <v>1.0833333333333333</v>
      </c>
      <c r="AC16" s="33">
        <f>(PartyCompare_1[[#This Row],[Hard]]-INDEX(PartyCompare_0[Hard], MATCH(PartyCompare_1[[#This Row],[Mob Size]],PartyCompare_0[Mob Size],0)))/INDEX(PartyCompare_0[Hard], MATCH(PartyCompare_1[[#This Row],[Mob Size]],PartyCompare_0[Mob Size],0))</f>
        <v>1.0833333333333333</v>
      </c>
      <c r="AD16" s="34">
        <f>(PartyCompare_1[[#This Row],[Deadly]]-INDEX(PartyCompare_0[Deadly], MATCH(PartyCompare_1[[#This Row],[Mob Size]],PartyCompare_0[Mob Size],0)))/INDEX(PartyCompare_0[Deadly], MATCH(PartyCompare_1[[#This Row],[Mob Size]],PartyCompare_0[Mob Size],0))</f>
        <v>1.2916666666666667</v>
      </c>
      <c r="AE16" s="48">
        <f>AVERAGE(PartyCompare_1[[#This Row],[Easy Deviation]:[Deadly Deviation]])</f>
        <v>1.1354166666666667</v>
      </c>
      <c r="AF16" s="36">
        <f>IF(ISNUMBER(PartyCompare_1[[#This Row],[Level]]), PartyCompare_1[[#This Row],[Level]]+1, PartyCompare_1[[#This Row],[Level]])</f>
        <v>0</v>
      </c>
      <c r="AG16" s="36">
        <f>INDEX(Encounter_Diff[Easy], MATCH(PartyCompare_1[[#This Row],[+1 Level]],Encounter_Diff[Player Level],0))</f>
        <v>0</v>
      </c>
      <c r="AH16" s="36">
        <f>INDEX(Encounter_Diff[Medium], MATCH(PartyCompare_1[[#This Row],[+1 Level]],Encounter_Diff[Player Level],0))</f>
        <v>0</v>
      </c>
      <c r="AI16" s="36">
        <f>INDEX(Encounter_Diff[Hard], MATCH(PartyCompare_1[[#This Row],[+1 Level]],Encounter_Diff[Player Level],0))</f>
        <v>0</v>
      </c>
      <c r="AJ16" s="36">
        <f>INDEX(Encounter_Diff[Deadly], MATCH(PartyCompare_1[[#This Row],[+1 Level]],Encounter_Diff[Player Level],0))</f>
        <v>0</v>
      </c>
      <c r="AK16" s="63">
        <f>SUM(PartyCompare_1[+1 (Easy)])/INDEX(Encounter_Mod[[Small]:[Large]], MATCH(PartyCompare_1[[#This Row],[Mob Size]], Encounter_Mod[Type], 0), MATCH(PartyCompare_1[[#This Row],[Party Size]],Encounter_Mod[[#Headers],[Small]:[Large]],0))</f>
        <v>100</v>
      </c>
      <c r="AL16" s="38">
        <f>SUM(PartyCompare_1[+1 (Medium)])/INDEX(Encounter_Mod[[Small]:[Large]], MATCH(PartyCompare_1[[#This Row],[Mob Size]], Encounter_Mod[Type], 0), MATCH(PartyCompare_1[[#This Row],[Party Size]],Encounter_Mod[[#Headers],[Small]:[Large]],0))</f>
        <v>200</v>
      </c>
      <c r="AM16" s="38">
        <f>SUM(PartyCompare_1[+1 (Hard)])/INDEX(Encounter_Mod[[Small]:[Large]], MATCH(PartyCompare_1[[#This Row],[Mob Size]], Encounter_Mod[Type], 0), MATCH(PartyCompare_1[[#This Row],[Party Size]],Encounter_Mod[[#Headers],[Small]:[Large]],0))</f>
        <v>300</v>
      </c>
      <c r="AN16" s="38">
        <f>SUM(PartyCompare_1[+1 (Deadly)])/INDEX(Encounter_Mod[[Small]:[Large]], MATCH(PartyCompare_1[[#This Row],[Mob Size]], Encounter_Mod[Type], 0), MATCH(PartyCompare_1[[#This Row],[Party Size]],Encounter_Mod[[#Headers],[Small]:[Large]],0))</f>
        <v>466.66666666666669</v>
      </c>
      <c r="AO16" s="46">
        <f>(PartyCompare_1[[#This Row],[+1 Easy]]-INDEX(PartyCompare_0[+1 Easy], MATCH(PartyCompare_1[[#This Row],[Mob Size]],PartyCompare_1[Mob Size],0)))/INDEX(PartyCompare_0[+1 Easy], MATCH(PartyCompare_1[[#This Row],[Mob Size]],PartyCompare_1[Mob Size],0))</f>
        <v>0.25</v>
      </c>
      <c r="AP16" s="39">
        <f>(PartyCompare_1[[#This Row],[+1 Medium]]-INDEX(PartyCompare_0[+1 Medium], MATCH(PartyCompare_1[[#This Row],[Mob Size]],PartyCompare_1[Mob Size],0)))/INDEX(PartyCompare_0[+1 Medium], MATCH(PartyCompare_1[[#This Row],[Mob Size]],PartyCompare_1[Mob Size],0))</f>
        <v>0.25</v>
      </c>
      <c r="AQ16" s="39">
        <f>(PartyCompare_1[[#This Row],[+1 Hard]]-INDEX(PartyCompare_0[+1 Hard], MATCH(PartyCompare_1[[#This Row],[Mob Size]],PartyCompare_1[Mob Size],0)))/INDEX(PartyCompare_0[+1 Hard], MATCH(PartyCompare_1[[#This Row],[Mob Size]],PartyCompare_1[Mob Size],0))</f>
        <v>0.25</v>
      </c>
      <c r="AR16" s="34">
        <f>(PartyCompare_1[[#This Row],[+1 Deadly]]-INDEX(PartyCompare_0[+1 Deadly], MATCH(PartyCompare_1[[#This Row],[Mob Size]],PartyCompare_1[Mob Size],0)))/INDEX(PartyCompare_0[+1 Deadly], MATCH(PartyCompare_1[[#This Row],[Mob Size]],PartyCompare_1[Mob Size],0))</f>
        <v>0.45833333333333337</v>
      </c>
      <c r="AS16" s="48">
        <f>AVERAGE(PartyCompare_1[[#This Row],[+1 Easy Deviation]:[+1 Deadly Deviation]])</f>
        <v>0.30208333333333337</v>
      </c>
      <c r="AT16" s="36">
        <f>IF(ISNUMBER(PartyCompare_1[[#This Row],[Level]]), PartyCompare_1[[#This Row],[Level]]+2, PartyCompare_1[[#This Row],[Level]])</f>
        <v>0</v>
      </c>
      <c r="AU16" s="36">
        <f>INDEX(Encounter_Diff[Easy], MATCH(PartyCompare_1[[#This Row],[+2 Level]],Encounter_Diff[Player Level],0))</f>
        <v>0</v>
      </c>
      <c r="AV16" s="36">
        <f>INDEX(Encounter_Diff[Medium], MATCH(PartyCompare_1[[#This Row],[+2 Level]],Encounter_Diff[Player Level],0))</f>
        <v>0</v>
      </c>
      <c r="AW16" s="36">
        <f>INDEX(Encounter_Diff[Hard], MATCH(PartyCompare_1[[#This Row],[+2 Level]],Encounter_Diff[Player Level],0))</f>
        <v>0</v>
      </c>
      <c r="AX16" s="36">
        <f>INDEX(Encounter_Diff[Deadly], MATCH(PartyCompare_1[[#This Row],[+2 Level]],Encounter_Diff[Player Level],0))</f>
        <v>0</v>
      </c>
      <c r="AY16" s="63">
        <f>SUM(PartyCompare_1[+2 (Easy)])/INDEX(Encounter_Mod[[Small]:[Large]], MATCH(PartyCompare_1[[#This Row],[Mob Size]], Encounter_Mod[Type], 0), MATCH(PartyCompare_1[[#This Row],[Party Size]],Encounter_Mod[[#Headers],[Small]:[Large]],0))</f>
        <v>116.66666666666667</v>
      </c>
      <c r="AZ16" s="38">
        <f>SUM(PartyCompare_1[+2 (Medium)])/INDEX(Encounter_Mod[[Small]:[Large]], MATCH(PartyCompare_1[[#This Row],[Mob Size]], Encounter_Mod[Type], 0), MATCH(PartyCompare_1[[#This Row],[Party Size]],Encounter_Mod[[#Headers],[Small]:[Large]],0))</f>
        <v>250</v>
      </c>
      <c r="BA16" s="38">
        <f>SUM(PartyCompare_1[+2 (Hard)])/INDEX(Encounter_Mod[[Small]:[Large]], MATCH(PartyCompare_1[[#This Row],[Mob Size]], Encounter_Mod[Type], 0), MATCH(PartyCompare_1[[#This Row],[Party Size]],Encounter_Mod[[#Headers],[Small]:[Large]],0))</f>
        <v>366.66666666666669</v>
      </c>
      <c r="BB16" s="38">
        <f>SUM(PartyCompare_1[+2 (Deadly)])/INDEX(Encounter_Mod[[Small]:[Large]], MATCH(PartyCompare_1[[#This Row],[Mob Size]], Encounter_Mod[Type], 0), MATCH(PartyCompare_1[[#This Row],[Party Size]],Encounter_Mod[[#Headers],[Small]:[Large]],0))</f>
        <v>566.66666666666663</v>
      </c>
      <c r="BC16" s="46">
        <f>(PartyCompare_1[[#This Row],[+2 Easy]]-INDEX(PartyCompare_0[+2 Easy], MATCH(PartyCompare_1[[#This Row],[Mob Size]],PartyCompare_1[Mob Size],0)))/INDEX(PartyCompare_0[+2 Easy], MATCH(PartyCompare_1[[#This Row],[Mob Size]],PartyCompare_1[Mob Size],0))</f>
        <v>-2.7777777777777738E-2</v>
      </c>
      <c r="BD16" s="39">
        <f>(PartyCompare_1[[#This Row],[+2 Medium]]-INDEX(PartyCompare_0[+2 Medium], MATCH(PartyCompare_1[[#This Row],[Mob Size]],PartyCompare_1[Mob Size],0)))/INDEX(PartyCompare_0[+2 Medium], MATCH(PartyCompare_1[[#This Row],[Mob Size]],PartyCompare_1[Mob Size],0))</f>
        <v>4.1666666666666664E-2</v>
      </c>
      <c r="BE16" s="39">
        <f>(PartyCompare_1[[#This Row],[+2 Hard]]-INDEX(PartyCompare_0[+2 Hard], MATCH(PartyCompare_1[[#This Row],[Mob Size]],PartyCompare_1[Mob Size],0)))/INDEX(PartyCompare_0[+2 Hard], MATCH(PartyCompare_1[[#This Row],[Mob Size]],PartyCompare_1[Mob Size],0))</f>
        <v>1.851851851851857E-2</v>
      </c>
      <c r="BF16" s="34">
        <f>(PartyCompare_1[[#This Row],[+2 Deadly]]-INDEX(PartyCompare_0[+2 Deadly], MATCH(PartyCompare_1[[#This Row],[Mob Size]],PartyCompare_1[Mob Size],0)))/INDEX(PartyCompare_0[+2 Deadly], MATCH(PartyCompare_1[[#This Row],[Mob Size]],PartyCompare_1[Mob Size],0))</f>
        <v>-0.1145833333333334</v>
      </c>
      <c r="BG16" s="48">
        <f>AVERAGE(PartyCompare_1[[#This Row],[+2 Easy Deviation]:[+2 Deadly Deviation]])</f>
        <v>-2.0543981481481476E-2</v>
      </c>
      <c r="BH16" s="36">
        <f>IF(ISNUMBER(PartyCompare_1[[#This Row],[Level]]), PartyCompare_1[[#This Row],[Level]]+3, PartyCompare_1[[#This Row],[Level]])</f>
        <v>0</v>
      </c>
      <c r="BI16" s="36">
        <f>INDEX(Encounter_Diff[Easy], MATCH(PartyCompare_1[[#This Row],[+3 Level]],Encounter_Diff[Player Level],0))</f>
        <v>0</v>
      </c>
      <c r="BJ16" s="36">
        <f>INDEX(Encounter_Diff[Medium], MATCH(PartyCompare_1[[#This Row],[+3 Level]],Encounter_Diff[Player Level],0))</f>
        <v>0</v>
      </c>
      <c r="BK16" s="36">
        <f>INDEX(Encounter_Diff[Hard], MATCH(PartyCompare_1[[#This Row],[+3 Level]],Encounter_Diff[Player Level],0))</f>
        <v>0</v>
      </c>
      <c r="BL16" s="36">
        <f>INDEX(Encounter_Diff[Deadly], MATCH(PartyCompare_1[[#This Row],[+3 Level]],Encounter_Diff[Player Level],0))</f>
        <v>0</v>
      </c>
      <c r="BM16" s="63">
        <f>SUM(PartyCompare_1[+3 (Easy)])/INDEX(Encounter_Mod[[Small]:[Large]], MATCH(PartyCompare_1[[#This Row],[Mob Size]], Encounter_Mod[Type], 0), MATCH(PartyCompare_1[[#This Row],[Party Size]],Encounter_Mod[[#Headers],[Small]:[Large]],0))</f>
        <v>150</v>
      </c>
      <c r="BN16" s="38">
        <f>SUM(PartyCompare_1[+3 (Medium)])/INDEX(Encounter_Mod[[Small]:[Large]], MATCH(PartyCompare_1[[#This Row],[Mob Size]], Encounter_Mod[Type], 0), MATCH(PartyCompare_1[[#This Row],[Party Size]],Encounter_Mod[[#Headers],[Small]:[Large]],0))</f>
        <v>300</v>
      </c>
      <c r="BO16" s="38">
        <f>SUM(PartyCompare_1[+3 (Hard)])/INDEX(Encounter_Mod[[Small]:[Large]], MATCH(PartyCompare_1[[#This Row],[Mob Size]], Encounter_Mod[Type], 0), MATCH(PartyCompare_1[[#This Row],[Party Size]],Encounter_Mod[[#Headers],[Small]:[Large]],0))</f>
        <v>466.66666666666669</v>
      </c>
      <c r="BP16" s="38">
        <f>SUM(PartyCompare_1[+3 (Deadly)])/INDEX(Encounter_Mod[[Small]:[Large]], MATCH(PartyCompare_1[[#This Row],[Mob Size]], Encounter_Mod[Type], 0), MATCH(PartyCompare_1[[#This Row],[Party Size]],Encounter_Mod[[#Headers],[Small]:[Large]],0))</f>
        <v>700</v>
      </c>
      <c r="BQ16" s="46">
        <f>(PartyCompare_1[[#This Row],[+3 Easy]]-INDEX(PartyCompare_0[+3 Easy], MATCH(PartyCompare_1[[#This Row],[Mob Size]],PartyCompare_1[Mob Size],0)))/INDEX(PartyCompare_0[+3 Easy], MATCH(PartyCompare_1[[#This Row],[Mob Size]],PartyCompare_1[Mob Size],0))</f>
        <v>-0.25</v>
      </c>
      <c r="BR16" s="39">
        <f>(PartyCompare_1[[#This Row],[+3 Medium]]-INDEX(PartyCompare_0[+3 Medium], MATCH(PartyCompare_1[[#This Row],[Mob Size]],PartyCompare_1[Mob Size],0)))/INDEX(PartyCompare_0[+3 Medium], MATCH(PartyCompare_1[[#This Row],[Mob Size]],PartyCompare_1[Mob Size],0))</f>
        <v>-0.25</v>
      </c>
      <c r="BS16" s="39">
        <f>(PartyCompare_1[[#This Row],[+3 Hard]]-INDEX(PartyCompare_0[+3 Hard], MATCH(PartyCompare_1[[#This Row],[Mob Size]],PartyCompare_1[Mob Size],0)))/INDEX(PartyCompare_0[+3 Hard], MATCH(PartyCompare_1[[#This Row],[Mob Size]],PartyCompare_1[Mob Size],0))</f>
        <v>-0.22222222222222218</v>
      </c>
      <c r="BT16" s="34">
        <f>(PartyCompare_1[[#This Row],[+3 Deadly]]-INDEX(PartyCompare_0[+3 Deadly], MATCH(PartyCompare_1[[#This Row],[Mob Size]],PartyCompare_1[Mob Size],0)))/INDEX(PartyCompare_0[+3 Deadly], MATCH(PartyCompare_1[[#This Row],[Mob Size]],PartyCompare_1[Mob Size],0))</f>
        <v>-0.125</v>
      </c>
      <c r="BU16" s="48">
        <f>AVERAGE(PartyCompare_1[[#This Row],[+3 Easy Deviation]:[+3 Deadly Deviation]])</f>
        <v>-0.21180555555555555</v>
      </c>
      <c r="BV16" s="36">
        <f>IF(ISNUMBER(PartyCompare_1[[#This Row],[Level]]), PartyCompare_1[[#This Row],[Level]]+4, PartyCompare_1[[#This Row],[Level]])</f>
        <v>0</v>
      </c>
      <c r="BW16" s="36">
        <f>INDEX(Encounter_Diff[Easy], MATCH(PartyCompare_1[[#This Row],[+4 Level]],Encounter_Diff[Player Level],0))</f>
        <v>0</v>
      </c>
      <c r="BX16" s="36">
        <f>INDEX(Encounter_Diff[Medium], MATCH(PartyCompare_1[[#This Row],[+4 Level]],Encounter_Diff[Player Level],0))</f>
        <v>0</v>
      </c>
      <c r="BY16" s="36">
        <f>INDEX(Encounter_Diff[Hard], MATCH(PartyCompare_1[[#This Row],[+4 Level]],Encounter_Diff[Player Level],0))</f>
        <v>0</v>
      </c>
      <c r="BZ16" s="36">
        <f>INDEX(Encounter_Diff[Deadly], MATCH(PartyCompare_1[[#This Row],[+4 Level]],Encounter_Diff[Player Level],0))</f>
        <v>0</v>
      </c>
      <c r="CA16" s="63">
        <f>SUM(PartyCompare_1[+4 (Easy)])/INDEX(Encounter_Mod[[Small]:[Large]], MATCH(PartyCompare_1[[#This Row],[Mob Size]], Encounter_Mod[Type], 0), MATCH(PartyCompare_1[[#This Row],[Party Size]],Encounter_Mod[[#Headers],[Small]:[Large]],0))</f>
        <v>183.33333333333334</v>
      </c>
      <c r="CB16" s="38">
        <f>SUM(PartyCompare_1[+4 (Medium)])/INDEX(Encounter_Mod[[Small]:[Large]], MATCH(PartyCompare_1[[#This Row],[Mob Size]], Encounter_Mod[Type], 0), MATCH(PartyCompare_1[[#This Row],[Party Size]],Encounter_Mod[[#Headers],[Small]:[Large]],0))</f>
        <v>366.66666666666669</v>
      </c>
      <c r="CC16" s="38">
        <f>SUM(PartyCompare_1[+4 (Hard)])/INDEX(Encounter_Mod[[Small]:[Large]], MATCH(PartyCompare_1[[#This Row],[Mob Size]], Encounter_Mod[Type], 0), MATCH(PartyCompare_1[[#This Row],[Party Size]],Encounter_Mod[[#Headers],[Small]:[Large]],0))</f>
        <v>533.33333333333337</v>
      </c>
      <c r="CD16" s="38">
        <f>SUM(PartyCompare_1[+4 (Deadly)])/INDEX(Encounter_Mod[[Small]:[Large]], MATCH(PartyCompare_1[[#This Row],[Mob Size]], Encounter_Mod[Type], 0), MATCH(PartyCompare_1[[#This Row],[Party Size]],Encounter_Mod[[#Headers],[Small]:[Large]],0))</f>
        <v>800</v>
      </c>
      <c r="CE16" s="46">
        <f>(PartyCompare_1[[#This Row],[+4 Easy]]-INDEX(PartyCompare_0[+4 Easy], MATCH(PartyCompare_1[[#This Row],[Mob Size]],PartyCompare_1[Mob Size],0)))/INDEX(PartyCompare_0[+4 Easy], MATCH(PartyCompare_1[[#This Row],[Mob Size]],PartyCompare_1[Mob Size],0))</f>
        <v>-0.54166666666666663</v>
      </c>
      <c r="CF16" s="39">
        <f>(PartyCompare_1[[#This Row],[+4 Medium]]-INDEX(PartyCompare_0[+4 Medium], MATCH(PartyCompare_1[[#This Row],[Mob Size]],PartyCompare_1[Mob Size],0)))/INDEX(PartyCompare_0[+4 Medium], MATCH(PartyCompare_1[[#This Row],[Mob Size]],PartyCompare_1[Mob Size],0))</f>
        <v>-0.54166666666666663</v>
      </c>
      <c r="CG16" s="39">
        <f>(PartyCompare_1[[#This Row],[+4 Hard]]-INDEX(PartyCompare_0[+4 Hard], MATCH(PartyCompare_1[[#This Row],[Mob Size]],PartyCompare_1[Mob Size],0)))/INDEX(PartyCompare_0[+4 Hard], MATCH(PartyCompare_1[[#This Row],[Mob Size]],PartyCompare_1[Mob Size],0))</f>
        <v>-0.55555555555555547</v>
      </c>
      <c r="CH16" s="34">
        <f>(PartyCompare_1[[#This Row],[+4 Deadly]]-INDEX(PartyCompare_0[+4 Deadly], MATCH(PartyCompare_1[[#This Row],[Mob Size]],PartyCompare_1[Mob Size],0)))/INDEX(PartyCompare_0[+4 Deadly], MATCH(PartyCompare_1[[#This Row],[Mob Size]],PartyCompare_1[Mob Size],0))</f>
        <v>-0.54545454545454541</v>
      </c>
      <c r="CI16" s="48">
        <f>AVERAGE(PartyCompare_1[[#This Row],[+4 Easy Deviation]:[+4 Deadly Deviation]])</f>
        <v>-0.54608585858585856</v>
      </c>
    </row>
    <row r="17" spans="2:87" x14ac:dyDescent="0.2">
      <c r="B17"/>
      <c r="C17"/>
      <c r="D17"/>
      <c r="E17"/>
      <c r="F17"/>
      <c r="G17"/>
      <c r="H17"/>
      <c r="I17"/>
      <c r="J17"/>
      <c r="L17" s="233"/>
      <c r="M17" s="91"/>
      <c r="N17" s="90"/>
      <c r="O17" s="32">
        <f>INDEX(Encounter_Diff[Easy], MATCH(PartyCompare_1[[#This Row],[Level]],Encounter_Diff[Player Level],0))</f>
        <v>0</v>
      </c>
      <c r="P17" s="32">
        <f>INDEX(Encounter_Diff[Medium], MATCH(PartyCompare_1[[#This Row],[Level]],Encounter_Diff[Player Level],0))</f>
        <v>0</v>
      </c>
      <c r="Q17" s="32">
        <f>INDEX(Encounter_Diff[Hard], MATCH(PartyCompare_1[[#This Row],[Level]],Encounter_Diff[Player Level],0))</f>
        <v>0</v>
      </c>
      <c r="R17" s="30">
        <f>INDEX(Encounter_Diff[Deadly], MATCH(PartyCompare_1[[#This Row],[Level]],Encounter_Diff[Player Level],0))</f>
        <v>0</v>
      </c>
      <c r="S17" s="97">
        <f t="shared" si="1"/>
        <v>5</v>
      </c>
      <c r="T17" s="32" t="str">
        <f>IF(COUNT(PartyCompare_1[Level])&lt;=2,"Small", IF(COUNT(PartyCompare_1[Level])&lt;=5,"Med", IF(COUNT(PartyCompare_1[Level])&lt;=8, "Large", "TOO BIG!")))</f>
        <v>Small</v>
      </c>
      <c r="U17" s="73" t="s">
        <v>111</v>
      </c>
      <c r="V17" s="77" t="str">
        <f>INDEX(Encounter_Mod[Count], MATCH(PartyCompare_1[[#This Row],[Mob Size]], Encounter_Mod[Type],0))</f>
        <v>11-14</v>
      </c>
      <c r="W17" s="81">
        <f>SUM(PartyCompare_1[(Easy)])/INDEX(Encounter_Mod[[Small]:[Large]], MATCH(PartyCompare_1[[#This Row],[Mob Size]], Encounter_Mod[Type], 0), MATCH(PartyCompare_1[[#This Row],[Party Size]],Encounter_Mod[[#Headers],[Small]:[Large]],0))</f>
        <v>62.5</v>
      </c>
      <c r="X17" s="42">
        <f>SUM(PartyCompare_1[(Medium)])/INDEX(Encounter_Mod[[Small]:[Large]], MATCH(PartyCompare_1[[#This Row],[Mob Size]], Encounter_Mod[Type], 0), MATCH(PartyCompare_1[[#This Row],[Party Size]],Encounter_Mod[[#Headers],[Small]:[Large]],0))</f>
        <v>125</v>
      </c>
      <c r="Y17" s="42">
        <f>SUM(PartyCompare_1[(Hard)])/INDEX(Encounter_Mod[[Small]:[Large]], MATCH(PartyCompare_1[[#This Row],[Mob Size]], Encounter_Mod[Type], 0), MATCH(PartyCompare_1[[#This Row],[Party Size]],Encounter_Mod[[#Headers],[Small]:[Large]],0))</f>
        <v>187.5</v>
      </c>
      <c r="Z17" s="43">
        <f>SUM(PartyCompare_1[(Deadly)])/INDEX(Encounter_Mod[[Small]:[Large]], MATCH(PartyCompare_1[[#This Row],[Mob Size]], Encounter_Mod[Type], 0), MATCH(PartyCompare_1[[#This Row],[Party Size]],Encounter_Mod[[#Headers],[Small]:[Large]],0))</f>
        <v>275</v>
      </c>
      <c r="AA17" s="46">
        <f>(PartyCompare_1[[#This Row],[Easy]]-INDEX(PartyCompare_0[Easy], MATCH(PartyCompare_1[[#This Row],[Mob Size]],PartyCompare_0[Mob Size],0)))/INDEX(PartyCompare_0[Easy], MATCH(PartyCompare_1[[#This Row],[Mob Size]],PartyCompare_0[Mob Size],0))</f>
        <v>0.87499999999999989</v>
      </c>
      <c r="AB17" s="33">
        <f>(PartyCompare_1[[#This Row],[Medium]]-INDEX(PartyCompare_0[Medium], MATCH(PartyCompare_1[[#This Row],[Mob Size]],PartyCompare_0[Mob Size],0)))/INDEX(PartyCompare_0[Medium], MATCH(PartyCompare_1[[#This Row],[Mob Size]],PartyCompare_0[Mob Size],0))</f>
        <v>0.87499999999999989</v>
      </c>
      <c r="AC17" s="33">
        <f>(PartyCompare_1[[#This Row],[Hard]]-INDEX(PartyCompare_0[Hard], MATCH(PartyCompare_1[[#This Row],[Mob Size]],PartyCompare_0[Mob Size],0)))/INDEX(PartyCompare_0[Hard], MATCH(PartyCompare_1[[#This Row],[Mob Size]],PartyCompare_0[Mob Size],0))</f>
        <v>0.875</v>
      </c>
      <c r="AD17" s="34">
        <f>(PartyCompare_1[[#This Row],[Deadly]]-INDEX(PartyCompare_0[Deadly], MATCH(PartyCompare_1[[#This Row],[Mob Size]],PartyCompare_0[Mob Size],0)))/INDEX(PartyCompare_0[Deadly], MATCH(PartyCompare_1[[#This Row],[Mob Size]],PartyCompare_0[Mob Size],0))</f>
        <v>1.0624999999999998</v>
      </c>
      <c r="AE17" s="48">
        <f>AVERAGE(PartyCompare_1[[#This Row],[Easy Deviation]:[Deadly Deviation]])</f>
        <v>0.921875</v>
      </c>
      <c r="AF17" s="36">
        <f>IF(ISNUMBER(PartyCompare_1[[#This Row],[Level]]), PartyCompare_1[[#This Row],[Level]]+1, PartyCompare_1[[#This Row],[Level]])</f>
        <v>0</v>
      </c>
      <c r="AG17" s="36">
        <f>INDEX(Encounter_Diff[Easy], MATCH(PartyCompare_1[[#This Row],[+1 Level]],Encounter_Diff[Player Level],0))</f>
        <v>0</v>
      </c>
      <c r="AH17" s="36">
        <f>INDEX(Encounter_Diff[Medium], MATCH(PartyCompare_1[[#This Row],[+1 Level]],Encounter_Diff[Player Level],0))</f>
        <v>0</v>
      </c>
      <c r="AI17" s="36">
        <f>INDEX(Encounter_Diff[Hard], MATCH(PartyCompare_1[[#This Row],[+1 Level]],Encounter_Diff[Player Level],0))</f>
        <v>0</v>
      </c>
      <c r="AJ17" s="36">
        <f>INDEX(Encounter_Diff[Deadly], MATCH(PartyCompare_1[[#This Row],[+1 Level]],Encounter_Diff[Player Level],0))</f>
        <v>0</v>
      </c>
      <c r="AK17" s="63">
        <f>SUM(PartyCompare_1[+1 (Easy)])/INDEX(Encounter_Mod[[Small]:[Large]], MATCH(PartyCompare_1[[#This Row],[Mob Size]], Encounter_Mod[Type], 0), MATCH(PartyCompare_1[[#This Row],[Party Size]],Encounter_Mod[[#Headers],[Small]:[Large]],0))</f>
        <v>75</v>
      </c>
      <c r="AL17" s="38">
        <f>SUM(PartyCompare_1[+1 (Medium)])/INDEX(Encounter_Mod[[Small]:[Large]], MATCH(PartyCompare_1[[#This Row],[Mob Size]], Encounter_Mod[Type], 0), MATCH(PartyCompare_1[[#This Row],[Party Size]],Encounter_Mod[[#Headers],[Small]:[Large]],0))</f>
        <v>150</v>
      </c>
      <c r="AM17" s="38">
        <f>SUM(PartyCompare_1[+1 (Hard)])/INDEX(Encounter_Mod[[Small]:[Large]], MATCH(PartyCompare_1[[#This Row],[Mob Size]], Encounter_Mod[Type], 0), MATCH(PartyCompare_1[[#This Row],[Party Size]],Encounter_Mod[[#Headers],[Small]:[Large]],0))</f>
        <v>225</v>
      </c>
      <c r="AN17" s="38">
        <f>SUM(PartyCompare_1[+1 (Deadly)])/INDEX(Encounter_Mod[[Small]:[Large]], MATCH(PartyCompare_1[[#This Row],[Mob Size]], Encounter_Mod[Type], 0), MATCH(PartyCompare_1[[#This Row],[Party Size]],Encounter_Mod[[#Headers],[Small]:[Large]],0))</f>
        <v>350</v>
      </c>
      <c r="AO17" s="46">
        <f>(PartyCompare_1[[#This Row],[+1 Easy]]-INDEX(PartyCompare_0[+1 Easy], MATCH(PartyCompare_1[[#This Row],[Mob Size]],PartyCompare_1[Mob Size],0)))/INDEX(PartyCompare_0[+1 Easy], MATCH(PartyCompare_1[[#This Row],[Mob Size]],PartyCompare_1[Mob Size],0))</f>
        <v>0.12499999999999992</v>
      </c>
      <c r="AP17" s="39">
        <f>(PartyCompare_1[[#This Row],[+1 Medium]]-INDEX(PartyCompare_0[+1 Medium], MATCH(PartyCompare_1[[#This Row],[Mob Size]],PartyCompare_1[Mob Size],0)))/INDEX(PartyCompare_0[+1 Medium], MATCH(PartyCompare_1[[#This Row],[Mob Size]],PartyCompare_1[Mob Size],0))</f>
        <v>0.12499999999999992</v>
      </c>
      <c r="AQ17" s="39">
        <f>(PartyCompare_1[[#This Row],[+1 Hard]]-INDEX(PartyCompare_0[+1 Hard], MATCH(PartyCompare_1[[#This Row],[Mob Size]],PartyCompare_1[Mob Size],0)))/INDEX(PartyCompare_0[+1 Hard], MATCH(PartyCompare_1[[#This Row],[Mob Size]],PartyCompare_1[Mob Size],0))</f>
        <v>0.125</v>
      </c>
      <c r="AR17" s="34">
        <f>(PartyCompare_1[[#This Row],[+1 Deadly]]-INDEX(PartyCompare_0[+1 Deadly], MATCH(PartyCompare_1[[#This Row],[Mob Size]],PartyCompare_1[Mob Size],0)))/INDEX(PartyCompare_0[+1 Deadly], MATCH(PartyCompare_1[[#This Row],[Mob Size]],PartyCompare_1[Mob Size],0))</f>
        <v>0.31249999999999989</v>
      </c>
      <c r="AS17" s="48">
        <f>AVERAGE(PartyCompare_1[[#This Row],[+1 Easy Deviation]:[+1 Deadly Deviation]])</f>
        <v>0.17187499999999994</v>
      </c>
      <c r="AT17" s="36">
        <f>IF(ISNUMBER(PartyCompare_1[[#This Row],[Level]]), PartyCompare_1[[#This Row],[Level]]+2, PartyCompare_1[[#This Row],[Level]])</f>
        <v>0</v>
      </c>
      <c r="AU17" s="36">
        <f>INDEX(Encounter_Diff[Easy], MATCH(PartyCompare_1[[#This Row],[+2 Level]],Encounter_Diff[Player Level],0))</f>
        <v>0</v>
      </c>
      <c r="AV17" s="36">
        <f>INDEX(Encounter_Diff[Medium], MATCH(PartyCompare_1[[#This Row],[+2 Level]],Encounter_Diff[Player Level],0))</f>
        <v>0</v>
      </c>
      <c r="AW17" s="36">
        <f>INDEX(Encounter_Diff[Hard], MATCH(PartyCompare_1[[#This Row],[+2 Level]],Encounter_Diff[Player Level],0))</f>
        <v>0</v>
      </c>
      <c r="AX17" s="36">
        <f>INDEX(Encounter_Diff[Deadly], MATCH(PartyCompare_1[[#This Row],[+2 Level]],Encounter_Diff[Player Level],0))</f>
        <v>0</v>
      </c>
      <c r="AY17" s="63">
        <f>SUM(PartyCompare_1[+2 (Easy)])/INDEX(Encounter_Mod[[Small]:[Large]], MATCH(PartyCompare_1[[#This Row],[Mob Size]], Encounter_Mod[Type], 0), MATCH(PartyCompare_1[[#This Row],[Party Size]],Encounter_Mod[[#Headers],[Small]:[Large]],0))</f>
        <v>87.5</v>
      </c>
      <c r="AZ17" s="38">
        <f>SUM(PartyCompare_1[+2 (Medium)])/INDEX(Encounter_Mod[[Small]:[Large]], MATCH(PartyCompare_1[[#This Row],[Mob Size]], Encounter_Mod[Type], 0), MATCH(PartyCompare_1[[#This Row],[Party Size]],Encounter_Mod[[#Headers],[Small]:[Large]],0))</f>
        <v>187.5</v>
      </c>
      <c r="BA17" s="38">
        <f>SUM(PartyCompare_1[+2 (Hard)])/INDEX(Encounter_Mod[[Small]:[Large]], MATCH(PartyCompare_1[[#This Row],[Mob Size]], Encounter_Mod[Type], 0), MATCH(PartyCompare_1[[#This Row],[Party Size]],Encounter_Mod[[#Headers],[Small]:[Large]],0))</f>
        <v>275</v>
      </c>
      <c r="BB17" s="38">
        <f>SUM(PartyCompare_1[+2 (Deadly)])/INDEX(Encounter_Mod[[Small]:[Large]], MATCH(PartyCompare_1[[#This Row],[Mob Size]], Encounter_Mod[Type], 0), MATCH(PartyCompare_1[[#This Row],[Party Size]],Encounter_Mod[[#Headers],[Small]:[Large]],0))</f>
        <v>425</v>
      </c>
      <c r="BC17" s="46">
        <f>(PartyCompare_1[[#This Row],[+2 Easy]]-INDEX(PartyCompare_0[+2 Easy], MATCH(PartyCompare_1[[#This Row],[Mob Size]],PartyCompare_1[Mob Size],0)))/INDEX(PartyCompare_0[+2 Easy], MATCH(PartyCompare_1[[#This Row],[Mob Size]],PartyCompare_1[Mob Size],0))</f>
        <v>-0.125</v>
      </c>
      <c r="BD17" s="39">
        <f>(PartyCompare_1[[#This Row],[+2 Medium]]-INDEX(PartyCompare_0[+2 Medium], MATCH(PartyCompare_1[[#This Row],[Mob Size]],PartyCompare_1[Mob Size],0)))/INDEX(PartyCompare_0[+2 Medium], MATCH(PartyCompare_1[[#This Row],[Mob Size]],PartyCompare_1[Mob Size],0))</f>
        <v>-6.25E-2</v>
      </c>
      <c r="BE17" s="39">
        <f>(PartyCompare_1[[#This Row],[+2 Hard]]-INDEX(PartyCompare_0[+2 Hard], MATCH(PartyCompare_1[[#This Row],[Mob Size]],PartyCompare_1[Mob Size],0)))/INDEX(PartyCompare_0[+2 Hard], MATCH(PartyCompare_1[[#This Row],[Mob Size]],PartyCompare_1[Mob Size],0))</f>
        <v>-8.3333333333333329E-2</v>
      </c>
      <c r="BF17" s="34">
        <f>(PartyCompare_1[[#This Row],[+2 Deadly]]-INDEX(PartyCompare_0[+2 Deadly], MATCH(PartyCompare_1[[#This Row],[Mob Size]],PartyCompare_1[Mob Size],0)))/INDEX(PartyCompare_0[+2 Deadly], MATCH(PartyCompare_1[[#This Row],[Mob Size]],PartyCompare_1[Mob Size],0))</f>
        <v>-0.20312500000000006</v>
      </c>
      <c r="BG17" s="48">
        <f>AVERAGE(PartyCompare_1[[#This Row],[+2 Easy Deviation]:[+2 Deadly Deviation]])</f>
        <v>-0.11848958333333334</v>
      </c>
      <c r="BH17" s="36">
        <f>IF(ISNUMBER(PartyCompare_1[[#This Row],[Level]]), PartyCompare_1[[#This Row],[Level]]+3, PartyCompare_1[[#This Row],[Level]])</f>
        <v>0</v>
      </c>
      <c r="BI17" s="36">
        <f>INDEX(Encounter_Diff[Easy], MATCH(PartyCompare_1[[#This Row],[+3 Level]],Encounter_Diff[Player Level],0))</f>
        <v>0</v>
      </c>
      <c r="BJ17" s="36">
        <f>INDEX(Encounter_Diff[Medium], MATCH(PartyCompare_1[[#This Row],[+3 Level]],Encounter_Diff[Player Level],0))</f>
        <v>0</v>
      </c>
      <c r="BK17" s="36">
        <f>INDEX(Encounter_Diff[Hard], MATCH(PartyCompare_1[[#This Row],[+3 Level]],Encounter_Diff[Player Level],0))</f>
        <v>0</v>
      </c>
      <c r="BL17" s="36">
        <f>INDEX(Encounter_Diff[Deadly], MATCH(PartyCompare_1[[#This Row],[+3 Level]],Encounter_Diff[Player Level],0))</f>
        <v>0</v>
      </c>
      <c r="BM17" s="63">
        <f>SUM(PartyCompare_1[+3 (Easy)])/INDEX(Encounter_Mod[[Small]:[Large]], MATCH(PartyCompare_1[[#This Row],[Mob Size]], Encounter_Mod[Type], 0), MATCH(PartyCompare_1[[#This Row],[Party Size]],Encounter_Mod[[#Headers],[Small]:[Large]],0))</f>
        <v>112.5</v>
      </c>
      <c r="BN17" s="38">
        <f>SUM(PartyCompare_1[+3 (Medium)])/INDEX(Encounter_Mod[[Small]:[Large]], MATCH(PartyCompare_1[[#This Row],[Mob Size]], Encounter_Mod[Type], 0), MATCH(PartyCompare_1[[#This Row],[Party Size]],Encounter_Mod[[#Headers],[Small]:[Large]],0))</f>
        <v>225</v>
      </c>
      <c r="BO17" s="38">
        <f>SUM(PartyCompare_1[+3 (Hard)])/INDEX(Encounter_Mod[[Small]:[Large]], MATCH(PartyCompare_1[[#This Row],[Mob Size]], Encounter_Mod[Type], 0), MATCH(PartyCompare_1[[#This Row],[Party Size]],Encounter_Mod[[#Headers],[Small]:[Large]],0))</f>
        <v>350</v>
      </c>
      <c r="BP17" s="38">
        <f>SUM(PartyCompare_1[+3 (Deadly)])/INDEX(Encounter_Mod[[Small]:[Large]], MATCH(PartyCompare_1[[#This Row],[Mob Size]], Encounter_Mod[Type], 0), MATCH(PartyCompare_1[[#This Row],[Party Size]],Encounter_Mod[[#Headers],[Small]:[Large]],0))</f>
        <v>525</v>
      </c>
      <c r="BQ17" s="46">
        <f>(PartyCompare_1[[#This Row],[+3 Easy]]-INDEX(PartyCompare_0[+3 Easy], MATCH(PartyCompare_1[[#This Row],[Mob Size]],PartyCompare_1[Mob Size],0)))/INDEX(PartyCompare_0[+3 Easy], MATCH(PartyCompare_1[[#This Row],[Mob Size]],PartyCompare_1[Mob Size],0))</f>
        <v>-0.32499999999999996</v>
      </c>
      <c r="BR17" s="39">
        <f>(PartyCompare_1[[#This Row],[+3 Medium]]-INDEX(PartyCompare_0[+3 Medium], MATCH(PartyCompare_1[[#This Row],[Mob Size]],PartyCompare_1[Mob Size],0)))/INDEX(PartyCompare_0[+3 Medium], MATCH(PartyCompare_1[[#This Row],[Mob Size]],PartyCompare_1[Mob Size],0))</f>
        <v>-0.32499999999999996</v>
      </c>
      <c r="BS17" s="39">
        <f>(PartyCompare_1[[#This Row],[+3 Hard]]-INDEX(PartyCompare_0[+3 Hard], MATCH(PartyCompare_1[[#This Row],[Mob Size]],PartyCompare_1[Mob Size],0)))/INDEX(PartyCompare_0[+3 Hard], MATCH(PartyCompare_1[[#This Row],[Mob Size]],PartyCompare_1[Mob Size],0))</f>
        <v>-0.3</v>
      </c>
      <c r="BT17" s="34">
        <f>(PartyCompare_1[[#This Row],[+3 Deadly]]-INDEX(PartyCompare_0[+3 Deadly], MATCH(PartyCompare_1[[#This Row],[Mob Size]],PartyCompare_1[Mob Size],0)))/INDEX(PartyCompare_0[+3 Deadly], MATCH(PartyCompare_1[[#This Row],[Mob Size]],PartyCompare_1[Mob Size],0))</f>
        <v>-0.21249999999999997</v>
      </c>
      <c r="BU17" s="48">
        <f>AVERAGE(PartyCompare_1[[#This Row],[+3 Easy Deviation]:[+3 Deadly Deviation]])</f>
        <v>-0.29062499999999997</v>
      </c>
      <c r="BV17" s="36">
        <f>IF(ISNUMBER(PartyCompare_1[[#This Row],[Level]]), PartyCompare_1[[#This Row],[Level]]+4, PartyCompare_1[[#This Row],[Level]])</f>
        <v>0</v>
      </c>
      <c r="BW17" s="36">
        <f>INDEX(Encounter_Diff[Easy], MATCH(PartyCompare_1[[#This Row],[+4 Level]],Encounter_Diff[Player Level],0))</f>
        <v>0</v>
      </c>
      <c r="BX17" s="36">
        <f>INDEX(Encounter_Diff[Medium], MATCH(PartyCompare_1[[#This Row],[+4 Level]],Encounter_Diff[Player Level],0))</f>
        <v>0</v>
      </c>
      <c r="BY17" s="36">
        <f>INDEX(Encounter_Diff[Hard], MATCH(PartyCompare_1[[#This Row],[+4 Level]],Encounter_Diff[Player Level],0))</f>
        <v>0</v>
      </c>
      <c r="BZ17" s="36">
        <f>INDEX(Encounter_Diff[Deadly], MATCH(PartyCompare_1[[#This Row],[+4 Level]],Encounter_Diff[Player Level],0))</f>
        <v>0</v>
      </c>
      <c r="CA17" s="63">
        <f>SUM(PartyCompare_1[+4 (Easy)])/INDEX(Encounter_Mod[[Small]:[Large]], MATCH(PartyCompare_1[[#This Row],[Mob Size]], Encounter_Mod[Type], 0), MATCH(PartyCompare_1[[#This Row],[Party Size]],Encounter_Mod[[#Headers],[Small]:[Large]],0))</f>
        <v>137.5</v>
      </c>
      <c r="CB17" s="38">
        <f>SUM(PartyCompare_1[+4 (Medium)])/INDEX(Encounter_Mod[[Small]:[Large]], MATCH(PartyCompare_1[[#This Row],[Mob Size]], Encounter_Mod[Type], 0), MATCH(PartyCompare_1[[#This Row],[Party Size]],Encounter_Mod[[#Headers],[Small]:[Large]],0))</f>
        <v>275</v>
      </c>
      <c r="CC17" s="38">
        <f>SUM(PartyCompare_1[+4 (Hard)])/INDEX(Encounter_Mod[[Small]:[Large]], MATCH(PartyCompare_1[[#This Row],[Mob Size]], Encounter_Mod[Type], 0), MATCH(PartyCompare_1[[#This Row],[Party Size]],Encounter_Mod[[#Headers],[Small]:[Large]],0))</f>
        <v>400</v>
      </c>
      <c r="CD17" s="38">
        <f>SUM(PartyCompare_1[+4 (Deadly)])/INDEX(Encounter_Mod[[Small]:[Large]], MATCH(PartyCompare_1[[#This Row],[Mob Size]], Encounter_Mod[Type], 0), MATCH(PartyCompare_1[[#This Row],[Party Size]],Encounter_Mod[[#Headers],[Small]:[Large]],0))</f>
        <v>600</v>
      </c>
      <c r="CE17" s="46">
        <f>(PartyCompare_1[[#This Row],[+4 Easy]]-INDEX(PartyCompare_0[+4 Easy], MATCH(PartyCompare_1[[#This Row],[Mob Size]],PartyCompare_1[Mob Size],0)))/INDEX(PartyCompare_0[+4 Easy], MATCH(PartyCompare_1[[#This Row],[Mob Size]],PartyCompare_1[Mob Size],0))</f>
        <v>-0.58750000000000002</v>
      </c>
      <c r="CF17" s="39">
        <f>(PartyCompare_1[[#This Row],[+4 Medium]]-INDEX(PartyCompare_0[+4 Medium], MATCH(PartyCompare_1[[#This Row],[Mob Size]],PartyCompare_1[Mob Size],0)))/INDEX(PartyCompare_0[+4 Medium], MATCH(PartyCompare_1[[#This Row],[Mob Size]],PartyCompare_1[Mob Size],0))</f>
        <v>-0.58750000000000002</v>
      </c>
      <c r="CG17" s="39">
        <f>(PartyCompare_1[[#This Row],[+4 Hard]]-INDEX(PartyCompare_0[+4 Hard], MATCH(PartyCompare_1[[#This Row],[Mob Size]],PartyCompare_1[Mob Size],0)))/INDEX(PartyCompare_0[+4 Hard], MATCH(PartyCompare_1[[#This Row],[Mob Size]],PartyCompare_1[Mob Size],0))</f>
        <v>-0.6</v>
      </c>
      <c r="CH17" s="34">
        <f>(PartyCompare_1[[#This Row],[+4 Deadly]]-INDEX(PartyCompare_0[+4 Deadly], MATCH(PartyCompare_1[[#This Row],[Mob Size]],PartyCompare_1[Mob Size],0)))/INDEX(PartyCompare_0[+4 Deadly], MATCH(PartyCompare_1[[#This Row],[Mob Size]],PartyCompare_1[Mob Size],0))</f>
        <v>-0.59090909090909094</v>
      </c>
      <c r="CI17" s="48">
        <f>AVERAGE(PartyCompare_1[[#This Row],[+4 Easy Deviation]:[+4 Deadly Deviation]])</f>
        <v>-0.59147727272727268</v>
      </c>
    </row>
    <row r="18" spans="2:87" x14ac:dyDescent="0.2">
      <c r="B18"/>
      <c r="C18"/>
      <c r="D18"/>
      <c r="E18"/>
      <c r="F18"/>
      <c r="G18"/>
      <c r="H18"/>
      <c r="I18"/>
      <c r="J18"/>
      <c r="L18" s="233"/>
      <c r="M18" s="91"/>
      <c r="N18" s="90"/>
      <c r="O18" s="32">
        <f>INDEX(Encounter_Diff[Easy], MATCH(PartyCompare_1[[#This Row],[Level]],Encounter_Diff[Player Level],0))</f>
        <v>0</v>
      </c>
      <c r="P18" s="32">
        <f>INDEX(Encounter_Diff[Medium], MATCH(PartyCompare_1[[#This Row],[Level]],Encounter_Diff[Player Level],0))</f>
        <v>0</v>
      </c>
      <c r="Q18" s="32">
        <f>INDEX(Encounter_Diff[Hard], MATCH(PartyCompare_1[[#This Row],[Level]],Encounter_Diff[Player Level],0))</f>
        <v>0</v>
      </c>
      <c r="R18" s="30">
        <f>INDEX(Encounter_Diff[Deadly], MATCH(PartyCompare_1[[#This Row],[Level]],Encounter_Diff[Player Level],0))</f>
        <v>0</v>
      </c>
      <c r="S18" s="97">
        <f t="shared" si="1"/>
        <v>5</v>
      </c>
      <c r="T18" s="32" t="str">
        <f>IF(COUNT(PartyCompare_1[Level])&lt;=2,"Small", IF(COUNT(PartyCompare_1[Level])&lt;=5,"Med", IF(COUNT(PartyCompare_1[Level])&lt;=8, "Large", "TOO BIG!")))</f>
        <v>Small</v>
      </c>
      <c r="U18" s="73" t="s">
        <v>112</v>
      </c>
      <c r="V18" s="77" t="str">
        <f>INDEX(Encounter_Mod[Count], MATCH(PartyCompare_1[[#This Row],[Mob Size]], Encounter_Mod[Type],0))</f>
        <v>15+</v>
      </c>
      <c r="W18" s="81">
        <f>SUM(PartyCompare_1[(Easy)])/INDEX(Encounter_Mod[[Small]:[Large]], MATCH(PartyCompare_1[[#This Row],[Mob Size]], Encounter_Mod[Type], 0), MATCH(PartyCompare_1[[#This Row],[Party Size]],Encounter_Mod[[#Headers],[Small]:[Large]],0))</f>
        <v>50</v>
      </c>
      <c r="X18" s="42">
        <f>SUM(PartyCompare_1[(Medium)])/INDEX(Encounter_Mod[[Small]:[Large]], MATCH(PartyCompare_1[[#This Row],[Mob Size]], Encounter_Mod[Type], 0), MATCH(PartyCompare_1[[#This Row],[Party Size]],Encounter_Mod[[#Headers],[Small]:[Large]],0))</f>
        <v>100</v>
      </c>
      <c r="Y18" s="42">
        <f>SUM(PartyCompare_1[(Hard)])/INDEX(Encounter_Mod[[Small]:[Large]], MATCH(PartyCompare_1[[#This Row],[Mob Size]], Encounter_Mod[Type], 0), MATCH(PartyCompare_1[[#This Row],[Party Size]],Encounter_Mod[[#Headers],[Small]:[Large]],0))</f>
        <v>150</v>
      </c>
      <c r="Z18" s="43">
        <f>SUM(PartyCompare_1[(Deadly)])/INDEX(Encounter_Mod[[Small]:[Large]], MATCH(PartyCompare_1[[#This Row],[Mob Size]], Encounter_Mod[Type], 0), MATCH(PartyCompare_1[[#This Row],[Party Size]],Encounter_Mod[[#Headers],[Small]:[Large]],0))</f>
        <v>220</v>
      </c>
      <c r="AA18" s="46">
        <f>(PartyCompare_1[[#This Row],[Easy]]-INDEX(PartyCompare_0[Easy], MATCH(PartyCompare_1[[#This Row],[Mob Size]],PartyCompare_0[Mob Size],0)))/INDEX(PartyCompare_0[Easy], MATCH(PartyCompare_1[[#This Row],[Mob Size]],PartyCompare_0[Mob Size],0))</f>
        <v>1</v>
      </c>
      <c r="AB18" s="33">
        <f>(PartyCompare_1[[#This Row],[Medium]]-INDEX(PartyCompare_0[Medium], MATCH(PartyCompare_1[[#This Row],[Mob Size]],PartyCompare_0[Mob Size],0)))/INDEX(PartyCompare_0[Medium], MATCH(PartyCompare_1[[#This Row],[Mob Size]],PartyCompare_0[Mob Size],0))</f>
        <v>1</v>
      </c>
      <c r="AC18" s="33">
        <f>(PartyCompare_1[[#This Row],[Hard]]-INDEX(PartyCompare_0[Hard], MATCH(PartyCompare_1[[#This Row],[Mob Size]],PartyCompare_0[Mob Size],0)))/INDEX(PartyCompare_0[Hard], MATCH(PartyCompare_1[[#This Row],[Mob Size]],PartyCompare_0[Mob Size],0))</f>
        <v>1</v>
      </c>
      <c r="AD18" s="34">
        <f>(PartyCompare_1[[#This Row],[Deadly]]-INDEX(PartyCompare_0[Deadly], MATCH(PartyCompare_1[[#This Row],[Mob Size]],PartyCompare_0[Mob Size],0)))/INDEX(PartyCompare_0[Deadly], MATCH(PartyCompare_1[[#This Row],[Mob Size]],PartyCompare_0[Mob Size],0))</f>
        <v>1.2</v>
      </c>
      <c r="AE18" s="48">
        <f>AVERAGE(PartyCompare_1[[#This Row],[Easy Deviation]:[Deadly Deviation]])</f>
        <v>1.05</v>
      </c>
      <c r="AF18" s="36">
        <f>IF(ISNUMBER(PartyCompare_1[[#This Row],[Level]]), PartyCompare_1[[#This Row],[Level]]+1, PartyCompare_1[[#This Row],[Level]])</f>
        <v>0</v>
      </c>
      <c r="AG18" s="36">
        <f>INDEX(Encounter_Diff[Easy], MATCH(PartyCompare_1[[#This Row],[+1 Level]],Encounter_Diff[Player Level],0))</f>
        <v>0</v>
      </c>
      <c r="AH18" s="36">
        <f>INDEX(Encounter_Diff[Medium], MATCH(PartyCompare_1[[#This Row],[+1 Level]],Encounter_Diff[Player Level],0))</f>
        <v>0</v>
      </c>
      <c r="AI18" s="36">
        <f>INDEX(Encounter_Diff[Hard], MATCH(PartyCompare_1[[#This Row],[+1 Level]],Encounter_Diff[Player Level],0))</f>
        <v>0</v>
      </c>
      <c r="AJ18" s="36">
        <f>INDEX(Encounter_Diff[Deadly], MATCH(PartyCompare_1[[#This Row],[+1 Level]],Encounter_Diff[Player Level],0))</f>
        <v>0</v>
      </c>
      <c r="AK18" s="63">
        <f>SUM(PartyCompare_1[+1 (Easy)])/INDEX(Encounter_Mod[[Small]:[Large]], MATCH(PartyCompare_1[[#This Row],[Mob Size]], Encounter_Mod[Type], 0), MATCH(PartyCompare_1[[#This Row],[Party Size]],Encounter_Mod[[#Headers],[Small]:[Large]],0))</f>
        <v>60</v>
      </c>
      <c r="AL18" s="38">
        <f>SUM(PartyCompare_1[+1 (Medium)])/INDEX(Encounter_Mod[[Small]:[Large]], MATCH(PartyCompare_1[[#This Row],[Mob Size]], Encounter_Mod[Type], 0), MATCH(PartyCompare_1[[#This Row],[Party Size]],Encounter_Mod[[#Headers],[Small]:[Large]],0))</f>
        <v>120</v>
      </c>
      <c r="AM18" s="38">
        <f>SUM(PartyCompare_1[+1 (Hard)])/INDEX(Encounter_Mod[[Small]:[Large]], MATCH(PartyCompare_1[[#This Row],[Mob Size]], Encounter_Mod[Type], 0), MATCH(PartyCompare_1[[#This Row],[Party Size]],Encounter_Mod[[#Headers],[Small]:[Large]],0))</f>
        <v>180</v>
      </c>
      <c r="AN18" s="38">
        <f>SUM(PartyCompare_1[+1 (Deadly)])/INDEX(Encounter_Mod[[Small]:[Large]], MATCH(PartyCompare_1[[#This Row],[Mob Size]], Encounter_Mod[Type], 0), MATCH(PartyCompare_1[[#This Row],[Party Size]],Encounter_Mod[[#Headers],[Small]:[Large]],0))</f>
        <v>280</v>
      </c>
      <c r="AO18" s="46">
        <f>(PartyCompare_1[[#This Row],[+1 Easy]]-INDEX(PartyCompare_0[+1 Easy], MATCH(PartyCompare_1[[#This Row],[Mob Size]],PartyCompare_1[Mob Size],0)))/INDEX(PartyCompare_0[+1 Easy], MATCH(PartyCompare_1[[#This Row],[Mob Size]],PartyCompare_1[Mob Size],0))</f>
        <v>0.2</v>
      </c>
      <c r="AP18" s="39">
        <f>(PartyCompare_1[[#This Row],[+1 Medium]]-INDEX(PartyCompare_0[+1 Medium], MATCH(PartyCompare_1[[#This Row],[Mob Size]],PartyCompare_1[Mob Size],0)))/INDEX(PartyCompare_0[+1 Medium], MATCH(PartyCompare_1[[#This Row],[Mob Size]],PartyCompare_1[Mob Size],0))</f>
        <v>0.2</v>
      </c>
      <c r="AQ18" s="39">
        <f>(PartyCompare_1[[#This Row],[+1 Hard]]-INDEX(PartyCompare_0[+1 Hard], MATCH(PartyCompare_1[[#This Row],[Mob Size]],PartyCompare_1[Mob Size],0)))/INDEX(PartyCompare_0[+1 Hard], MATCH(PartyCompare_1[[#This Row],[Mob Size]],PartyCompare_1[Mob Size],0))</f>
        <v>0.2</v>
      </c>
      <c r="AR18" s="34">
        <f>(PartyCompare_1[[#This Row],[+1 Deadly]]-INDEX(PartyCompare_0[+1 Deadly], MATCH(PartyCompare_1[[#This Row],[Mob Size]],PartyCompare_1[Mob Size],0)))/INDEX(PartyCompare_0[+1 Deadly], MATCH(PartyCompare_1[[#This Row],[Mob Size]],PartyCompare_1[Mob Size],0))</f>
        <v>0.4</v>
      </c>
      <c r="AS18" s="48">
        <f>AVERAGE(PartyCompare_1[[#This Row],[+1 Easy Deviation]:[+1 Deadly Deviation]])</f>
        <v>0.25</v>
      </c>
      <c r="AT18" s="36">
        <f>IF(ISNUMBER(PartyCompare_1[[#This Row],[Level]]), PartyCompare_1[[#This Row],[Level]]+2, PartyCompare_1[[#This Row],[Level]])</f>
        <v>0</v>
      </c>
      <c r="AU18" s="36">
        <f>INDEX(Encounter_Diff[Easy], MATCH(PartyCompare_1[[#This Row],[+2 Level]],Encounter_Diff[Player Level],0))</f>
        <v>0</v>
      </c>
      <c r="AV18" s="36">
        <f>INDEX(Encounter_Diff[Medium], MATCH(PartyCompare_1[[#This Row],[+2 Level]],Encounter_Diff[Player Level],0))</f>
        <v>0</v>
      </c>
      <c r="AW18" s="36">
        <f>INDEX(Encounter_Diff[Hard], MATCH(PartyCompare_1[[#This Row],[+2 Level]],Encounter_Diff[Player Level],0))</f>
        <v>0</v>
      </c>
      <c r="AX18" s="36">
        <f>INDEX(Encounter_Diff[Deadly], MATCH(PartyCompare_1[[#This Row],[+2 Level]],Encounter_Diff[Player Level],0))</f>
        <v>0</v>
      </c>
      <c r="AY18" s="63">
        <f>SUM(PartyCompare_1[+2 (Easy)])/INDEX(Encounter_Mod[[Small]:[Large]], MATCH(PartyCompare_1[[#This Row],[Mob Size]], Encounter_Mod[Type], 0), MATCH(PartyCompare_1[[#This Row],[Party Size]],Encounter_Mod[[#Headers],[Small]:[Large]],0))</f>
        <v>70</v>
      </c>
      <c r="AZ18" s="38">
        <f>SUM(PartyCompare_1[+2 (Medium)])/INDEX(Encounter_Mod[[Small]:[Large]], MATCH(PartyCompare_1[[#This Row],[Mob Size]], Encounter_Mod[Type], 0), MATCH(PartyCompare_1[[#This Row],[Party Size]],Encounter_Mod[[#Headers],[Small]:[Large]],0))</f>
        <v>150</v>
      </c>
      <c r="BA18" s="38">
        <f>SUM(PartyCompare_1[+2 (Hard)])/INDEX(Encounter_Mod[[Small]:[Large]], MATCH(PartyCompare_1[[#This Row],[Mob Size]], Encounter_Mod[Type], 0), MATCH(PartyCompare_1[[#This Row],[Party Size]],Encounter_Mod[[#Headers],[Small]:[Large]],0))</f>
        <v>220</v>
      </c>
      <c r="BB18" s="38">
        <f>SUM(PartyCompare_1[+2 (Deadly)])/INDEX(Encounter_Mod[[Small]:[Large]], MATCH(PartyCompare_1[[#This Row],[Mob Size]], Encounter_Mod[Type], 0), MATCH(PartyCompare_1[[#This Row],[Party Size]],Encounter_Mod[[#Headers],[Small]:[Large]],0))</f>
        <v>340</v>
      </c>
      <c r="BC18" s="46">
        <f>(PartyCompare_1[[#This Row],[+2 Easy]]-INDEX(PartyCompare_0[+2 Easy], MATCH(PartyCompare_1[[#This Row],[Mob Size]],PartyCompare_1[Mob Size],0)))/INDEX(PartyCompare_0[+2 Easy], MATCH(PartyCompare_1[[#This Row],[Mob Size]],PartyCompare_1[Mob Size],0))</f>
        <v>-6.6666666666666666E-2</v>
      </c>
      <c r="BD18" s="39">
        <f>(PartyCompare_1[[#This Row],[+2 Medium]]-INDEX(PartyCompare_0[+2 Medium], MATCH(PartyCompare_1[[#This Row],[Mob Size]],PartyCompare_1[Mob Size],0)))/INDEX(PartyCompare_0[+2 Medium], MATCH(PartyCompare_1[[#This Row],[Mob Size]],PartyCompare_1[Mob Size],0))</f>
        <v>0</v>
      </c>
      <c r="BE18" s="39">
        <f>(PartyCompare_1[[#This Row],[+2 Hard]]-INDEX(PartyCompare_0[+2 Hard], MATCH(PartyCompare_1[[#This Row],[Mob Size]],PartyCompare_1[Mob Size],0)))/INDEX(PartyCompare_0[+2 Hard], MATCH(PartyCompare_1[[#This Row],[Mob Size]],PartyCompare_1[Mob Size],0))</f>
        <v>-2.2222222222222223E-2</v>
      </c>
      <c r="BF18" s="34">
        <f>(PartyCompare_1[[#This Row],[+2 Deadly]]-INDEX(PartyCompare_0[+2 Deadly], MATCH(PartyCompare_1[[#This Row],[Mob Size]],PartyCompare_1[Mob Size],0)))/INDEX(PartyCompare_0[+2 Deadly], MATCH(PartyCompare_1[[#This Row],[Mob Size]],PartyCompare_1[Mob Size],0))</f>
        <v>-0.15</v>
      </c>
      <c r="BG18" s="48">
        <f>AVERAGE(PartyCompare_1[[#This Row],[+2 Easy Deviation]:[+2 Deadly Deviation]])</f>
        <v>-5.9722222222222218E-2</v>
      </c>
      <c r="BH18" s="36">
        <f>IF(ISNUMBER(PartyCompare_1[[#This Row],[Level]]), PartyCompare_1[[#This Row],[Level]]+3, PartyCompare_1[[#This Row],[Level]])</f>
        <v>0</v>
      </c>
      <c r="BI18" s="36">
        <f>INDEX(Encounter_Diff[Easy], MATCH(PartyCompare_1[[#This Row],[+3 Level]],Encounter_Diff[Player Level],0))</f>
        <v>0</v>
      </c>
      <c r="BJ18" s="36">
        <f>INDEX(Encounter_Diff[Medium], MATCH(PartyCompare_1[[#This Row],[+3 Level]],Encounter_Diff[Player Level],0))</f>
        <v>0</v>
      </c>
      <c r="BK18" s="36">
        <f>INDEX(Encounter_Diff[Hard], MATCH(PartyCompare_1[[#This Row],[+3 Level]],Encounter_Diff[Player Level],0))</f>
        <v>0</v>
      </c>
      <c r="BL18" s="36">
        <f>INDEX(Encounter_Diff[Deadly], MATCH(PartyCompare_1[[#This Row],[+3 Level]],Encounter_Diff[Player Level],0))</f>
        <v>0</v>
      </c>
      <c r="BM18" s="63">
        <f>SUM(PartyCompare_1[+3 (Easy)])/INDEX(Encounter_Mod[[Small]:[Large]], MATCH(PartyCompare_1[[#This Row],[Mob Size]], Encounter_Mod[Type], 0), MATCH(PartyCompare_1[[#This Row],[Party Size]],Encounter_Mod[[#Headers],[Small]:[Large]],0))</f>
        <v>90</v>
      </c>
      <c r="BN18" s="38">
        <f>SUM(PartyCompare_1[+3 (Medium)])/INDEX(Encounter_Mod[[Small]:[Large]], MATCH(PartyCompare_1[[#This Row],[Mob Size]], Encounter_Mod[Type], 0), MATCH(PartyCompare_1[[#This Row],[Party Size]],Encounter_Mod[[#Headers],[Small]:[Large]],0))</f>
        <v>180</v>
      </c>
      <c r="BO18" s="38">
        <f>SUM(PartyCompare_1[+3 (Hard)])/INDEX(Encounter_Mod[[Small]:[Large]], MATCH(PartyCompare_1[[#This Row],[Mob Size]], Encounter_Mod[Type], 0), MATCH(PartyCompare_1[[#This Row],[Party Size]],Encounter_Mod[[#Headers],[Small]:[Large]],0))</f>
        <v>280</v>
      </c>
      <c r="BP18" s="38">
        <f>SUM(PartyCompare_1[+3 (Deadly)])/INDEX(Encounter_Mod[[Small]:[Large]], MATCH(PartyCompare_1[[#This Row],[Mob Size]], Encounter_Mod[Type], 0), MATCH(PartyCompare_1[[#This Row],[Party Size]],Encounter_Mod[[#Headers],[Small]:[Large]],0))</f>
        <v>420</v>
      </c>
      <c r="BQ18" s="46">
        <f>(PartyCompare_1[[#This Row],[+3 Easy]]-INDEX(PartyCompare_0[+3 Easy], MATCH(PartyCompare_1[[#This Row],[Mob Size]],PartyCompare_1[Mob Size],0)))/INDEX(PartyCompare_0[+3 Easy], MATCH(PartyCompare_1[[#This Row],[Mob Size]],PartyCompare_1[Mob Size],0))</f>
        <v>-0.28000000000000003</v>
      </c>
      <c r="BR18" s="39">
        <f>(PartyCompare_1[[#This Row],[+3 Medium]]-INDEX(PartyCompare_0[+3 Medium], MATCH(PartyCompare_1[[#This Row],[Mob Size]],PartyCompare_1[Mob Size],0)))/INDEX(PartyCompare_0[+3 Medium], MATCH(PartyCompare_1[[#This Row],[Mob Size]],PartyCompare_1[Mob Size],0))</f>
        <v>-0.28000000000000003</v>
      </c>
      <c r="BS18" s="39">
        <f>(PartyCompare_1[[#This Row],[+3 Hard]]-INDEX(PartyCompare_0[+3 Hard], MATCH(PartyCompare_1[[#This Row],[Mob Size]],PartyCompare_1[Mob Size],0)))/INDEX(PartyCompare_0[+3 Hard], MATCH(PartyCompare_1[[#This Row],[Mob Size]],PartyCompare_1[Mob Size],0))</f>
        <v>-0.25333333333333335</v>
      </c>
      <c r="BT18" s="34">
        <f>(PartyCompare_1[[#This Row],[+3 Deadly]]-INDEX(PartyCompare_0[+3 Deadly], MATCH(PartyCompare_1[[#This Row],[Mob Size]],PartyCompare_1[Mob Size],0)))/INDEX(PartyCompare_0[+3 Deadly], MATCH(PartyCompare_1[[#This Row],[Mob Size]],PartyCompare_1[Mob Size],0))</f>
        <v>-0.16</v>
      </c>
      <c r="BU18" s="48">
        <f>AVERAGE(PartyCompare_1[[#This Row],[+3 Easy Deviation]:[+3 Deadly Deviation]])</f>
        <v>-0.24333333333333337</v>
      </c>
      <c r="BV18" s="36">
        <f>IF(ISNUMBER(PartyCompare_1[[#This Row],[Level]]), PartyCompare_1[[#This Row],[Level]]+4, PartyCompare_1[[#This Row],[Level]])</f>
        <v>0</v>
      </c>
      <c r="BW18" s="36">
        <f>INDEX(Encounter_Diff[Easy], MATCH(PartyCompare_1[[#This Row],[+4 Level]],Encounter_Diff[Player Level],0))</f>
        <v>0</v>
      </c>
      <c r="BX18" s="36">
        <f>INDEX(Encounter_Diff[Medium], MATCH(PartyCompare_1[[#This Row],[+4 Level]],Encounter_Diff[Player Level],0))</f>
        <v>0</v>
      </c>
      <c r="BY18" s="36">
        <f>INDEX(Encounter_Diff[Hard], MATCH(PartyCompare_1[[#This Row],[+4 Level]],Encounter_Diff[Player Level],0))</f>
        <v>0</v>
      </c>
      <c r="BZ18" s="36">
        <f>INDEX(Encounter_Diff[Deadly], MATCH(PartyCompare_1[[#This Row],[+4 Level]],Encounter_Diff[Player Level],0))</f>
        <v>0</v>
      </c>
      <c r="CA18" s="63">
        <f>SUM(PartyCompare_1[+4 (Easy)])/INDEX(Encounter_Mod[[Small]:[Large]], MATCH(PartyCompare_1[[#This Row],[Mob Size]], Encounter_Mod[Type], 0), MATCH(PartyCompare_1[[#This Row],[Party Size]],Encounter_Mod[[#Headers],[Small]:[Large]],0))</f>
        <v>110</v>
      </c>
      <c r="CB18" s="38">
        <f>SUM(PartyCompare_1[+4 (Medium)])/INDEX(Encounter_Mod[[Small]:[Large]], MATCH(PartyCompare_1[[#This Row],[Mob Size]], Encounter_Mod[Type], 0), MATCH(PartyCompare_1[[#This Row],[Party Size]],Encounter_Mod[[#Headers],[Small]:[Large]],0))</f>
        <v>220</v>
      </c>
      <c r="CC18" s="38">
        <f>SUM(PartyCompare_1[+4 (Hard)])/INDEX(Encounter_Mod[[Small]:[Large]], MATCH(PartyCompare_1[[#This Row],[Mob Size]], Encounter_Mod[Type], 0), MATCH(PartyCompare_1[[#This Row],[Party Size]],Encounter_Mod[[#Headers],[Small]:[Large]],0))</f>
        <v>320</v>
      </c>
      <c r="CD18" s="38">
        <f>SUM(PartyCompare_1[+4 (Deadly)])/INDEX(Encounter_Mod[[Small]:[Large]], MATCH(PartyCompare_1[[#This Row],[Mob Size]], Encounter_Mod[Type], 0), MATCH(PartyCompare_1[[#This Row],[Party Size]],Encounter_Mod[[#Headers],[Small]:[Large]],0))</f>
        <v>480</v>
      </c>
      <c r="CE18" s="46">
        <f>(PartyCompare_1[[#This Row],[+4 Easy]]-INDEX(PartyCompare_0[+4 Easy], MATCH(PartyCompare_1[[#This Row],[Mob Size]],PartyCompare_1[Mob Size],0)))/INDEX(PartyCompare_0[+4 Easy], MATCH(PartyCompare_1[[#This Row],[Mob Size]],PartyCompare_1[Mob Size],0))</f>
        <v>-0.56000000000000005</v>
      </c>
      <c r="CF18" s="39">
        <f>(PartyCompare_1[[#This Row],[+4 Medium]]-INDEX(PartyCompare_0[+4 Medium], MATCH(PartyCompare_1[[#This Row],[Mob Size]],PartyCompare_1[Mob Size],0)))/INDEX(PartyCompare_0[+4 Medium], MATCH(PartyCompare_1[[#This Row],[Mob Size]],PartyCompare_1[Mob Size],0))</f>
        <v>-0.56000000000000005</v>
      </c>
      <c r="CG18" s="39">
        <f>(PartyCompare_1[[#This Row],[+4 Hard]]-INDEX(PartyCompare_0[+4 Hard], MATCH(PartyCompare_1[[#This Row],[Mob Size]],PartyCompare_1[Mob Size],0)))/INDEX(PartyCompare_0[+4 Hard], MATCH(PartyCompare_1[[#This Row],[Mob Size]],PartyCompare_1[Mob Size],0))</f>
        <v>-0.57333333333333336</v>
      </c>
      <c r="CH18" s="34">
        <f>(PartyCompare_1[[#This Row],[+4 Deadly]]-INDEX(PartyCompare_0[+4 Deadly], MATCH(PartyCompare_1[[#This Row],[Mob Size]],PartyCompare_1[Mob Size],0)))/INDEX(PartyCompare_0[+4 Deadly], MATCH(PartyCompare_1[[#This Row],[Mob Size]],PartyCompare_1[Mob Size],0))</f>
        <v>-0.5636363636363636</v>
      </c>
      <c r="CI18" s="48">
        <f>AVERAGE(PartyCompare_1[[#This Row],[+4 Easy Deviation]:[+4 Deadly Deviation]])</f>
        <v>-0.56424242424242421</v>
      </c>
    </row>
    <row r="19" spans="2:87" x14ac:dyDescent="0.2">
      <c r="B19"/>
      <c r="C19"/>
      <c r="D19"/>
      <c r="E19"/>
      <c r="F19"/>
      <c r="G19"/>
      <c r="H19"/>
      <c r="I19"/>
      <c r="J19"/>
      <c r="L19" s="233"/>
      <c r="M19" s="91"/>
      <c r="N19" s="90"/>
      <c r="O19" s="32">
        <f>INDEX(Encounter_Diff[Easy], MATCH(PartyCompare_1[[#This Row],[Level]],Encounter_Diff[Player Level],0))</f>
        <v>0</v>
      </c>
      <c r="P19" s="32">
        <f>INDEX(Encounter_Diff[Medium], MATCH(PartyCompare_1[[#This Row],[Level]],Encounter_Diff[Player Level],0))</f>
        <v>0</v>
      </c>
      <c r="Q19" s="32">
        <f>INDEX(Encounter_Diff[Hard], MATCH(PartyCompare_1[[#This Row],[Level]],Encounter_Diff[Player Level],0))</f>
        <v>0</v>
      </c>
      <c r="R19" s="30">
        <f>INDEX(Encounter_Diff[Deadly], MATCH(PartyCompare_1[[#This Row],[Level]],Encounter_Diff[Player Level],0))</f>
        <v>0</v>
      </c>
      <c r="S19" s="97">
        <f t="shared" si="1"/>
        <v>5</v>
      </c>
      <c r="T19" s="45" t="s">
        <v>139</v>
      </c>
      <c r="U19" s="74" t="s">
        <v>139</v>
      </c>
      <c r="V19" s="78" t="s">
        <v>139</v>
      </c>
      <c r="W19" s="82" t="s">
        <v>139</v>
      </c>
      <c r="X19" s="45" t="s">
        <v>139</v>
      </c>
      <c r="Y19" s="45" t="s">
        <v>139</v>
      </c>
      <c r="Z19" s="41" t="s">
        <v>139</v>
      </c>
      <c r="AA19" s="44" t="s">
        <v>139</v>
      </c>
      <c r="AB19" s="45" t="s">
        <v>139</v>
      </c>
      <c r="AC19" s="45" t="s">
        <v>139</v>
      </c>
      <c r="AD19" s="41" t="s">
        <v>139</v>
      </c>
      <c r="AE19" s="49" t="s">
        <v>139</v>
      </c>
      <c r="AF19" s="36">
        <f>IF(ISNUMBER(PartyCompare_1[[#This Row],[Level]]), PartyCompare_1[[#This Row],[Level]]+1, PartyCompare_1[[#This Row],[Level]])</f>
        <v>0</v>
      </c>
      <c r="AG19" s="36">
        <f>INDEX(Encounter_Diff[Easy], MATCH(PartyCompare_1[[#This Row],[+1 Level]],Encounter_Diff[Player Level],0))</f>
        <v>0</v>
      </c>
      <c r="AH19" s="36">
        <f>INDEX(Encounter_Diff[Medium], MATCH(PartyCompare_1[[#This Row],[+1 Level]],Encounter_Diff[Player Level],0))</f>
        <v>0</v>
      </c>
      <c r="AI19" s="36">
        <f>INDEX(Encounter_Diff[Hard], MATCH(PartyCompare_1[[#This Row],[+1 Level]],Encounter_Diff[Player Level],0))</f>
        <v>0</v>
      </c>
      <c r="AJ19" s="36">
        <f>INDEX(Encounter_Diff[Deadly], MATCH(PartyCompare_1[[#This Row],[+1 Level]],Encounter_Diff[Player Level],0))</f>
        <v>0</v>
      </c>
      <c r="AK19" s="44" t="s">
        <v>139</v>
      </c>
      <c r="AL19" s="37" t="s">
        <v>139</v>
      </c>
      <c r="AM19" s="37" t="s">
        <v>139</v>
      </c>
      <c r="AN19" s="45" t="s">
        <v>139</v>
      </c>
      <c r="AO19" s="44" t="s">
        <v>139</v>
      </c>
      <c r="AP19" s="37" t="s">
        <v>139</v>
      </c>
      <c r="AQ19" s="37" t="s">
        <v>139</v>
      </c>
      <c r="AR19" s="41" t="s">
        <v>139</v>
      </c>
      <c r="AS19" s="49" t="s">
        <v>139</v>
      </c>
      <c r="AT19" s="36">
        <f>IF(ISNUMBER(PartyCompare_1[[#This Row],[Level]]), PartyCompare_1[[#This Row],[Level]]+2, PartyCompare_1[[#This Row],[Level]])</f>
        <v>0</v>
      </c>
      <c r="AU19" s="36">
        <f>INDEX(Encounter_Diff[Easy], MATCH(PartyCompare_1[[#This Row],[+2 Level]],Encounter_Diff[Player Level],0))</f>
        <v>0</v>
      </c>
      <c r="AV19" s="36">
        <f>INDEX(Encounter_Diff[Medium], MATCH(PartyCompare_1[[#This Row],[+2 Level]],Encounter_Diff[Player Level],0))</f>
        <v>0</v>
      </c>
      <c r="AW19" s="36">
        <f>INDEX(Encounter_Diff[Hard], MATCH(PartyCompare_1[[#This Row],[+2 Level]],Encounter_Diff[Player Level],0))</f>
        <v>0</v>
      </c>
      <c r="AX19" s="36">
        <f>INDEX(Encounter_Diff[Deadly], MATCH(PartyCompare_1[[#This Row],[+2 Level]],Encounter_Diff[Player Level],0))</f>
        <v>0</v>
      </c>
      <c r="AY19" s="44" t="s">
        <v>139</v>
      </c>
      <c r="AZ19" s="37" t="s">
        <v>139</v>
      </c>
      <c r="BA19" s="37" t="s">
        <v>139</v>
      </c>
      <c r="BB19" s="45" t="s">
        <v>139</v>
      </c>
      <c r="BC19" s="44" t="s">
        <v>139</v>
      </c>
      <c r="BD19" s="37" t="s">
        <v>139</v>
      </c>
      <c r="BE19" s="37" t="s">
        <v>139</v>
      </c>
      <c r="BF19" s="41" t="s">
        <v>139</v>
      </c>
      <c r="BG19" s="49" t="s">
        <v>139</v>
      </c>
      <c r="BH19" s="36">
        <f>IF(ISNUMBER(PartyCompare_1[[#This Row],[Level]]), PartyCompare_1[[#This Row],[Level]]+3, PartyCompare_1[[#This Row],[Level]])</f>
        <v>0</v>
      </c>
      <c r="BI19" s="36">
        <f>INDEX(Encounter_Diff[Easy], MATCH(PartyCompare_1[[#This Row],[+3 Level]],Encounter_Diff[Player Level],0))</f>
        <v>0</v>
      </c>
      <c r="BJ19" s="36">
        <f>INDEX(Encounter_Diff[Medium], MATCH(PartyCompare_1[[#This Row],[+3 Level]],Encounter_Diff[Player Level],0))</f>
        <v>0</v>
      </c>
      <c r="BK19" s="36">
        <f>INDEX(Encounter_Diff[Hard], MATCH(PartyCompare_1[[#This Row],[+3 Level]],Encounter_Diff[Player Level],0))</f>
        <v>0</v>
      </c>
      <c r="BL19" s="36">
        <f>INDEX(Encounter_Diff[Deadly], MATCH(PartyCompare_1[[#This Row],[+3 Level]],Encounter_Diff[Player Level],0))</f>
        <v>0</v>
      </c>
      <c r="BM19" s="44" t="s">
        <v>139</v>
      </c>
      <c r="BN19" s="37" t="s">
        <v>139</v>
      </c>
      <c r="BO19" s="37" t="s">
        <v>139</v>
      </c>
      <c r="BP19" s="45" t="s">
        <v>139</v>
      </c>
      <c r="BQ19" s="44" t="s">
        <v>139</v>
      </c>
      <c r="BR19" s="37" t="s">
        <v>139</v>
      </c>
      <c r="BS19" s="37" t="s">
        <v>139</v>
      </c>
      <c r="BT19" s="41" t="s">
        <v>139</v>
      </c>
      <c r="BU19" s="49" t="s">
        <v>139</v>
      </c>
      <c r="BV19" s="36">
        <f>IF(ISNUMBER(PartyCompare_1[[#This Row],[Level]]), PartyCompare_1[[#This Row],[Level]]+4, PartyCompare_1[[#This Row],[Level]])</f>
        <v>0</v>
      </c>
      <c r="BW19" s="36">
        <f>INDEX(Encounter_Diff[Easy], MATCH(PartyCompare_1[[#This Row],[+4 Level]],Encounter_Diff[Player Level],0))</f>
        <v>0</v>
      </c>
      <c r="BX19" s="36">
        <f>INDEX(Encounter_Diff[Medium], MATCH(PartyCompare_1[[#This Row],[+4 Level]],Encounter_Diff[Player Level],0))</f>
        <v>0</v>
      </c>
      <c r="BY19" s="36">
        <f>INDEX(Encounter_Diff[Hard], MATCH(PartyCompare_1[[#This Row],[+4 Level]],Encounter_Diff[Player Level],0))</f>
        <v>0</v>
      </c>
      <c r="BZ19" s="36">
        <f>INDEX(Encounter_Diff[Deadly], MATCH(PartyCompare_1[[#This Row],[+4 Level]],Encounter_Diff[Player Level],0))</f>
        <v>0</v>
      </c>
      <c r="CA19" s="44" t="s">
        <v>139</v>
      </c>
      <c r="CB19" s="37" t="s">
        <v>139</v>
      </c>
      <c r="CC19" s="37" t="s">
        <v>139</v>
      </c>
      <c r="CD19" s="45" t="s">
        <v>139</v>
      </c>
      <c r="CE19" s="44" t="s">
        <v>139</v>
      </c>
      <c r="CF19" s="37" t="s">
        <v>139</v>
      </c>
      <c r="CG19" s="37" t="s">
        <v>139</v>
      </c>
      <c r="CH19" s="41" t="s">
        <v>139</v>
      </c>
      <c r="CI19" s="49" t="s">
        <v>139</v>
      </c>
    </row>
    <row r="20" spans="2:87" ht="15.75" thickBot="1" x14ac:dyDescent="0.25">
      <c r="B20"/>
      <c r="C20"/>
      <c r="D20"/>
      <c r="E20"/>
      <c r="F20"/>
      <c r="G20"/>
      <c r="H20"/>
      <c r="I20"/>
      <c r="J20"/>
      <c r="L20" s="234"/>
      <c r="M20" s="91"/>
      <c r="N20" s="90"/>
      <c r="O20" s="32">
        <f>INDEX(Encounter_Diff[Easy], MATCH(PartyCompare_1[[#This Row],[Level]],Encounter_Diff[Player Level],0))</f>
        <v>0</v>
      </c>
      <c r="P20" s="32">
        <f>INDEX(Encounter_Diff[Medium], MATCH(PartyCompare_1[[#This Row],[Level]],Encounter_Diff[Player Level],0))</f>
        <v>0</v>
      </c>
      <c r="Q20" s="32">
        <f>INDEX(Encounter_Diff[Hard], MATCH(PartyCompare_1[[#This Row],[Level]],Encounter_Diff[Player Level],0))</f>
        <v>0</v>
      </c>
      <c r="R20" s="30">
        <f>INDEX(Encounter_Diff[Deadly], MATCH(PartyCompare_1[[#This Row],[Level]],Encounter_Diff[Player Level],0))</f>
        <v>0</v>
      </c>
      <c r="S20" s="98">
        <f t="shared" si="1"/>
        <v>5</v>
      </c>
      <c r="T20" s="45" t="s">
        <v>139</v>
      </c>
      <c r="U20" s="74" t="s">
        <v>139</v>
      </c>
      <c r="V20" s="80" t="s">
        <v>139</v>
      </c>
      <c r="W20" s="82" t="s">
        <v>139</v>
      </c>
      <c r="X20" s="45" t="s">
        <v>139</v>
      </c>
      <c r="Y20" s="45" t="s">
        <v>139</v>
      </c>
      <c r="Z20" s="41" t="s">
        <v>139</v>
      </c>
      <c r="AA20" s="44" t="s">
        <v>139</v>
      </c>
      <c r="AB20" s="45" t="s">
        <v>139</v>
      </c>
      <c r="AC20" s="45" t="s">
        <v>139</v>
      </c>
      <c r="AD20" s="41" t="s">
        <v>139</v>
      </c>
      <c r="AE20" s="49" t="s">
        <v>139</v>
      </c>
      <c r="AF20" s="36">
        <f>IF(ISNUMBER(PartyCompare_1[[#This Row],[Level]]), PartyCompare_1[[#This Row],[Level]]+1, PartyCompare_1[[#This Row],[Level]])</f>
        <v>0</v>
      </c>
      <c r="AG20" s="36">
        <f>INDEX(Encounter_Diff[Easy], MATCH(PartyCompare_1[[#This Row],[+1 Level]],Encounter_Diff[Player Level],0))</f>
        <v>0</v>
      </c>
      <c r="AH20" s="36">
        <f>INDEX(Encounter_Diff[Medium], MATCH(PartyCompare_1[[#This Row],[+1 Level]],Encounter_Diff[Player Level],0))</f>
        <v>0</v>
      </c>
      <c r="AI20" s="36">
        <f>INDEX(Encounter_Diff[Hard], MATCH(PartyCompare_1[[#This Row],[+1 Level]],Encounter_Diff[Player Level],0))</f>
        <v>0</v>
      </c>
      <c r="AJ20" s="36">
        <f>INDEX(Encounter_Diff[Deadly], MATCH(PartyCompare_1[[#This Row],[+1 Level]],Encounter_Diff[Player Level],0))</f>
        <v>0</v>
      </c>
      <c r="AK20" s="44" t="s">
        <v>139</v>
      </c>
      <c r="AL20" s="37" t="s">
        <v>139</v>
      </c>
      <c r="AM20" s="37" t="s">
        <v>139</v>
      </c>
      <c r="AN20" s="45" t="s">
        <v>139</v>
      </c>
      <c r="AO20" s="44" t="s">
        <v>139</v>
      </c>
      <c r="AP20" s="37" t="s">
        <v>139</v>
      </c>
      <c r="AQ20" s="37" t="s">
        <v>139</v>
      </c>
      <c r="AR20" s="41" t="s">
        <v>139</v>
      </c>
      <c r="AS20" s="49" t="s">
        <v>139</v>
      </c>
      <c r="AT20" s="53">
        <f>IF(ISNUMBER(PartyCompare_1[[#This Row],[Level]]), PartyCompare_1[[#This Row],[Level]]+2, PartyCompare_1[[#This Row],[Level]])</f>
        <v>0</v>
      </c>
      <c r="AU20" s="53">
        <f>INDEX(Encounter_Diff[Easy], MATCH(PartyCompare_1[[#This Row],[+2 Level]],Encounter_Diff[Player Level],0))</f>
        <v>0</v>
      </c>
      <c r="AV20" s="53">
        <f>INDEX(Encounter_Diff[Medium], MATCH(PartyCompare_1[[#This Row],[+2 Level]],Encounter_Diff[Player Level],0))</f>
        <v>0</v>
      </c>
      <c r="AW20" s="53">
        <f>INDEX(Encounter_Diff[Hard], MATCH(PartyCompare_1[[#This Row],[+2 Level]],Encounter_Diff[Player Level],0))</f>
        <v>0</v>
      </c>
      <c r="AX20" s="53">
        <f>INDEX(Encounter_Diff[Deadly], MATCH(PartyCompare_1[[#This Row],[+2 Level]],Encounter_Diff[Player Level],0))</f>
        <v>0</v>
      </c>
      <c r="AY20" s="61" t="s">
        <v>139</v>
      </c>
      <c r="AZ20" s="54" t="s">
        <v>139</v>
      </c>
      <c r="BA20" s="54" t="s">
        <v>139</v>
      </c>
      <c r="BB20" s="54" t="s">
        <v>139</v>
      </c>
      <c r="BC20" s="61" t="s">
        <v>139</v>
      </c>
      <c r="BD20" s="54" t="s">
        <v>139</v>
      </c>
      <c r="BE20" s="54" t="s">
        <v>139</v>
      </c>
      <c r="BF20" s="55" t="s">
        <v>139</v>
      </c>
      <c r="BG20" s="56" t="s">
        <v>139</v>
      </c>
      <c r="BH20" s="53">
        <f>IF(ISNUMBER(PartyCompare_1[[#This Row],[Level]]), PartyCompare_1[[#This Row],[Level]]+3, PartyCompare_1[[#This Row],[Level]])</f>
        <v>0</v>
      </c>
      <c r="BI20" s="53">
        <f>INDEX(Encounter_Diff[Easy], MATCH(PartyCompare_1[[#This Row],[+3 Level]],Encounter_Diff[Player Level],0))</f>
        <v>0</v>
      </c>
      <c r="BJ20" s="53">
        <f>INDEX(Encounter_Diff[Medium], MATCH(PartyCompare_1[[#This Row],[+3 Level]],Encounter_Diff[Player Level],0))</f>
        <v>0</v>
      </c>
      <c r="BK20" s="53">
        <f>INDEX(Encounter_Diff[Hard], MATCH(PartyCompare_1[[#This Row],[+3 Level]],Encounter_Diff[Player Level],0))</f>
        <v>0</v>
      </c>
      <c r="BL20" s="53">
        <f>INDEX(Encounter_Diff[Deadly], MATCH(PartyCompare_1[[#This Row],[+3 Level]],Encounter_Diff[Player Level],0))</f>
        <v>0</v>
      </c>
      <c r="BM20" s="61" t="s">
        <v>139</v>
      </c>
      <c r="BN20" s="54" t="s">
        <v>139</v>
      </c>
      <c r="BO20" s="54" t="s">
        <v>139</v>
      </c>
      <c r="BP20" s="54" t="s">
        <v>139</v>
      </c>
      <c r="BQ20" s="61" t="s">
        <v>139</v>
      </c>
      <c r="BR20" s="54" t="s">
        <v>139</v>
      </c>
      <c r="BS20" s="54" t="s">
        <v>139</v>
      </c>
      <c r="BT20" s="55" t="s">
        <v>139</v>
      </c>
      <c r="BU20" s="56" t="s">
        <v>139</v>
      </c>
      <c r="BV20" s="53">
        <f>IF(ISNUMBER(PartyCompare_1[[#This Row],[Level]]), PartyCompare_1[[#This Row],[Level]]+4, PartyCompare_1[[#This Row],[Level]])</f>
        <v>0</v>
      </c>
      <c r="BW20" s="53">
        <f>INDEX(Encounter_Diff[Easy], MATCH(PartyCompare_1[[#This Row],[+4 Level]],Encounter_Diff[Player Level],0))</f>
        <v>0</v>
      </c>
      <c r="BX20" s="53">
        <f>INDEX(Encounter_Diff[Medium], MATCH(PartyCompare_1[[#This Row],[+4 Level]],Encounter_Diff[Player Level],0))</f>
        <v>0</v>
      </c>
      <c r="BY20" s="53">
        <f>INDEX(Encounter_Diff[Hard], MATCH(PartyCompare_1[[#This Row],[+4 Level]],Encounter_Diff[Player Level],0))</f>
        <v>0</v>
      </c>
      <c r="BZ20" s="53">
        <f>INDEX(Encounter_Diff[Deadly], MATCH(PartyCompare_1[[#This Row],[+4 Level]],Encounter_Diff[Player Level],0))</f>
        <v>0</v>
      </c>
      <c r="CA20" s="61" t="s">
        <v>139</v>
      </c>
      <c r="CB20" s="54" t="s">
        <v>139</v>
      </c>
      <c r="CC20" s="54" t="s">
        <v>139</v>
      </c>
      <c r="CD20" s="54" t="s">
        <v>139</v>
      </c>
      <c r="CE20" s="61" t="s">
        <v>139</v>
      </c>
      <c r="CF20" s="54" t="s">
        <v>139</v>
      </c>
      <c r="CG20" s="54" t="s">
        <v>139</v>
      </c>
      <c r="CH20" s="55" t="s">
        <v>139</v>
      </c>
      <c r="CI20" s="56" t="s">
        <v>139</v>
      </c>
    </row>
    <row r="21" spans="2:87" ht="15.75" x14ac:dyDescent="0.2">
      <c r="B21"/>
      <c r="C21"/>
      <c r="D21"/>
      <c r="E21"/>
      <c r="F21"/>
      <c r="G21"/>
      <c r="H21"/>
      <c r="I21"/>
      <c r="J21"/>
      <c r="L21" s="40" t="s">
        <v>144</v>
      </c>
      <c r="M21" s="29" t="s">
        <v>134</v>
      </c>
      <c r="N21" s="72" t="s">
        <v>33</v>
      </c>
      <c r="O21" s="32" t="s">
        <v>140</v>
      </c>
      <c r="P21" s="32" t="s">
        <v>141</v>
      </c>
      <c r="Q21" s="32" t="s">
        <v>142</v>
      </c>
      <c r="R21" s="30" t="s">
        <v>143</v>
      </c>
      <c r="S21" s="96" t="s">
        <v>144</v>
      </c>
      <c r="T21" s="32" t="s">
        <v>119</v>
      </c>
      <c r="U21" s="73" t="s">
        <v>120</v>
      </c>
      <c r="V21" s="79" t="s">
        <v>224</v>
      </c>
      <c r="W21" s="29" t="s">
        <v>36</v>
      </c>
      <c r="X21" s="32" t="s">
        <v>37</v>
      </c>
      <c r="Y21" s="32" t="s">
        <v>38</v>
      </c>
      <c r="Z21" s="30" t="s">
        <v>40</v>
      </c>
      <c r="AA21" s="31" t="s">
        <v>129</v>
      </c>
      <c r="AB21" s="32" t="s">
        <v>130</v>
      </c>
      <c r="AC21" s="32" t="s">
        <v>131</v>
      </c>
      <c r="AD21" s="30" t="s">
        <v>132</v>
      </c>
      <c r="AE21" s="47" t="s">
        <v>133</v>
      </c>
      <c r="AF21" s="41" t="s">
        <v>154</v>
      </c>
      <c r="AG21" s="37" t="s">
        <v>155</v>
      </c>
      <c r="AH21" s="37" t="s">
        <v>156</v>
      </c>
      <c r="AI21" s="37" t="s">
        <v>157</v>
      </c>
      <c r="AJ21" s="37" t="s">
        <v>158</v>
      </c>
      <c r="AK21" s="44" t="s">
        <v>159</v>
      </c>
      <c r="AL21" s="37" t="s">
        <v>160</v>
      </c>
      <c r="AM21" s="37" t="s">
        <v>161</v>
      </c>
      <c r="AN21" s="41" t="s">
        <v>162</v>
      </c>
      <c r="AO21" s="37" t="s">
        <v>163</v>
      </c>
      <c r="AP21" s="37" t="s">
        <v>164</v>
      </c>
      <c r="AQ21" s="37" t="s">
        <v>165</v>
      </c>
      <c r="AR21" s="41" t="s">
        <v>166</v>
      </c>
      <c r="AS21" s="49" t="s">
        <v>167</v>
      </c>
      <c r="AT21" s="57" t="s">
        <v>196</v>
      </c>
      <c r="AU21" s="58" t="s">
        <v>197</v>
      </c>
      <c r="AV21" s="58" t="s">
        <v>198</v>
      </c>
      <c r="AW21" s="58" t="s">
        <v>199</v>
      </c>
      <c r="AX21" s="58" t="s">
        <v>200</v>
      </c>
      <c r="AY21" s="65" t="s">
        <v>201</v>
      </c>
      <c r="AZ21" s="58" t="s">
        <v>202</v>
      </c>
      <c r="BA21" s="58" t="s">
        <v>203</v>
      </c>
      <c r="BB21" s="58" t="s">
        <v>204</v>
      </c>
      <c r="BC21" s="65" t="s">
        <v>205</v>
      </c>
      <c r="BD21" s="58" t="s">
        <v>206</v>
      </c>
      <c r="BE21" s="58" t="s">
        <v>207</v>
      </c>
      <c r="BF21" s="57" t="s">
        <v>208</v>
      </c>
      <c r="BG21" s="59" t="s">
        <v>209</v>
      </c>
      <c r="BH21" s="57" t="s">
        <v>168</v>
      </c>
      <c r="BI21" s="58" t="s">
        <v>169</v>
      </c>
      <c r="BJ21" s="58" t="s">
        <v>170</v>
      </c>
      <c r="BK21" s="58" t="s">
        <v>171</v>
      </c>
      <c r="BL21" s="58" t="s">
        <v>172</v>
      </c>
      <c r="BM21" s="65" t="s">
        <v>173</v>
      </c>
      <c r="BN21" s="58" t="s">
        <v>174</v>
      </c>
      <c r="BO21" s="58" t="s">
        <v>175</v>
      </c>
      <c r="BP21" s="58" t="s">
        <v>176</v>
      </c>
      <c r="BQ21" s="65" t="s">
        <v>177</v>
      </c>
      <c r="BR21" s="58" t="s">
        <v>178</v>
      </c>
      <c r="BS21" s="58" t="s">
        <v>179</v>
      </c>
      <c r="BT21" s="58" t="s">
        <v>180</v>
      </c>
      <c r="BU21" s="59" t="s">
        <v>181</v>
      </c>
      <c r="BV21" s="58" t="s">
        <v>182</v>
      </c>
      <c r="BW21" s="65" t="s">
        <v>183</v>
      </c>
      <c r="BX21" s="58" t="s">
        <v>184</v>
      </c>
      <c r="BY21" s="58" t="s">
        <v>185</v>
      </c>
      <c r="BZ21" s="58" t="s">
        <v>186</v>
      </c>
      <c r="CA21" s="65" t="s">
        <v>187</v>
      </c>
      <c r="CB21" s="58" t="s">
        <v>188</v>
      </c>
      <c r="CC21" s="58" t="s">
        <v>189</v>
      </c>
      <c r="CD21" s="58" t="s">
        <v>190</v>
      </c>
      <c r="CE21" s="65" t="s">
        <v>191</v>
      </c>
      <c r="CF21" s="58" t="s">
        <v>192</v>
      </c>
      <c r="CG21" s="58" t="s">
        <v>193</v>
      </c>
      <c r="CH21" s="58" t="s">
        <v>194</v>
      </c>
      <c r="CI21" s="59" t="s">
        <v>195</v>
      </c>
    </row>
    <row r="22" spans="2:87" x14ac:dyDescent="0.2">
      <c r="B22"/>
      <c r="C22"/>
      <c r="D22"/>
      <c r="E22"/>
      <c r="F22"/>
      <c r="G22"/>
      <c r="H22"/>
      <c r="I22"/>
      <c r="J22"/>
      <c r="L22" s="232">
        <v>4</v>
      </c>
      <c r="M22" s="91" t="s">
        <v>135</v>
      </c>
      <c r="N22" s="90">
        <v>4</v>
      </c>
      <c r="O22" s="32">
        <f>INDEX(Encounter_Diff[Easy], MATCH(PartyCompare_2[[#This Row],[Level]],Encounter_Diff[Player Level],0))</f>
        <v>125</v>
      </c>
      <c r="P22" s="32">
        <f>INDEX(Encounter_Diff[Medium], MATCH(PartyCompare_2[[#This Row],[Level]],Encounter_Diff[Player Level],0))</f>
        <v>250</v>
      </c>
      <c r="Q22" s="32">
        <f>INDEX(Encounter_Diff[Hard], MATCH(PartyCompare_2[[#This Row],[Level]],Encounter_Diff[Player Level],0))</f>
        <v>375</v>
      </c>
      <c r="R22" s="30">
        <f>INDEX(Encounter_Diff[Deadly], MATCH(PartyCompare_2[[#This Row],[Level]],Encounter_Diff[Player Level],0))</f>
        <v>500</v>
      </c>
      <c r="S22" s="97">
        <f>L22</f>
        <v>4</v>
      </c>
      <c r="T22" s="32" t="str">
        <f>IF(COUNT(PartyCompare_2[Level])&lt;=2,"Small", IF(COUNT(PartyCompare_2[Level])&lt;=5,"Med", IF(COUNT(PartyCompare_2[Level])&lt;=8, "Large", "TOO BIG!")))</f>
        <v>Small</v>
      </c>
      <c r="U22" s="73" t="s">
        <v>107</v>
      </c>
      <c r="V22" s="77" t="str">
        <f>INDEX(Encounter_Mod[Count], MATCH(PartyCompare_2[[#This Row],[Mob Size]], Encounter_Mod[Type],0))</f>
        <v>1</v>
      </c>
      <c r="W22" s="81">
        <f>SUM(PartyCompare_2[(Easy)])/INDEX(Encounter_Mod[[Small]:[Large]], MATCH(PartyCompare_2[[#This Row],[Mob Size]], Encounter_Mod[Type], 0), MATCH(PartyCompare_2[[#This Row],[Party Size]],Encounter_Mod[[#Headers],[Small]:[Large]],0))</f>
        <v>83.333333333333329</v>
      </c>
      <c r="X22" s="42">
        <f>SUM(PartyCompare_2[(Medium)])/INDEX(Encounter_Mod[[Small]:[Large]], MATCH(PartyCompare_2[[#This Row],[Mob Size]], Encounter_Mod[Type], 0), MATCH(PartyCompare_2[[#This Row],[Party Size]],Encounter_Mod[[#Headers],[Small]:[Large]],0))</f>
        <v>166.66666666666666</v>
      </c>
      <c r="Y22" s="42">
        <f>SUM(PartyCompare_2[(Hard)])/INDEX(Encounter_Mod[[Small]:[Large]], MATCH(PartyCompare_2[[#This Row],[Mob Size]], Encounter_Mod[Type], 0), MATCH(PartyCompare_2[[#This Row],[Party Size]],Encounter_Mod[[#Headers],[Small]:[Large]],0))</f>
        <v>250</v>
      </c>
      <c r="Z22" s="43">
        <f>SUM(PartyCompare_2[(Deadly)])/INDEX(Encounter_Mod[[Small]:[Large]], MATCH(PartyCompare_2[[#This Row],[Mob Size]], Encounter_Mod[Type], 0), MATCH(PartyCompare_2[[#This Row],[Party Size]],Encounter_Mod[[#Headers],[Small]:[Large]],0))</f>
        <v>333.33333333333331</v>
      </c>
      <c r="AA22" s="46">
        <f>(PartyCompare_2[[#This Row],[Easy]]-INDEX(PartyCompare_0[Easy], MATCH(PartyCompare_2[[#This Row],[Mob Size]],PartyCompare_0[Mob Size],0)))/INDEX(PartyCompare_0[Easy], MATCH(PartyCompare_2[[#This Row],[Mob Size]],PartyCompare_0[Mob Size],0))</f>
        <v>-0.16666666666666671</v>
      </c>
      <c r="AB22" s="33">
        <f>(PartyCompare_2[[#This Row],[Medium]]-INDEX(PartyCompare_0[Medium], MATCH(PartyCompare_2[[#This Row],[Mob Size]],PartyCompare_0[Mob Size],0)))/INDEX(PartyCompare_0[Medium], MATCH(PartyCompare_2[[#This Row],[Mob Size]],PartyCompare_0[Mob Size],0))</f>
        <v>-0.16666666666666671</v>
      </c>
      <c r="AC22" s="33">
        <f>(PartyCompare_2[[#This Row],[Hard]]-INDEX(PartyCompare_0[Hard], MATCH(PartyCompare_2[[#This Row],[Mob Size]],PartyCompare_0[Mob Size],0)))/INDEX(PartyCompare_0[Hard], MATCH(PartyCompare_2[[#This Row],[Mob Size]],PartyCompare_0[Mob Size],0))</f>
        <v>-0.16666666666666666</v>
      </c>
      <c r="AD22" s="34">
        <f>(PartyCompare_2[[#This Row],[Deadly]]-INDEX(PartyCompare_0[Deadly], MATCH(PartyCompare_2[[#This Row],[Mob Size]],PartyCompare_0[Mob Size],0)))/INDEX(PartyCompare_0[Deadly], MATCH(PartyCompare_2[[#This Row],[Mob Size]],PartyCompare_0[Mob Size],0))</f>
        <v>-0.16666666666666671</v>
      </c>
      <c r="AE22" s="48">
        <f>AVERAGE(PartyCompare_2[[#This Row],[Easy Deviation]:[Deadly Deviation]])</f>
        <v>-0.16666666666666671</v>
      </c>
      <c r="AF22" s="36">
        <f>IF(ISNUMBER(PartyCompare_2[[#This Row],[Level]]), PartyCompare_2[[#This Row],[Level]]+1, PartyCompare_2[[#This Row],[Level]])</f>
        <v>5</v>
      </c>
      <c r="AG22" s="36">
        <f>INDEX(Encounter_Diff[Easy], MATCH(PartyCompare_2[[#This Row],[+1 Level]],Encounter_Diff[Player Level],0))</f>
        <v>250</v>
      </c>
      <c r="AH22" s="36">
        <f>INDEX(Encounter_Diff[Medium], MATCH(PartyCompare_2[[#This Row],[+1 Level]],Encounter_Diff[Player Level],0))</f>
        <v>500</v>
      </c>
      <c r="AI22" s="36">
        <f>INDEX(Encounter_Diff[Hard], MATCH(PartyCompare_2[[#This Row],[+1 Level]],Encounter_Diff[Player Level],0))</f>
        <v>750</v>
      </c>
      <c r="AJ22" s="36">
        <f>INDEX(Encounter_Diff[Deadly], MATCH(PartyCompare_2[[#This Row],[+1 Level]],Encounter_Diff[Player Level],0))</f>
        <v>1100</v>
      </c>
      <c r="AK22" s="63">
        <f>SUM(PartyCompare_2[+1 (Easy)])/INDEX(Encounter_Mod[[Small]:[Large]], MATCH(PartyCompare_2[[#This Row],[Mob Size]], Encounter_Mod[Type], 0), MATCH(PartyCompare_2[[#This Row],[Party Size]],Encounter_Mod[[#Headers],[Small]:[Large]],0))</f>
        <v>166.66666666666666</v>
      </c>
      <c r="AL22" s="38">
        <f>SUM(PartyCompare_2[+1 (Medium)])/INDEX(Encounter_Mod[[Small]:[Large]], MATCH(PartyCompare_2[[#This Row],[Mob Size]], Encounter_Mod[Type], 0), MATCH(PartyCompare_2[[#This Row],[Party Size]],Encounter_Mod[[#Headers],[Small]:[Large]],0))</f>
        <v>333.33333333333331</v>
      </c>
      <c r="AM22" s="38">
        <f>SUM(PartyCompare_2[+1 (Hard)])/INDEX(Encounter_Mod[[Small]:[Large]], MATCH(PartyCompare_2[[#This Row],[Mob Size]], Encounter_Mod[Type], 0), MATCH(PartyCompare_2[[#This Row],[Party Size]],Encounter_Mod[[#Headers],[Small]:[Large]],0))</f>
        <v>500</v>
      </c>
      <c r="AN22" s="38">
        <f>SUM(PartyCompare_2[+1 (Deadly)])/INDEX(Encounter_Mod[[Small]:[Large]], MATCH(PartyCompare_2[[#This Row],[Mob Size]], Encounter_Mod[Type], 0), MATCH(PartyCompare_2[[#This Row],[Party Size]],Encounter_Mod[[#Headers],[Small]:[Large]],0))</f>
        <v>733.33333333333337</v>
      </c>
      <c r="AO22" s="46">
        <f>(PartyCompare_2[[#This Row],[+1 Easy]]-INDEX(PartyCompare_0[+1 Easy], MATCH(PartyCompare_2[[#This Row],[Mob Size]],PartyCompare_2[Mob Size],0)))/INDEX(PartyCompare_0[+1 Easy], MATCH(PartyCompare_2[[#This Row],[Mob Size]],PartyCompare_2[Mob Size],0))</f>
        <v>-0.16666666666666671</v>
      </c>
      <c r="AP22" s="39">
        <f>(PartyCompare_2[[#This Row],[+1 Medium]]-INDEX(PartyCompare_0[+1 Medium], MATCH(PartyCompare_2[[#This Row],[Mob Size]],PartyCompare_2[Mob Size],0)))/INDEX(PartyCompare_0[+1 Medium], MATCH(PartyCompare_2[[#This Row],[Mob Size]],PartyCompare_2[Mob Size],0))</f>
        <v>-0.16666666666666671</v>
      </c>
      <c r="AQ22" s="39">
        <f>(PartyCompare_2[[#This Row],[+1 Hard]]-INDEX(PartyCompare_0[+1 Hard], MATCH(PartyCompare_2[[#This Row],[Mob Size]],PartyCompare_2[Mob Size],0)))/INDEX(PartyCompare_0[+1 Hard], MATCH(PartyCompare_2[[#This Row],[Mob Size]],PartyCompare_2[Mob Size],0))</f>
        <v>-0.16666666666666666</v>
      </c>
      <c r="AR22" s="34">
        <f>(PartyCompare_2[[#This Row],[+1 Deadly]]-INDEX(PartyCompare_0[+1 Deadly], MATCH(PartyCompare_2[[#This Row],[Mob Size]],PartyCompare_2[Mob Size],0)))/INDEX(PartyCompare_0[+1 Deadly], MATCH(PartyCompare_2[[#This Row],[Mob Size]],PartyCompare_2[Mob Size],0))</f>
        <v>-8.3333333333333287E-2</v>
      </c>
      <c r="AS22" s="48">
        <f>AVERAGE(PartyCompare_2[[#This Row],[+1 Easy Deviation]:[+1 Deadly Deviation]])</f>
        <v>-0.14583333333333334</v>
      </c>
      <c r="AT22" s="36">
        <f>IF(ISNUMBER(PartyCompare_2[[#This Row],[Level]]), PartyCompare_2[[#This Row],[Level]]+2, PartyCompare_2[[#This Row],[Level]])</f>
        <v>6</v>
      </c>
      <c r="AU22" s="36">
        <f>INDEX(Encounter_Diff[Easy], MATCH(PartyCompare_2[[#This Row],[+2 Level]],Encounter_Diff[Player Level],0))</f>
        <v>300</v>
      </c>
      <c r="AV22" s="36">
        <f>INDEX(Encounter_Diff[Medium], MATCH(PartyCompare_2[[#This Row],[+2 Level]],Encounter_Diff[Player Level],0))</f>
        <v>600</v>
      </c>
      <c r="AW22" s="36">
        <f>INDEX(Encounter_Diff[Hard], MATCH(PartyCompare_2[[#This Row],[+2 Level]],Encounter_Diff[Player Level],0))</f>
        <v>900</v>
      </c>
      <c r="AX22" s="36">
        <f>INDEX(Encounter_Diff[Deadly], MATCH(PartyCompare_2[[#This Row],[+2 Level]],Encounter_Diff[Player Level],0))</f>
        <v>1400</v>
      </c>
      <c r="AY22" s="63">
        <f>SUM(PartyCompare_2[+2 (Easy)])/INDEX(Encounter_Mod[[Small]:[Large]], MATCH(PartyCompare_2[[#This Row],[Mob Size]], Encounter_Mod[Type], 0), MATCH(PartyCompare_2[[#This Row],[Party Size]],Encounter_Mod[[#Headers],[Small]:[Large]],0))</f>
        <v>200</v>
      </c>
      <c r="AZ22" s="38">
        <f>SUM(PartyCompare_2[+2 (Medium)])/INDEX(Encounter_Mod[[Small]:[Large]], MATCH(PartyCompare_2[[#This Row],[Mob Size]], Encounter_Mod[Type], 0), MATCH(PartyCompare_2[[#This Row],[Party Size]],Encounter_Mod[[#Headers],[Small]:[Large]],0))</f>
        <v>400</v>
      </c>
      <c r="BA22" s="38">
        <f>SUM(PartyCompare_2[+2 (Hard)])/INDEX(Encounter_Mod[[Small]:[Large]], MATCH(PartyCompare_2[[#This Row],[Mob Size]], Encounter_Mod[Type], 0), MATCH(PartyCompare_2[[#This Row],[Party Size]],Encounter_Mod[[#Headers],[Small]:[Large]],0))</f>
        <v>600</v>
      </c>
      <c r="BB22" s="38">
        <f>SUM(PartyCompare_2[+2 (Deadly)])/INDEX(Encounter_Mod[[Small]:[Large]], MATCH(PartyCompare_2[[#This Row],[Mob Size]], Encounter_Mod[Type], 0), MATCH(PartyCompare_2[[#This Row],[Party Size]],Encounter_Mod[[#Headers],[Small]:[Large]],0))</f>
        <v>933.33333333333337</v>
      </c>
      <c r="BC22" s="60">
        <f>(PartyCompare_2[[#This Row],[+2 Easy]]-INDEX(PartyCompare_0[+2 Easy], MATCH(PartyCompare_2[[#This Row],[Mob Size]],PartyCompare_2[Mob Size],0)))/INDEX(PartyCompare_0[+2 Easy], MATCH(PartyCompare_2[[#This Row],[Mob Size]],PartyCompare_2[Mob Size],0))</f>
        <v>-0.33333333333333331</v>
      </c>
      <c r="BD22" s="39">
        <f>(PartyCompare_2[[#This Row],[+2 Medium]]-INDEX(PartyCompare_0[+2 Medium], MATCH(PartyCompare_2[[#This Row],[Mob Size]],PartyCompare_2[Mob Size],0)))/INDEX(PartyCompare_0[+2 Medium], MATCH(PartyCompare_2[[#This Row],[Mob Size]],PartyCompare_2[Mob Size],0))</f>
        <v>-0.33333333333333331</v>
      </c>
      <c r="BE22" s="39">
        <f>(PartyCompare_2[[#This Row],[+2 Hard]]-INDEX(PartyCompare_0[+2 Hard], MATCH(PartyCompare_2[[#This Row],[Mob Size]],PartyCompare_2[Mob Size],0)))/INDEX(PartyCompare_0[+2 Hard], MATCH(PartyCompare_2[[#This Row],[Mob Size]],PartyCompare_2[Mob Size],0))</f>
        <v>-0.33333333333333331</v>
      </c>
      <c r="BF22" s="34">
        <f>(PartyCompare_2[[#This Row],[+2 Deadly]]-INDEX(PartyCompare_0[+2 Deadly], MATCH(PartyCompare_2[[#This Row],[Mob Size]],PartyCompare_2[Mob Size],0)))/INDEX(PartyCompare_0[+2 Deadly], MATCH(PartyCompare_2[[#This Row],[Mob Size]],PartyCompare_2[Mob Size],0))</f>
        <v>-0.41666666666666663</v>
      </c>
      <c r="BG22" s="48">
        <f>AVERAGE(PartyCompare_2[[#This Row],[+2 Easy Deviation]:[+2 Deadly Deviation]])</f>
        <v>-0.35416666666666663</v>
      </c>
      <c r="BH22" s="36">
        <f>IF(ISNUMBER(PartyCompare_2[[#This Row],[Level]]), PartyCompare_2[[#This Row],[Level]]+3, PartyCompare_2[[#This Row],[Level]])</f>
        <v>7</v>
      </c>
      <c r="BI22" s="36">
        <f>INDEX(Encounter_Diff[Easy], MATCH(PartyCompare_2[[#This Row],[+3 Level]],Encounter_Diff[Player Level],0))</f>
        <v>350</v>
      </c>
      <c r="BJ22" s="36">
        <f>INDEX(Encounter_Diff[Medium], MATCH(PartyCompare_2[[#This Row],[+3 Level]],Encounter_Diff[Player Level],0))</f>
        <v>750</v>
      </c>
      <c r="BK22" s="36">
        <f>INDEX(Encounter_Diff[Hard], MATCH(PartyCompare_2[[#This Row],[+3 Level]],Encounter_Diff[Player Level],0))</f>
        <v>1100</v>
      </c>
      <c r="BL22" s="36">
        <f>INDEX(Encounter_Diff[Deadly], MATCH(PartyCompare_2[[#This Row],[+3 Level]],Encounter_Diff[Player Level],0))</f>
        <v>1700</v>
      </c>
      <c r="BM22" s="63">
        <f>SUM(PartyCompare_2[+3 (Easy)])/INDEX(Encounter_Mod[[Small]:[Large]], MATCH(PartyCompare_2[[#This Row],[Mob Size]], Encounter_Mod[Type], 0), MATCH(PartyCompare_2[[#This Row],[Party Size]],Encounter_Mod[[#Headers],[Small]:[Large]],0))</f>
        <v>233.33333333333334</v>
      </c>
      <c r="BN22" s="38">
        <f>SUM(PartyCompare_2[+3 (Medium)])/INDEX(Encounter_Mod[[Small]:[Large]], MATCH(PartyCompare_2[[#This Row],[Mob Size]], Encounter_Mod[Type], 0), MATCH(PartyCompare_2[[#This Row],[Party Size]],Encounter_Mod[[#Headers],[Small]:[Large]],0))</f>
        <v>500</v>
      </c>
      <c r="BO22" s="38">
        <f>SUM(PartyCompare_2[+3 (Hard)])/INDEX(Encounter_Mod[[Small]:[Large]], MATCH(PartyCompare_2[[#This Row],[Mob Size]], Encounter_Mod[Type], 0), MATCH(PartyCompare_2[[#This Row],[Party Size]],Encounter_Mod[[#Headers],[Small]:[Large]],0))</f>
        <v>733.33333333333337</v>
      </c>
      <c r="BP22" s="38">
        <f>SUM(PartyCompare_2[+3 (Deadly)])/INDEX(Encounter_Mod[[Small]:[Large]], MATCH(PartyCompare_2[[#This Row],[Mob Size]], Encounter_Mod[Type], 0), MATCH(PartyCompare_2[[#This Row],[Party Size]],Encounter_Mod[[#Headers],[Small]:[Large]],0))</f>
        <v>1133.3333333333333</v>
      </c>
      <c r="BQ22" s="60">
        <f>(PartyCompare_2[[#This Row],[+3 Easy]]-INDEX(PartyCompare_0[+3 Easy], MATCH(PartyCompare_2[[#This Row],[Mob Size]],PartyCompare_2[Mob Size],0)))/INDEX(PartyCompare_0[+3 Easy], MATCH(PartyCompare_2[[#This Row],[Mob Size]],PartyCompare_2[Mob Size],0))</f>
        <v>-0.53333333333333321</v>
      </c>
      <c r="BR22" s="39">
        <f>(PartyCompare_2[[#This Row],[+3 Medium]]-INDEX(PartyCompare_0[+3 Medium], MATCH(PartyCompare_2[[#This Row],[Mob Size]],PartyCompare_2[Mob Size],0)))/INDEX(PartyCompare_0[+3 Medium], MATCH(PartyCompare_2[[#This Row],[Mob Size]],PartyCompare_2[Mob Size],0))</f>
        <v>-0.5</v>
      </c>
      <c r="BS22" s="39">
        <f>(PartyCompare_2[[#This Row],[+3 Hard]]-INDEX(PartyCompare_0[+3 Hard], MATCH(PartyCompare_2[[#This Row],[Mob Size]],PartyCompare_2[Mob Size],0)))/INDEX(PartyCompare_0[+3 Hard], MATCH(PartyCompare_2[[#This Row],[Mob Size]],PartyCompare_2[Mob Size],0))</f>
        <v>-0.51111111111111107</v>
      </c>
      <c r="BT22" s="34">
        <f>(PartyCompare_2[[#This Row],[+3 Deadly]]-INDEX(PartyCompare_0[+3 Deadly], MATCH(PartyCompare_2[[#This Row],[Mob Size]],PartyCompare_2[Mob Size],0)))/INDEX(PartyCompare_0[+3 Deadly], MATCH(PartyCompare_2[[#This Row],[Mob Size]],PartyCompare_2[Mob Size],0))</f>
        <v>-0.43333333333333335</v>
      </c>
      <c r="BU22" s="48">
        <f>AVERAGE(PartyCompare_2[[#This Row],[+3 Easy Deviation]:[+3 Deadly Deviation]])</f>
        <v>-0.49444444444444441</v>
      </c>
      <c r="BV22" s="36">
        <f>IF(ISNUMBER(PartyCompare_2[[#This Row],[Level]]), PartyCompare_2[[#This Row],[Level]]+4, PartyCompare_2[[#This Row],[Level]])</f>
        <v>8</v>
      </c>
      <c r="BW22" s="36">
        <f>INDEX(Encounter_Diff[Easy], MATCH(PartyCompare_2[[#This Row],[+4 Level]],Encounter_Diff[Player Level],0))</f>
        <v>450</v>
      </c>
      <c r="BX22" s="36">
        <f>INDEX(Encounter_Diff[Medium], MATCH(PartyCompare_2[[#This Row],[+4 Level]],Encounter_Diff[Player Level],0))</f>
        <v>900</v>
      </c>
      <c r="BY22" s="36">
        <f>INDEX(Encounter_Diff[Hard], MATCH(PartyCompare_2[[#This Row],[+4 Level]],Encounter_Diff[Player Level],0))</f>
        <v>1400</v>
      </c>
      <c r="BZ22" s="36">
        <f>INDEX(Encounter_Diff[Deadly], MATCH(PartyCompare_2[[#This Row],[+4 Level]],Encounter_Diff[Player Level],0))</f>
        <v>2100</v>
      </c>
      <c r="CA22" s="63">
        <f>SUM(PartyCompare_2[+4 (Easy)])/INDEX(Encounter_Mod[[Small]:[Large]], MATCH(PartyCompare_2[[#This Row],[Mob Size]], Encounter_Mod[Type], 0), MATCH(PartyCompare_2[[#This Row],[Party Size]],Encounter_Mod[[#Headers],[Small]:[Large]],0))</f>
        <v>300</v>
      </c>
      <c r="CB22" s="38">
        <f>SUM(PartyCompare_2[+4 (Medium)])/INDEX(Encounter_Mod[[Small]:[Large]], MATCH(PartyCompare_2[[#This Row],[Mob Size]], Encounter_Mod[Type], 0), MATCH(PartyCompare_2[[#This Row],[Party Size]],Encounter_Mod[[#Headers],[Small]:[Large]],0))</f>
        <v>600</v>
      </c>
      <c r="CC22" s="38">
        <f>SUM(PartyCompare_2[+4 (Hard)])/INDEX(Encounter_Mod[[Small]:[Large]], MATCH(PartyCompare_2[[#This Row],[Mob Size]], Encounter_Mod[Type], 0), MATCH(PartyCompare_2[[#This Row],[Party Size]],Encounter_Mod[[#Headers],[Small]:[Large]],0))</f>
        <v>933.33333333333337</v>
      </c>
      <c r="CD22" s="38">
        <f>SUM(PartyCompare_2[+4 (Deadly)])/INDEX(Encounter_Mod[[Small]:[Large]], MATCH(PartyCompare_2[[#This Row],[Mob Size]], Encounter_Mod[Type], 0), MATCH(PartyCompare_2[[#This Row],[Party Size]],Encounter_Mod[[#Headers],[Small]:[Large]],0))</f>
        <v>1400</v>
      </c>
      <c r="CE22" s="60">
        <f>(PartyCompare_2[[#This Row],[+4 Easy]]-INDEX(PartyCompare_0[+4 Easy], MATCH(PartyCompare_2[[#This Row],[Mob Size]],PartyCompare_2[Mob Size],0)))/INDEX(PartyCompare_0[+4 Easy], MATCH(PartyCompare_2[[#This Row],[Mob Size]],PartyCompare_2[Mob Size],0))</f>
        <v>-0.7</v>
      </c>
      <c r="CF22" s="39">
        <f>(PartyCompare_2[[#This Row],[+4 Medium]]-INDEX(PartyCompare_0[+4 Medium], MATCH(PartyCompare_2[[#This Row],[Mob Size]],PartyCompare_2[Mob Size],0)))/INDEX(PartyCompare_0[+4 Medium], MATCH(PartyCompare_2[[#This Row],[Mob Size]],PartyCompare_2[Mob Size],0))</f>
        <v>-0.7</v>
      </c>
      <c r="CG22" s="39">
        <f>(PartyCompare_2[[#This Row],[+4 Hard]]-INDEX(PartyCompare_0[+4 Hard], MATCH(PartyCompare_2[[#This Row],[Mob Size]],PartyCompare_2[Mob Size],0)))/INDEX(PartyCompare_0[+4 Hard], MATCH(PartyCompare_2[[#This Row],[Mob Size]],PartyCompare_2[Mob Size],0))</f>
        <v>-0.68888888888888888</v>
      </c>
      <c r="CH22" s="34">
        <f>(PartyCompare_2[[#This Row],[+4 Deadly]]-INDEX(PartyCompare_0[+4 Deadly], MATCH(PartyCompare_2[[#This Row],[Mob Size]],PartyCompare_2[Mob Size],0)))/INDEX(PartyCompare_0[+4 Deadly], MATCH(PartyCompare_2[[#This Row],[Mob Size]],PartyCompare_2[Mob Size],0))</f>
        <v>-0.68181818181818177</v>
      </c>
      <c r="CI22" s="48">
        <f>AVERAGE(PartyCompare_2[[#This Row],[+4 Easy Deviation]:[+4 Deadly Deviation]])</f>
        <v>-0.69267676767676756</v>
      </c>
    </row>
    <row r="23" spans="2:87" x14ac:dyDescent="0.2">
      <c r="B23"/>
      <c r="C23"/>
      <c r="D23"/>
      <c r="E23"/>
      <c r="F23"/>
      <c r="G23"/>
      <c r="H23"/>
      <c r="I23"/>
      <c r="J23"/>
      <c r="L23" s="233"/>
      <c r="M23" s="91"/>
      <c r="N23" s="90"/>
      <c r="O23" s="32">
        <f>INDEX(Encounter_Diff[Easy], MATCH(PartyCompare_2[[#This Row],[Level]],Encounter_Diff[Player Level],0))</f>
        <v>0</v>
      </c>
      <c r="P23" s="32">
        <f>INDEX(Encounter_Diff[Medium], MATCH(PartyCompare_2[[#This Row],[Level]],Encounter_Diff[Player Level],0))</f>
        <v>0</v>
      </c>
      <c r="Q23" s="32">
        <f>INDEX(Encounter_Diff[Hard], MATCH(PartyCompare_2[[#This Row],[Level]],Encounter_Diff[Player Level],0))</f>
        <v>0</v>
      </c>
      <c r="R23" s="30">
        <f>INDEX(Encounter_Diff[Deadly], MATCH(PartyCompare_2[[#This Row],[Level]],Encounter_Diff[Player Level],0))</f>
        <v>0</v>
      </c>
      <c r="S23" s="97">
        <f t="shared" ref="S23:S29" si="2">S22</f>
        <v>4</v>
      </c>
      <c r="T23" s="32" t="str">
        <f>IF(COUNT(PartyCompare_2[Level])&lt;=2,"Small", IF(COUNT(PartyCompare_2[Level])&lt;=5,"Med", IF(COUNT(PartyCompare_2[Level])&lt;=8, "Large", "TOO BIG!")))</f>
        <v>Small</v>
      </c>
      <c r="U23" s="73" t="s">
        <v>108</v>
      </c>
      <c r="V23" s="77" t="str">
        <f>INDEX(Encounter_Mod[Count], MATCH(PartyCompare_2[[#This Row],[Mob Size]], Encounter_Mod[Type],0))</f>
        <v>2</v>
      </c>
      <c r="W23" s="81">
        <f>SUM(PartyCompare_2[(Easy)])/INDEX(Encounter_Mod[[Small]:[Large]], MATCH(PartyCompare_2[[#This Row],[Mob Size]], Encounter_Mod[Type], 0), MATCH(PartyCompare_2[[#This Row],[Party Size]],Encounter_Mod[[#Headers],[Small]:[Large]],0))</f>
        <v>62.5</v>
      </c>
      <c r="X23" s="42">
        <f>SUM(PartyCompare_2[(Medium)])/INDEX(Encounter_Mod[[Small]:[Large]], MATCH(PartyCompare_2[[#This Row],[Mob Size]], Encounter_Mod[Type], 0), MATCH(PartyCompare_2[[#This Row],[Party Size]],Encounter_Mod[[#Headers],[Small]:[Large]],0))</f>
        <v>125</v>
      </c>
      <c r="Y23" s="42">
        <f>SUM(PartyCompare_2[(Hard)])/INDEX(Encounter_Mod[[Small]:[Large]], MATCH(PartyCompare_2[[#This Row],[Mob Size]], Encounter_Mod[Type], 0), MATCH(PartyCompare_2[[#This Row],[Party Size]],Encounter_Mod[[#Headers],[Small]:[Large]],0))</f>
        <v>187.5</v>
      </c>
      <c r="Z23" s="43">
        <f>SUM(PartyCompare_2[(Deadly)])/INDEX(Encounter_Mod[[Small]:[Large]], MATCH(PartyCompare_2[[#This Row],[Mob Size]], Encounter_Mod[Type], 0), MATCH(PartyCompare_2[[#This Row],[Party Size]],Encounter_Mod[[#Headers],[Small]:[Large]],0))</f>
        <v>250</v>
      </c>
      <c r="AA23" s="46">
        <f>(PartyCompare_2[[#This Row],[Easy]]-INDEX(PartyCompare_0[Easy], MATCH(PartyCompare_2[[#This Row],[Mob Size]],PartyCompare_0[Mob Size],0)))/INDEX(PartyCompare_0[Easy], MATCH(PartyCompare_2[[#This Row],[Mob Size]],PartyCompare_0[Mob Size],0))</f>
        <v>-6.2500000000000069E-2</v>
      </c>
      <c r="AB23" s="33">
        <f>(PartyCompare_2[[#This Row],[Medium]]-INDEX(PartyCompare_0[Medium], MATCH(PartyCompare_2[[#This Row],[Mob Size]],PartyCompare_0[Mob Size],0)))/INDEX(PartyCompare_0[Medium], MATCH(PartyCompare_2[[#This Row],[Mob Size]],PartyCompare_0[Mob Size],0))</f>
        <v>-6.2500000000000069E-2</v>
      </c>
      <c r="AC23" s="33">
        <f>(PartyCompare_2[[#This Row],[Hard]]-INDEX(PartyCompare_0[Hard], MATCH(PartyCompare_2[[#This Row],[Mob Size]],PartyCompare_0[Mob Size],0)))/INDEX(PartyCompare_0[Hard], MATCH(PartyCompare_2[[#This Row],[Mob Size]],PartyCompare_0[Mob Size],0))</f>
        <v>-6.25E-2</v>
      </c>
      <c r="AD23" s="34">
        <f>(PartyCompare_2[[#This Row],[Deadly]]-INDEX(PartyCompare_0[Deadly], MATCH(PartyCompare_2[[#This Row],[Mob Size]],PartyCompare_0[Mob Size],0)))/INDEX(PartyCompare_0[Deadly], MATCH(PartyCompare_2[[#This Row],[Mob Size]],PartyCompare_0[Mob Size],0))</f>
        <v>-6.2500000000000069E-2</v>
      </c>
      <c r="AE23" s="48">
        <f>AVERAGE(PartyCompare_2[[#This Row],[Easy Deviation]:[Deadly Deviation]])</f>
        <v>-6.2500000000000056E-2</v>
      </c>
      <c r="AF23" s="36">
        <f>IF(ISNUMBER(PartyCompare_2[[#This Row],[Level]]), PartyCompare_2[[#This Row],[Level]]+1, PartyCompare_2[[#This Row],[Level]])</f>
        <v>0</v>
      </c>
      <c r="AG23" s="36">
        <f>INDEX(Encounter_Diff[Easy], MATCH(PartyCompare_2[[#This Row],[+1 Level]],Encounter_Diff[Player Level],0))</f>
        <v>0</v>
      </c>
      <c r="AH23" s="36">
        <f>INDEX(Encounter_Diff[Medium], MATCH(PartyCompare_2[[#This Row],[+1 Level]],Encounter_Diff[Player Level],0))</f>
        <v>0</v>
      </c>
      <c r="AI23" s="36">
        <f>INDEX(Encounter_Diff[Hard], MATCH(PartyCompare_2[[#This Row],[+1 Level]],Encounter_Diff[Player Level],0))</f>
        <v>0</v>
      </c>
      <c r="AJ23" s="36">
        <f>INDEX(Encounter_Diff[Deadly], MATCH(PartyCompare_2[[#This Row],[+1 Level]],Encounter_Diff[Player Level],0))</f>
        <v>0</v>
      </c>
      <c r="AK23" s="63">
        <f>SUM(PartyCompare_2[+1 (Easy)])/INDEX(Encounter_Mod[[Small]:[Large]], MATCH(PartyCompare_2[[#This Row],[Mob Size]], Encounter_Mod[Type], 0), MATCH(PartyCompare_2[[#This Row],[Party Size]],Encounter_Mod[[#Headers],[Small]:[Large]],0))</f>
        <v>125</v>
      </c>
      <c r="AL23" s="38">
        <f>SUM(PartyCompare_2[+1 (Medium)])/INDEX(Encounter_Mod[[Small]:[Large]], MATCH(PartyCompare_2[[#This Row],[Mob Size]], Encounter_Mod[Type], 0), MATCH(PartyCompare_2[[#This Row],[Party Size]],Encounter_Mod[[#Headers],[Small]:[Large]],0))</f>
        <v>250</v>
      </c>
      <c r="AM23" s="38">
        <f>SUM(PartyCompare_2[+1 (Hard)])/INDEX(Encounter_Mod[[Small]:[Large]], MATCH(PartyCompare_2[[#This Row],[Mob Size]], Encounter_Mod[Type], 0), MATCH(PartyCompare_2[[#This Row],[Party Size]],Encounter_Mod[[#Headers],[Small]:[Large]],0))</f>
        <v>375</v>
      </c>
      <c r="AN23" s="38">
        <f>SUM(PartyCompare_2[+1 (Deadly)])/INDEX(Encounter_Mod[[Small]:[Large]], MATCH(PartyCompare_2[[#This Row],[Mob Size]], Encounter_Mod[Type], 0), MATCH(PartyCompare_2[[#This Row],[Party Size]],Encounter_Mod[[#Headers],[Small]:[Large]],0))</f>
        <v>550</v>
      </c>
      <c r="AO23" s="46">
        <f>(PartyCompare_2[[#This Row],[+1 Easy]]-INDEX(PartyCompare_0[+1 Easy], MATCH(PartyCompare_2[[#This Row],[Mob Size]],PartyCompare_2[Mob Size],0)))/INDEX(PartyCompare_0[+1 Easy], MATCH(PartyCompare_2[[#This Row],[Mob Size]],PartyCompare_2[Mob Size],0))</f>
        <v>-6.2500000000000069E-2</v>
      </c>
      <c r="AP23" s="39">
        <f>(PartyCompare_2[[#This Row],[+1 Medium]]-INDEX(PartyCompare_0[+1 Medium], MATCH(PartyCompare_2[[#This Row],[Mob Size]],PartyCompare_2[Mob Size],0)))/INDEX(PartyCompare_0[+1 Medium], MATCH(PartyCompare_2[[#This Row],[Mob Size]],PartyCompare_2[Mob Size],0))</f>
        <v>-6.2500000000000069E-2</v>
      </c>
      <c r="AQ23" s="39">
        <f>(PartyCompare_2[[#This Row],[+1 Hard]]-INDEX(PartyCompare_0[+1 Hard], MATCH(PartyCompare_2[[#This Row],[Mob Size]],PartyCompare_2[Mob Size],0)))/INDEX(PartyCompare_0[+1 Hard], MATCH(PartyCompare_2[[#This Row],[Mob Size]],PartyCompare_2[Mob Size],0))</f>
        <v>-6.25E-2</v>
      </c>
      <c r="AR23" s="34">
        <f>(PartyCompare_2[[#This Row],[+1 Deadly]]-INDEX(PartyCompare_0[+1 Deadly], MATCH(PartyCompare_2[[#This Row],[Mob Size]],PartyCompare_2[Mob Size],0)))/INDEX(PartyCompare_0[+1 Deadly], MATCH(PartyCompare_2[[#This Row],[Mob Size]],PartyCompare_2[Mob Size],0))</f>
        <v>3.1249999999999927E-2</v>
      </c>
      <c r="AS23" s="48">
        <f>AVERAGE(PartyCompare_2[[#This Row],[+1 Easy Deviation]:[+1 Deadly Deviation]])</f>
        <v>-3.9062500000000056E-2</v>
      </c>
      <c r="AT23" s="36">
        <f>IF(ISNUMBER(PartyCompare_2[[#This Row],[Level]]), PartyCompare_2[[#This Row],[Level]]+2, PartyCompare_2[[#This Row],[Level]])</f>
        <v>0</v>
      </c>
      <c r="AU23" s="36">
        <f>INDEX(Encounter_Diff[Easy], MATCH(PartyCompare_2[[#This Row],[+2 Level]],Encounter_Diff[Player Level],0))</f>
        <v>0</v>
      </c>
      <c r="AV23" s="36">
        <f>INDEX(Encounter_Diff[Medium], MATCH(PartyCompare_2[[#This Row],[+2 Level]],Encounter_Diff[Player Level],0))</f>
        <v>0</v>
      </c>
      <c r="AW23" s="36">
        <f>INDEX(Encounter_Diff[Hard], MATCH(PartyCompare_2[[#This Row],[+2 Level]],Encounter_Diff[Player Level],0))</f>
        <v>0</v>
      </c>
      <c r="AX23" s="36">
        <f>INDEX(Encounter_Diff[Deadly], MATCH(PartyCompare_2[[#This Row],[+2 Level]],Encounter_Diff[Player Level],0))</f>
        <v>0</v>
      </c>
      <c r="AY23" s="63">
        <f>SUM(PartyCompare_2[+2 (Easy)])/INDEX(Encounter_Mod[[Small]:[Large]], MATCH(PartyCompare_2[[#This Row],[Mob Size]], Encounter_Mod[Type], 0), MATCH(PartyCompare_2[[#This Row],[Party Size]],Encounter_Mod[[#Headers],[Small]:[Large]],0))</f>
        <v>150</v>
      </c>
      <c r="AZ23" s="38">
        <f>SUM(PartyCompare_2[+2 (Medium)])/INDEX(Encounter_Mod[[Small]:[Large]], MATCH(PartyCompare_2[[#This Row],[Mob Size]], Encounter_Mod[Type], 0), MATCH(PartyCompare_2[[#This Row],[Party Size]],Encounter_Mod[[#Headers],[Small]:[Large]],0))</f>
        <v>300</v>
      </c>
      <c r="BA23" s="38">
        <f>SUM(PartyCompare_2[+2 (Hard)])/INDEX(Encounter_Mod[[Small]:[Large]], MATCH(PartyCompare_2[[#This Row],[Mob Size]], Encounter_Mod[Type], 0), MATCH(PartyCompare_2[[#This Row],[Party Size]],Encounter_Mod[[#Headers],[Small]:[Large]],0))</f>
        <v>450</v>
      </c>
      <c r="BB23" s="38">
        <f>SUM(PartyCompare_2[+2 (Deadly)])/INDEX(Encounter_Mod[[Small]:[Large]], MATCH(PartyCompare_2[[#This Row],[Mob Size]], Encounter_Mod[Type], 0), MATCH(PartyCompare_2[[#This Row],[Party Size]],Encounter_Mod[[#Headers],[Small]:[Large]],0))</f>
        <v>700</v>
      </c>
      <c r="BC23" s="46">
        <f>(PartyCompare_2[[#This Row],[+2 Easy]]-INDEX(PartyCompare_0[+2 Easy], MATCH(PartyCompare_2[[#This Row],[Mob Size]],PartyCompare_2[Mob Size],0)))/INDEX(PartyCompare_0[+2 Easy], MATCH(PartyCompare_2[[#This Row],[Mob Size]],PartyCompare_2[Mob Size],0))</f>
        <v>-0.25</v>
      </c>
      <c r="BD23" s="39">
        <f>(PartyCompare_2[[#This Row],[+2 Medium]]-INDEX(PartyCompare_0[+2 Medium], MATCH(PartyCompare_2[[#This Row],[Mob Size]],PartyCompare_2[Mob Size],0)))/INDEX(PartyCompare_0[+2 Medium], MATCH(PartyCompare_2[[#This Row],[Mob Size]],PartyCompare_2[Mob Size],0))</f>
        <v>-0.25</v>
      </c>
      <c r="BE23" s="39">
        <f>(PartyCompare_2[[#This Row],[+2 Hard]]-INDEX(PartyCompare_0[+2 Hard], MATCH(PartyCompare_2[[#This Row],[Mob Size]],PartyCompare_2[Mob Size],0)))/INDEX(PartyCompare_0[+2 Hard], MATCH(PartyCompare_2[[#This Row],[Mob Size]],PartyCompare_2[Mob Size],0))</f>
        <v>-0.25</v>
      </c>
      <c r="BF23" s="34">
        <f>(PartyCompare_2[[#This Row],[+2 Deadly]]-INDEX(PartyCompare_0[+2 Deadly], MATCH(PartyCompare_2[[#This Row],[Mob Size]],PartyCompare_2[Mob Size],0)))/INDEX(PartyCompare_0[+2 Deadly], MATCH(PartyCompare_2[[#This Row],[Mob Size]],PartyCompare_2[Mob Size],0))</f>
        <v>-0.34375000000000006</v>
      </c>
      <c r="BG23" s="48">
        <f>AVERAGE(PartyCompare_2[[#This Row],[+2 Easy Deviation]:[+2 Deadly Deviation]])</f>
        <v>-0.2734375</v>
      </c>
      <c r="BH23" s="36">
        <f>IF(ISNUMBER(PartyCompare_2[[#This Row],[Level]]), PartyCompare_2[[#This Row],[Level]]+3, PartyCompare_2[[#This Row],[Level]])</f>
        <v>0</v>
      </c>
      <c r="BI23" s="36">
        <f>INDEX(Encounter_Diff[Easy], MATCH(PartyCompare_2[[#This Row],[+3 Level]],Encounter_Diff[Player Level],0))</f>
        <v>0</v>
      </c>
      <c r="BJ23" s="36">
        <f>INDEX(Encounter_Diff[Medium], MATCH(PartyCompare_2[[#This Row],[+3 Level]],Encounter_Diff[Player Level],0))</f>
        <v>0</v>
      </c>
      <c r="BK23" s="36">
        <f>INDEX(Encounter_Diff[Hard], MATCH(PartyCompare_2[[#This Row],[+3 Level]],Encounter_Diff[Player Level],0))</f>
        <v>0</v>
      </c>
      <c r="BL23" s="36">
        <f>INDEX(Encounter_Diff[Deadly], MATCH(PartyCompare_2[[#This Row],[+3 Level]],Encounter_Diff[Player Level],0))</f>
        <v>0</v>
      </c>
      <c r="BM23" s="63">
        <f>SUM(PartyCompare_2[+3 (Easy)])/INDEX(Encounter_Mod[[Small]:[Large]], MATCH(PartyCompare_2[[#This Row],[Mob Size]], Encounter_Mod[Type], 0), MATCH(PartyCompare_2[[#This Row],[Party Size]],Encounter_Mod[[#Headers],[Small]:[Large]],0))</f>
        <v>175</v>
      </c>
      <c r="BN23" s="38">
        <f>SUM(PartyCompare_2[+3 (Medium)])/INDEX(Encounter_Mod[[Small]:[Large]], MATCH(PartyCompare_2[[#This Row],[Mob Size]], Encounter_Mod[Type], 0), MATCH(PartyCompare_2[[#This Row],[Party Size]],Encounter_Mod[[#Headers],[Small]:[Large]],0))</f>
        <v>375</v>
      </c>
      <c r="BO23" s="38">
        <f>SUM(PartyCompare_2[+3 (Hard)])/INDEX(Encounter_Mod[[Small]:[Large]], MATCH(PartyCompare_2[[#This Row],[Mob Size]], Encounter_Mod[Type], 0), MATCH(PartyCompare_2[[#This Row],[Party Size]],Encounter_Mod[[#Headers],[Small]:[Large]],0))</f>
        <v>550</v>
      </c>
      <c r="BP23" s="38">
        <f>SUM(PartyCompare_2[+3 (Deadly)])/INDEX(Encounter_Mod[[Small]:[Large]], MATCH(PartyCompare_2[[#This Row],[Mob Size]], Encounter_Mod[Type], 0), MATCH(PartyCompare_2[[#This Row],[Party Size]],Encounter_Mod[[#Headers],[Small]:[Large]],0))</f>
        <v>850</v>
      </c>
      <c r="BQ23" s="46">
        <f>(PartyCompare_2[[#This Row],[+3 Easy]]-INDEX(PartyCompare_0[+3 Easy], MATCH(PartyCompare_2[[#This Row],[Mob Size]],PartyCompare_2[Mob Size],0)))/INDEX(PartyCompare_0[+3 Easy], MATCH(PartyCompare_2[[#This Row],[Mob Size]],PartyCompare_2[Mob Size],0))</f>
        <v>-0.47499999999999998</v>
      </c>
      <c r="BR23" s="39">
        <f>(PartyCompare_2[[#This Row],[+3 Medium]]-INDEX(PartyCompare_0[+3 Medium], MATCH(PartyCompare_2[[#This Row],[Mob Size]],PartyCompare_2[Mob Size],0)))/INDEX(PartyCompare_0[+3 Medium], MATCH(PartyCompare_2[[#This Row],[Mob Size]],PartyCompare_2[Mob Size],0))</f>
        <v>-0.43749999999999994</v>
      </c>
      <c r="BS23" s="39">
        <f>(PartyCompare_2[[#This Row],[+3 Hard]]-INDEX(PartyCompare_0[+3 Hard], MATCH(PartyCompare_2[[#This Row],[Mob Size]],PartyCompare_2[Mob Size],0)))/INDEX(PartyCompare_0[+3 Hard], MATCH(PartyCompare_2[[#This Row],[Mob Size]],PartyCompare_2[Mob Size],0))</f>
        <v>-0.45</v>
      </c>
      <c r="BT23" s="34">
        <f>(PartyCompare_2[[#This Row],[+3 Deadly]]-INDEX(PartyCompare_0[+3 Deadly], MATCH(PartyCompare_2[[#This Row],[Mob Size]],PartyCompare_2[Mob Size],0)))/INDEX(PartyCompare_0[+3 Deadly], MATCH(PartyCompare_2[[#This Row],[Mob Size]],PartyCompare_2[Mob Size],0))</f>
        <v>-0.36249999999999999</v>
      </c>
      <c r="BU23" s="48">
        <f>AVERAGE(PartyCompare_2[[#This Row],[+3 Easy Deviation]:[+3 Deadly Deviation]])</f>
        <v>-0.43124999999999997</v>
      </c>
      <c r="BV23" s="36">
        <f>IF(ISNUMBER(PartyCompare_2[[#This Row],[Level]]), PartyCompare_2[[#This Row],[Level]]+4, PartyCompare_2[[#This Row],[Level]])</f>
        <v>0</v>
      </c>
      <c r="BW23" s="36">
        <f>INDEX(Encounter_Diff[Easy], MATCH(PartyCompare_2[[#This Row],[+4 Level]],Encounter_Diff[Player Level],0))</f>
        <v>0</v>
      </c>
      <c r="BX23" s="36">
        <f>INDEX(Encounter_Diff[Medium], MATCH(PartyCompare_2[[#This Row],[+4 Level]],Encounter_Diff[Player Level],0))</f>
        <v>0</v>
      </c>
      <c r="BY23" s="36">
        <f>INDEX(Encounter_Diff[Hard], MATCH(PartyCompare_2[[#This Row],[+4 Level]],Encounter_Diff[Player Level],0))</f>
        <v>0</v>
      </c>
      <c r="BZ23" s="36">
        <f>INDEX(Encounter_Diff[Deadly], MATCH(PartyCompare_2[[#This Row],[+4 Level]],Encounter_Diff[Player Level],0))</f>
        <v>0</v>
      </c>
      <c r="CA23" s="63">
        <f>SUM(PartyCompare_2[+4 (Easy)])/INDEX(Encounter_Mod[[Small]:[Large]], MATCH(PartyCompare_2[[#This Row],[Mob Size]], Encounter_Mod[Type], 0), MATCH(PartyCompare_2[[#This Row],[Party Size]],Encounter_Mod[[#Headers],[Small]:[Large]],0))</f>
        <v>225</v>
      </c>
      <c r="CB23" s="38">
        <f>SUM(PartyCompare_2[+4 (Medium)])/INDEX(Encounter_Mod[[Small]:[Large]], MATCH(PartyCompare_2[[#This Row],[Mob Size]], Encounter_Mod[Type], 0), MATCH(PartyCompare_2[[#This Row],[Party Size]],Encounter_Mod[[#Headers],[Small]:[Large]],0))</f>
        <v>450</v>
      </c>
      <c r="CC23" s="38">
        <f>SUM(PartyCompare_2[+4 (Hard)])/INDEX(Encounter_Mod[[Small]:[Large]], MATCH(PartyCompare_2[[#This Row],[Mob Size]], Encounter_Mod[Type], 0), MATCH(PartyCompare_2[[#This Row],[Party Size]],Encounter_Mod[[#Headers],[Small]:[Large]],0))</f>
        <v>700</v>
      </c>
      <c r="CD23" s="38">
        <f>SUM(PartyCompare_2[+4 (Deadly)])/INDEX(Encounter_Mod[[Small]:[Large]], MATCH(PartyCompare_2[[#This Row],[Mob Size]], Encounter_Mod[Type], 0), MATCH(PartyCompare_2[[#This Row],[Party Size]],Encounter_Mod[[#Headers],[Small]:[Large]],0))</f>
        <v>1050</v>
      </c>
      <c r="CE23" s="46">
        <f>(PartyCompare_2[[#This Row],[+4 Easy]]-INDEX(PartyCompare_0[+4 Easy], MATCH(PartyCompare_2[[#This Row],[Mob Size]],PartyCompare_2[Mob Size],0)))/INDEX(PartyCompare_0[+4 Easy], MATCH(PartyCompare_2[[#This Row],[Mob Size]],PartyCompare_2[Mob Size],0))</f>
        <v>-0.66249999999999998</v>
      </c>
      <c r="CF23" s="39">
        <f>(PartyCompare_2[[#This Row],[+4 Medium]]-INDEX(PartyCompare_0[+4 Medium], MATCH(PartyCompare_2[[#This Row],[Mob Size]],PartyCompare_2[Mob Size],0)))/INDEX(PartyCompare_0[+4 Medium], MATCH(PartyCompare_2[[#This Row],[Mob Size]],PartyCompare_2[Mob Size],0))</f>
        <v>-0.66249999999999998</v>
      </c>
      <c r="CG23" s="39">
        <f>(PartyCompare_2[[#This Row],[+4 Hard]]-INDEX(PartyCompare_0[+4 Hard], MATCH(PartyCompare_2[[#This Row],[Mob Size]],PartyCompare_2[Mob Size],0)))/INDEX(PartyCompare_0[+4 Hard], MATCH(PartyCompare_2[[#This Row],[Mob Size]],PartyCompare_2[Mob Size],0))</f>
        <v>-0.65</v>
      </c>
      <c r="CH23" s="34">
        <f>(PartyCompare_2[[#This Row],[+4 Deadly]]-INDEX(PartyCompare_0[+4 Deadly], MATCH(PartyCompare_2[[#This Row],[Mob Size]],PartyCompare_2[Mob Size],0)))/INDEX(PartyCompare_0[+4 Deadly], MATCH(PartyCompare_2[[#This Row],[Mob Size]],PartyCompare_2[Mob Size],0))</f>
        <v>-0.64204545454545459</v>
      </c>
      <c r="CI23" s="48">
        <f>AVERAGE(PartyCompare_2[[#This Row],[+4 Easy Deviation]:[+4 Deadly Deviation]])</f>
        <v>-0.65426136363636367</v>
      </c>
    </row>
    <row r="24" spans="2:87" x14ac:dyDescent="0.2">
      <c r="B24"/>
      <c r="C24"/>
      <c r="D24"/>
      <c r="E24"/>
      <c r="F24"/>
      <c r="G24"/>
      <c r="H24"/>
      <c r="I24"/>
      <c r="J24"/>
      <c r="L24" s="233"/>
      <c r="M24" s="91"/>
      <c r="N24" s="90"/>
      <c r="O24" s="32">
        <f>INDEX(Encounter_Diff[Easy], MATCH(PartyCompare_2[[#This Row],[Level]],Encounter_Diff[Player Level],0))</f>
        <v>0</v>
      </c>
      <c r="P24" s="32">
        <f>INDEX(Encounter_Diff[Medium], MATCH(PartyCompare_2[[#This Row],[Level]],Encounter_Diff[Player Level],0))</f>
        <v>0</v>
      </c>
      <c r="Q24" s="32">
        <f>INDEX(Encounter_Diff[Hard], MATCH(PartyCompare_2[[#This Row],[Level]],Encounter_Diff[Player Level],0))</f>
        <v>0</v>
      </c>
      <c r="R24" s="30">
        <f>INDEX(Encounter_Diff[Deadly], MATCH(PartyCompare_2[[#This Row],[Level]],Encounter_Diff[Player Level],0))</f>
        <v>0</v>
      </c>
      <c r="S24" s="97">
        <f t="shared" si="2"/>
        <v>4</v>
      </c>
      <c r="T24" s="32" t="str">
        <f>IF(COUNT(PartyCompare_2[Level])&lt;=2,"Small", IF(COUNT(PartyCompare_2[Level])&lt;=5,"Med", IF(COUNT(PartyCompare_2[Level])&lt;=8, "Large", "TOO BIG!")))</f>
        <v>Small</v>
      </c>
      <c r="U24" s="73" t="s">
        <v>109</v>
      </c>
      <c r="V24" s="77" t="str">
        <f>INDEX(Encounter_Mod[Count], MATCH(PartyCompare_2[[#This Row],[Mob Size]], Encounter_Mod[Type],0))</f>
        <v>3-6</v>
      </c>
      <c r="W24" s="81">
        <f>SUM(PartyCompare_2[(Easy)])/INDEX(Encounter_Mod[[Small]:[Large]], MATCH(PartyCompare_2[[#This Row],[Mob Size]], Encounter_Mod[Type], 0), MATCH(PartyCompare_2[[#This Row],[Party Size]],Encounter_Mod[[#Headers],[Small]:[Large]],0))</f>
        <v>50</v>
      </c>
      <c r="X24" s="42">
        <f>SUM(PartyCompare_2[(Medium)])/INDEX(Encounter_Mod[[Small]:[Large]], MATCH(PartyCompare_2[[#This Row],[Mob Size]], Encounter_Mod[Type], 0), MATCH(PartyCompare_2[[#This Row],[Party Size]],Encounter_Mod[[#Headers],[Small]:[Large]],0))</f>
        <v>100</v>
      </c>
      <c r="Y24" s="42">
        <f>SUM(PartyCompare_2[(Hard)])/INDEX(Encounter_Mod[[Small]:[Large]], MATCH(PartyCompare_2[[#This Row],[Mob Size]], Encounter_Mod[Type], 0), MATCH(PartyCompare_2[[#This Row],[Party Size]],Encounter_Mod[[#Headers],[Small]:[Large]],0))</f>
        <v>150</v>
      </c>
      <c r="Z24" s="43">
        <f>SUM(PartyCompare_2[(Deadly)])/INDEX(Encounter_Mod[[Small]:[Large]], MATCH(PartyCompare_2[[#This Row],[Mob Size]], Encounter_Mod[Type], 0), MATCH(PartyCompare_2[[#This Row],[Party Size]],Encounter_Mod[[#Headers],[Small]:[Large]],0))</f>
        <v>200</v>
      </c>
      <c r="AA24" s="46">
        <f>(PartyCompare_2[[#This Row],[Easy]]-INDEX(PartyCompare_0[Easy], MATCH(PartyCompare_2[[#This Row],[Mob Size]],PartyCompare_0[Mob Size],0)))/INDEX(PartyCompare_0[Easy], MATCH(PartyCompare_2[[#This Row],[Mob Size]],PartyCompare_0[Mob Size],0))</f>
        <v>0</v>
      </c>
      <c r="AB24" s="33">
        <f>(PartyCompare_2[[#This Row],[Medium]]-INDEX(PartyCompare_0[Medium], MATCH(PartyCompare_2[[#This Row],[Mob Size]],PartyCompare_0[Mob Size],0)))/INDEX(PartyCompare_0[Medium], MATCH(PartyCompare_2[[#This Row],[Mob Size]],PartyCompare_0[Mob Size],0))</f>
        <v>0</v>
      </c>
      <c r="AC24" s="33">
        <f>(PartyCompare_2[[#This Row],[Hard]]-INDEX(PartyCompare_0[Hard], MATCH(PartyCompare_2[[#This Row],[Mob Size]],PartyCompare_0[Mob Size],0)))/INDEX(PartyCompare_0[Hard], MATCH(PartyCompare_2[[#This Row],[Mob Size]],PartyCompare_0[Mob Size],0))</f>
        <v>0</v>
      </c>
      <c r="AD24" s="34">
        <f>(PartyCompare_2[[#This Row],[Deadly]]-INDEX(PartyCompare_0[Deadly], MATCH(PartyCompare_2[[#This Row],[Mob Size]],PartyCompare_0[Mob Size],0)))/INDEX(PartyCompare_0[Deadly], MATCH(PartyCompare_2[[#This Row],[Mob Size]],PartyCompare_0[Mob Size],0))</f>
        <v>0</v>
      </c>
      <c r="AE24" s="48">
        <f>AVERAGE(PartyCompare_2[[#This Row],[Easy Deviation]:[Deadly Deviation]])</f>
        <v>0</v>
      </c>
      <c r="AF24" s="36">
        <f>IF(ISNUMBER(PartyCompare_2[[#This Row],[Level]]), PartyCompare_2[[#This Row],[Level]]+1, PartyCompare_2[[#This Row],[Level]])</f>
        <v>0</v>
      </c>
      <c r="AG24" s="36">
        <f>INDEX(Encounter_Diff[Easy], MATCH(PartyCompare_2[[#This Row],[+1 Level]],Encounter_Diff[Player Level],0))</f>
        <v>0</v>
      </c>
      <c r="AH24" s="36">
        <f>INDEX(Encounter_Diff[Medium], MATCH(PartyCompare_2[[#This Row],[+1 Level]],Encounter_Diff[Player Level],0))</f>
        <v>0</v>
      </c>
      <c r="AI24" s="36">
        <f>INDEX(Encounter_Diff[Hard], MATCH(PartyCompare_2[[#This Row],[+1 Level]],Encounter_Diff[Player Level],0))</f>
        <v>0</v>
      </c>
      <c r="AJ24" s="36">
        <f>INDEX(Encounter_Diff[Deadly], MATCH(PartyCompare_2[[#This Row],[+1 Level]],Encounter_Diff[Player Level],0))</f>
        <v>0</v>
      </c>
      <c r="AK24" s="63">
        <f>SUM(PartyCompare_2[+1 (Easy)])/INDEX(Encounter_Mod[[Small]:[Large]], MATCH(PartyCompare_2[[#This Row],[Mob Size]], Encounter_Mod[Type], 0), MATCH(PartyCompare_2[[#This Row],[Party Size]],Encounter_Mod[[#Headers],[Small]:[Large]],0))</f>
        <v>100</v>
      </c>
      <c r="AL24" s="38">
        <f>SUM(PartyCompare_2[+1 (Medium)])/INDEX(Encounter_Mod[[Small]:[Large]], MATCH(PartyCompare_2[[#This Row],[Mob Size]], Encounter_Mod[Type], 0), MATCH(PartyCompare_2[[#This Row],[Party Size]],Encounter_Mod[[#Headers],[Small]:[Large]],0))</f>
        <v>200</v>
      </c>
      <c r="AM24" s="38">
        <f>SUM(PartyCompare_2[+1 (Hard)])/INDEX(Encounter_Mod[[Small]:[Large]], MATCH(PartyCompare_2[[#This Row],[Mob Size]], Encounter_Mod[Type], 0), MATCH(PartyCompare_2[[#This Row],[Party Size]],Encounter_Mod[[#Headers],[Small]:[Large]],0))</f>
        <v>300</v>
      </c>
      <c r="AN24" s="38">
        <f>SUM(PartyCompare_2[+1 (Deadly)])/INDEX(Encounter_Mod[[Small]:[Large]], MATCH(PartyCompare_2[[#This Row],[Mob Size]], Encounter_Mod[Type], 0), MATCH(PartyCompare_2[[#This Row],[Party Size]],Encounter_Mod[[#Headers],[Small]:[Large]],0))</f>
        <v>440</v>
      </c>
      <c r="AO24" s="46">
        <f>(PartyCompare_2[[#This Row],[+1 Easy]]-INDEX(PartyCompare_0[+1 Easy], MATCH(PartyCompare_2[[#This Row],[Mob Size]],PartyCompare_2[Mob Size],0)))/INDEX(PartyCompare_0[+1 Easy], MATCH(PartyCompare_2[[#This Row],[Mob Size]],PartyCompare_2[Mob Size],0))</f>
        <v>0</v>
      </c>
      <c r="AP24" s="39">
        <f>(PartyCompare_2[[#This Row],[+1 Medium]]-INDEX(PartyCompare_0[+1 Medium], MATCH(PartyCompare_2[[#This Row],[Mob Size]],PartyCompare_2[Mob Size],0)))/INDEX(PartyCompare_0[+1 Medium], MATCH(PartyCompare_2[[#This Row],[Mob Size]],PartyCompare_2[Mob Size],0))</f>
        <v>0</v>
      </c>
      <c r="AQ24" s="39">
        <f>(PartyCompare_2[[#This Row],[+1 Hard]]-INDEX(PartyCompare_0[+1 Hard], MATCH(PartyCompare_2[[#This Row],[Mob Size]],PartyCompare_2[Mob Size],0)))/INDEX(PartyCompare_0[+1 Hard], MATCH(PartyCompare_2[[#This Row],[Mob Size]],PartyCompare_2[Mob Size],0))</f>
        <v>0</v>
      </c>
      <c r="AR24" s="34">
        <f>(PartyCompare_2[[#This Row],[+1 Deadly]]-INDEX(PartyCompare_0[+1 Deadly], MATCH(PartyCompare_2[[#This Row],[Mob Size]],PartyCompare_2[Mob Size],0)))/INDEX(PartyCompare_0[+1 Deadly], MATCH(PartyCompare_2[[#This Row],[Mob Size]],PartyCompare_2[Mob Size],0))</f>
        <v>0.1</v>
      </c>
      <c r="AS24" s="48">
        <f>AVERAGE(PartyCompare_2[[#This Row],[+1 Easy Deviation]:[+1 Deadly Deviation]])</f>
        <v>2.5000000000000001E-2</v>
      </c>
      <c r="AT24" s="36">
        <f>IF(ISNUMBER(PartyCompare_2[[#This Row],[Level]]), PartyCompare_2[[#This Row],[Level]]+2, PartyCompare_2[[#This Row],[Level]])</f>
        <v>0</v>
      </c>
      <c r="AU24" s="36">
        <f>INDEX(Encounter_Diff[Easy], MATCH(PartyCompare_2[[#This Row],[+2 Level]],Encounter_Diff[Player Level],0))</f>
        <v>0</v>
      </c>
      <c r="AV24" s="36">
        <f>INDEX(Encounter_Diff[Medium], MATCH(PartyCompare_2[[#This Row],[+2 Level]],Encounter_Diff[Player Level],0))</f>
        <v>0</v>
      </c>
      <c r="AW24" s="36">
        <f>INDEX(Encounter_Diff[Hard], MATCH(PartyCompare_2[[#This Row],[+2 Level]],Encounter_Diff[Player Level],0))</f>
        <v>0</v>
      </c>
      <c r="AX24" s="36">
        <f>INDEX(Encounter_Diff[Deadly], MATCH(PartyCompare_2[[#This Row],[+2 Level]],Encounter_Diff[Player Level],0))</f>
        <v>0</v>
      </c>
      <c r="AY24" s="63">
        <f>SUM(PartyCompare_2[+2 (Easy)])/INDEX(Encounter_Mod[[Small]:[Large]], MATCH(PartyCompare_2[[#This Row],[Mob Size]], Encounter_Mod[Type], 0), MATCH(PartyCompare_2[[#This Row],[Party Size]],Encounter_Mod[[#Headers],[Small]:[Large]],0))</f>
        <v>120</v>
      </c>
      <c r="AZ24" s="38">
        <f>SUM(PartyCompare_2[+2 (Medium)])/INDEX(Encounter_Mod[[Small]:[Large]], MATCH(PartyCompare_2[[#This Row],[Mob Size]], Encounter_Mod[Type], 0), MATCH(PartyCompare_2[[#This Row],[Party Size]],Encounter_Mod[[#Headers],[Small]:[Large]],0))</f>
        <v>240</v>
      </c>
      <c r="BA24" s="38">
        <f>SUM(PartyCompare_2[+2 (Hard)])/INDEX(Encounter_Mod[[Small]:[Large]], MATCH(PartyCompare_2[[#This Row],[Mob Size]], Encounter_Mod[Type], 0), MATCH(PartyCompare_2[[#This Row],[Party Size]],Encounter_Mod[[#Headers],[Small]:[Large]],0))</f>
        <v>360</v>
      </c>
      <c r="BB24" s="38">
        <f>SUM(PartyCompare_2[+2 (Deadly)])/INDEX(Encounter_Mod[[Small]:[Large]], MATCH(PartyCompare_2[[#This Row],[Mob Size]], Encounter_Mod[Type], 0), MATCH(PartyCompare_2[[#This Row],[Party Size]],Encounter_Mod[[#Headers],[Small]:[Large]],0))</f>
        <v>560</v>
      </c>
      <c r="BC24" s="46">
        <f>(PartyCompare_2[[#This Row],[+2 Easy]]-INDEX(PartyCompare_0[+2 Easy], MATCH(PartyCompare_2[[#This Row],[Mob Size]],PartyCompare_2[Mob Size],0)))/INDEX(PartyCompare_0[+2 Easy], MATCH(PartyCompare_2[[#This Row],[Mob Size]],PartyCompare_2[Mob Size],0))</f>
        <v>-0.2</v>
      </c>
      <c r="BD24" s="39">
        <f>(PartyCompare_2[[#This Row],[+2 Medium]]-INDEX(PartyCompare_0[+2 Medium], MATCH(PartyCompare_2[[#This Row],[Mob Size]],PartyCompare_2[Mob Size],0)))/INDEX(PartyCompare_0[+2 Medium], MATCH(PartyCompare_2[[#This Row],[Mob Size]],PartyCompare_2[Mob Size],0))</f>
        <v>-0.2</v>
      </c>
      <c r="BE24" s="39">
        <f>(PartyCompare_2[[#This Row],[+2 Hard]]-INDEX(PartyCompare_0[+2 Hard], MATCH(PartyCompare_2[[#This Row],[Mob Size]],PartyCompare_2[Mob Size],0)))/INDEX(PartyCompare_0[+2 Hard], MATCH(PartyCompare_2[[#This Row],[Mob Size]],PartyCompare_2[Mob Size],0))</f>
        <v>-0.2</v>
      </c>
      <c r="BF24" s="34">
        <f>(PartyCompare_2[[#This Row],[+2 Deadly]]-INDEX(PartyCompare_0[+2 Deadly], MATCH(PartyCompare_2[[#This Row],[Mob Size]],PartyCompare_2[Mob Size],0)))/INDEX(PartyCompare_0[+2 Deadly], MATCH(PartyCompare_2[[#This Row],[Mob Size]],PartyCompare_2[Mob Size],0))</f>
        <v>-0.3</v>
      </c>
      <c r="BG24" s="48">
        <f>AVERAGE(PartyCompare_2[[#This Row],[+2 Easy Deviation]:[+2 Deadly Deviation]])</f>
        <v>-0.22500000000000003</v>
      </c>
      <c r="BH24" s="36">
        <f>IF(ISNUMBER(PartyCompare_2[[#This Row],[Level]]), PartyCompare_2[[#This Row],[Level]]+3, PartyCompare_2[[#This Row],[Level]])</f>
        <v>0</v>
      </c>
      <c r="BI24" s="36">
        <f>INDEX(Encounter_Diff[Easy], MATCH(PartyCompare_2[[#This Row],[+3 Level]],Encounter_Diff[Player Level],0))</f>
        <v>0</v>
      </c>
      <c r="BJ24" s="36">
        <f>INDEX(Encounter_Diff[Medium], MATCH(PartyCompare_2[[#This Row],[+3 Level]],Encounter_Diff[Player Level],0))</f>
        <v>0</v>
      </c>
      <c r="BK24" s="36">
        <f>INDEX(Encounter_Diff[Hard], MATCH(PartyCompare_2[[#This Row],[+3 Level]],Encounter_Diff[Player Level],0))</f>
        <v>0</v>
      </c>
      <c r="BL24" s="36">
        <f>INDEX(Encounter_Diff[Deadly], MATCH(PartyCompare_2[[#This Row],[+3 Level]],Encounter_Diff[Player Level],0))</f>
        <v>0</v>
      </c>
      <c r="BM24" s="63">
        <f>SUM(PartyCompare_2[+3 (Easy)])/INDEX(Encounter_Mod[[Small]:[Large]], MATCH(PartyCompare_2[[#This Row],[Mob Size]], Encounter_Mod[Type], 0), MATCH(PartyCompare_2[[#This Row],[Party Size]],Encounter_Mod[[#Headers],[Small]:[Large]],0))</f>
        <v>140</v>
      </c>
      <c r="BN24" s="38">
        <f>SUM(PartyCompare_2[+3 (Medium)])/INDEX(Encounter_Mod[[Small]:[Large]], MATCH(PartyCompare_2[[#This Row],[Mob Size]], Encounter_Mod[Type], 0), MATCH(PartyCompare_2[[#This Row],[Party Size]],Encounter_Mod[[#Headers],[Small]:[Large]],0))</f>
        <v>300</v>
      </c>
      <c r="BO24" s="38">
        <f>SUM(PartyCompare_2[+3 (Hard)])/INDEX(Encounter_Mod[[Small]:[Large]], MATCH(PartyCompare_2[[#This Row],[Mob Size]], Encounter_Mod[Type], 0), MATCH(PartyCompare_2[[#This Row],[Party Size]],Encounter_Mod[[#Headers],[Small]:[Large]],0))</f>
        <v>440</v>
      </c>
      <c r="BP24" s="38">
        <f>SUM(PartyCompare_2[+3 (Deadly)])/INDEX(Encounter_Mod[[Small]:[Large]], MATCH(PartyCompare_2[[#This Row],[Mob Size]], Encounter_Mod[Type], 0), MATCH(PartyCompare_2[[#This Row],[Party Size]],Encounter_Mod[[#Headers],[Small]:[Large]],0))</f>
        <v>680</v>
      </c>
      <c r="BQ24" s="46">
        <f>(PartyCompare_2[[#This Row],[+3 Easy]]-INDEX(PartyCompare_0[+3 Easy], MATCH(PartyCompare_2[[#This Row],[Mob Size]],PartyCompare_2[Mob Size],0)))/INDEX(PartyCompare_0[+3 Easy], MATCH(PartyCompare_2[[#This Row],[Mob Size]],PartyCompare_2[Mob Size],0))</f>
        <v>-0.44</v>
      </c>
      <c r="BR24" s="39">
        <f>(PartyCompare_2[[#This Row],[+3 Medium]]-INDEX(PartyCompare_0[+3 Medium], MATCH(PartyCompare_2[[#This Row],[Mob Size]],PartyCompare_2[Mob Size],0)))/INDEX(PartyCompare_0[+3 Medium], MATCH(PartyCompare_2[[#This Row],[Mob Size]],PartyCompare_2[Mob Size],0))</f>
        <v>-0.4</v>
      </c>
      <c r="BS24" s="39">
        <f>(PartyCompare_2[[#This Row],[+3 Hard]]-INDEX(PartyCompare_0[+3 Hard], MATCH(PartyCompare_2[[#This Row],[Mob Size]],PartyCompare_2[Mob Size],0)))/INDEX(PartyCompare_0[+3 Hard], MATCH(PartyCompare_2[[#This Row],[Mob Size]],PartyCompare_2[Mob Size],0))</f>
        <v>-0.41333333333333333</v>
      </c>
      <c r="BT24" s="34">
        <f>(PartyCompare_2[[#This Row],[+3 Deadly]]-INDEX(PartyCompare_0[+3 Deadly], MATCH(PartyCompare_2[[#This Row],[Mob Size]],PartyCompare_2[Mob Size],0)))/INDEX(PartyCompare_0[+3 Deadly], MATCH(PartyCompare_2[[#This Row],[Mob Size]],PartyCompare_2[Mob Size],0))</f>
        <v>-0.32</v>
      </c>
      <c r="BU24" s="48">
        <f>AVERAGE(PartyCompare_2[[#This Row],[+3 Easy Deviation]:[+3 Deadly Deviation]])</f>
        <v>-0.39333333333333337</v>
      </c>
      <c r="BV24" s="36">
        <f>IF(ISNUMBER(PartyCompare_2[[#This Row],[Level]]), PartyCompare_2[[#This Row],[Level]]+4, PartyCompare_2[[#This Row],[Level]])</f>
        <v>0</v>
      </c>
      <c r="BW24" s="36">
        <f>INDEX(Encounter_Diff[Easy], MATCH(PartyCompare_2[[#This Row],[+4 Level]],Encounter_Diff[Player Level],0))</f>
        <v>0</v>
      </c>
      <c r="BX24" s="36">
        <f>INDEX(Encounter_Diff[Medium], MATCH(PartyCompare_2[[#This Row],[+4 Level]],Encounter_Diff[Player Level],0))</f>
        <v>0</v>
      </c>
      <c r="BY24" s="36">
        <f>INDEX(Encounter_Diff[Hard], MATCH(PartyCompare_2[[#This Row],[+4 Level]],Encounter_Diff[Player Level],0))</f>
        <v>0</v>
      </c>
      <c r="BZ24" s="36">
        <f>INDEX(Encounter_Diff[Deadly], MATCH(PartyCompare_2[[#This Row],[+4 Level]],Encounter_Diff[Player Level],0))</f>
        <v>0</v>
      </c>
      <c r="CA24" s="63">
        <f>SUM(PartyCompare_2[+4 (Easy)])/INDEX(Encounter_Mod[[Small]:[Large]], MATCH(PartyCompare_2[[#This Row],[Mob Size]], Encounter_Mod[Type], 0), MATCH(PartyCompare_2[[#This Row],[Party Size]],Encounter_Mod[[#Headers],[Small]:[Large]],0))</f>
        <v>180</v>
      </c>
      <c r="CB24" s="38">
        <f>SUM(PartyCompare_2[+4 (Medium)])/INDEX(Encounter_Mod[[Small]:[Large]], MATCH(PartyCompare_2[[#This Row],[Mob Size]], Encounter_Mod[Type], 0), MATCH(PartyCompare_2[[#This Row],[Party Size]],Encounter_Mod[[#Headers],[Small]:[Large]],0))</f>
        <v>360</v>
      </c>
      <c r="CC24" s="38">
        <f>SUM(PartyCompare_2[+4 (Hard)])/INDEX(Encounter_Mod[[Small]:[Large]], MATCH(PartyCompare_2[[#This Row],[Mob Size]], Encounter_Mod[Type], 0), MATCH(PartyCompare_2[[#This Row],[Party Size]],Encounter_Mod[[#Headers],[Small]:[Large]],0))</f>
        <v>560</v>
      </c>
      <c r="CD24" s="38">
        <f>SUM(PartyCompare_2[+4 (Deadly)])/INDEX(Encounter_Mod[[Small]:[Large]], MATCH(PartyCompare_2[[#This Row],[Mob Size]], Encounter_Mod[Type], 0), MATCH(PartyCompare_2[[#This Row],[Party Size]],Encounter_Mod[[#Headers],[Small]:[Large]],0))</f>
        <v>840</v>
      </c>
      <c r="CE24" s="46">
        <f>(PartyCompare_2[[#This Row],[+4 Easy]]-INDEX(PartyCompare_0[+4 Easy], MATCH(PartyCompare_2[[#This Row],[Mob Size]],PartyCompare_2[Mob Size],0)))/INDEX(PartyCompare_0[+4 Easy], MATCH(PartyCompare_2[[#This Row],[Mob Size]],PartyCompare_2[Mob Size],0))</f>
        <v>-0.64</v>
      </c>
      <c r="CF24" s="39">
        <f>(PartyCompare_2[[#This Row],[+4 Medium]]-INDEX(PartyCompare_0[+4 Medium], MATCH(PartyCompare_2[[#This Row],[Mob Size]],PartyCompare_2[Mob Size],0)))/INDEX(PartyCompare_0[+4 Medium], MATCH(PartyCompare_2[[#This Row],[Mob Size]],PartyCompare_2[Mob Size],0))</f>
        <v>-0.64</v>
      </c>
      <c r="CG24" s="39">
        <f>(PartyCompare_2[[#This Row],[+4 Hard]]-INDEX(PartyCompare_0[+4 Hard], MATCH(PartyCompare_2[[#This Row],[Mob Size]],PartyCompare_2[Mob Size],0)))/INDEX(PartyCompare_0[+4 Hard], MATCH(PartyCompare_2[[#This Row],[Mob Size]],PartyCompare_2[Mob Size],0))</f>
        <v>-0.62666666666666671</v>
      </c>
      <c r="CH24" s="34">
        <f>(PartyCompare_2[[#This Row],[+4 Deadly]]-INDEX(PartyCompare_0[+4 Deadly], MATCH(PartyCompare_2[[#This Row],[Mob Size]],PartyCompare_2[Mob Size],0)))/INDEX(PartyCompare_0[+4 Deadly], MATCH(PartyCompare_2[[#This Row],[Mob Size]],PartyCompare_2[Mob Size],0))</f>
        <v>-0.61818181818181817</v>
      </c>
      <c r="CI24" s="48">
        <f>AVERAGE(PartyCompare_2[[#This Row],[+4 Easy Deviation]:[+4 Deadly Deviation]])</f>
        <v>-0.63121212121212122</v>
      </c>
    </row>
    <row r="25" spans="2:87" x14ac:dyDescent="0.2">
      <c r="B25"/>
      <c r="C25"/>
      <c r="D25"/>
      <c r="E25"/>
      <c r="F25"/>
      <c r="G25"/>
      <c r="H25"/>
      <c r="I25"/>
      <c r="J25"/>
      <c r="L25" s="233"/>
      <c r="M25" s="91"/>
      <c r="N25" s="90"/>
      <c r="O25" s="32">
        <f>INDEX(Encounter_Diff[Easy], MATCH(PartyCompare_2[[#This Row],[Level]],Encounter_Diff[Player Level],0))</f>
        <v>0</v>
      </c>
      <c r="P25" s="32">
        <f>INDEX(Encounter_Diff[Medium], MATCH(PartyCompare_2[[#This Row],[Level]],Encounter_Diff[Player Level],0))</f>
        <v>0</v>
      </c>
      <c r="Q25" s="32">
        <f>INDEX(Encounter_Diff[Hard], MATCH(PartyCompare_2[[#This Row],[Level]],Encounter_Diff[Player Level],0))</f>
        <v>0</v>
      </c>
      <c r="R25" s="30">
        <f>INDEX(Encounter_Diff[Deadly], MATCH(PartyCompare_2[[#This Row],[Level]],Encounter_Diff[Player Level],0))</f>
        <v>0</v>
      </c>
      <c r="S25" s="97">
        <f t="shared" si="2"/>
        <v>4</v>
      </c>
      <c r="T25" s="32" t="str">
        <f>IF(COUNT(PartyCompare_2[Level])&lt;=2,"Small", IF(COUNT(PartyCompare_2[Level])&lt;=5,"Med", IF(COUNT(PartyCompare_2[Level])&lt;=8, "Large", "TOO BIG!")))</f>
        <v>Small</v>
      </c>
      <c r="U25" s="73" t="s">
        <v>110</v>
      </c>
      <c r="V25" s="77" t="str">
        <f>INDEX(Encounter_Mod[Count], MATCH(PartyCompare_2[[#This Row],[Mob Size]], Encounter_Mod[Type],0))</f>
        <v>7-10</v>
      </c>
      <c r="W25" s="81">
        <f>SUM(PartyCompare_2[(Easy)])/INDEX(Encounter_Mod[[Small]:[Large]], MATCH(PartyCompare_2[[#This Row],[Mob Size]], Encounter_Mod[Type], 0), MATCH(PartyCompare_2[[#This Row],[Party Size]],Encounter_Mod[[#Headers],[Small]:[Large]],0))</f>
        <v>41.666666666666664</v>
      </c>
      <c r="X25" s="42">
        <f>SUM(PartyCompare_2[(Medium)])/INDEX(Encounter_Mod[[Small]:[Large]], MATCH(PartyCompare_2[[#This Row],[Mob Size]], Encounter_Mod[Type], 0), MATCH(PartyCompare_2[[#This Row],[Party Size]],Encounter_Mod[[#Headers],[Small]:[Large]],0))</f>
        <v>83.333333333333329</v>
      </c>
      <c r="Y25" s="42">
        <f>SUM(PartyCompare_2[(Hard)])/INDEX(Encounter_Mod[[Small]:[Large]], MATCH(PartyCompare_2[[#This Row],[Mob Size]], Encounter_Mod[Type], 0), MATCH(PartyCompare_2[[#This Row],[Party Size]],Encounter_Mod[[#Headers],[Small]:[Large]],0))</f>
        <v>125</v>
      </c>
      <c r="Z25" s="43">
        <f>SUM(PartyCompare_2[(Deadly)])/INDEX(Encounter_Mod[[Small]:[Large]], MATCH(PartyCompare_2[[#This Row],[Mob Size]], Encounter_Mod[Type], 0), MATCH(PartyCompare_2[[#This Row],[Party Size]],Encounter_Mod[[#Headers],[Small]:[Large]],0))</f>
        <v>166.66666666666666</v>
      </c>
      <c r="AA25" s="46">
        <f>(PartyCompare_2[[#This Row],[Easy]]-INDEX(PartyCompare_0[Easy], MATCH(PartyCompare_2[[#This Row],[Mob Size]],PartyCompare_0[Mob Size],0)))/INDEX(PartyCompare_0[Easy], MATCH(PartyCompare_2[[#This Row],[Mob Size]],PartyCompare_0[Mob Size],0))</f>
        <v>4.1666666666666609E-2</v>
      </c>
      <c r="AB25" s="33">
        <f>(PartyCompare_2[[#This Row],[Medium]]-INDEX(PartyCompare_0[Medium], MATCH(PartyCompare_2[[#This Row],[Mob Size]],PartyCompare_0[Mob Size],0)))/INDEX(PartyCompare_0[Medium], MATCH(PartyCompare_2[[#This Row],[Mob Size]],PartyCompare_0[Mob Size],0))</f>
        <v>4.1666666666666609E-2</v>
      </c>
      <c r="AC25" s="33">
        <f>(PartyCompare_2[[#This Row],[Hard]]-INDEX(PartyCompare_0[Hard], MATCH(PartyCompare_2[[#This Row],[Mob Size]],PartyCompare_0[Mob Size],0)))/INDEX(PartyCompare_0[Hard], MATCH(PartyCompare_2[[#This Row],[Mob Size]],PartyCompare_0[Mob Size],0))</f>
        <v>4.1666666666666664E-2</v>
      </c>
      <c r="AD25" s="34">
        <f>(PartyCompare_2[[#This Row],[Deadly]]-INDEX(PartyCompare_0[Deadly], MATCH(PartyCompare_2[[#This Row],[Mob Size]],PartyCompare_0[Mob Size],0)))/INDEX(PartyCompare_0[Deadly], MATCH(PartyCompare_2[[#This Row],[Mob Size]],PartyCompare_0[Mob Size],0))</f>
        <v>4.1666666666666609E-2</v>
      </c>
      <c r="AE25" s="48">
        <f>AVERAGE(PartyCompare_2[[#This Row],[Easy Deviation]:[Deadly Deviation]])</f>
        <v>4.1666666666666623E-2</v>
      </c>
      <c r="AF25" s="36">
        <f>IF(ISNUMBER(PartyCompare_2[[#This Row],[Level]]), PartyCompare_2[[#This Row],[Level]]+1, PartyCompare_2[[#This Row],[Level]])</f>
        <v>0</v>
      </c>
      <c r="AG25" s="36">
        <f>INDEX(Encounter_Diff[Easy], MATCH(PartyCompare_2[[#This Row],[+1 Level]],Encounter_Diff[Player Level],0))</f>
        <v>0</v>
      </c>
      <c r="AH25" s="36">
        <f>INDEX(Encounter_Diff[Medium], MATCH(PartyCompare_2[[#This Row],[+1 Level]],Encounter_Diff[Player Level],0))</f>
        <v>0</v>
      </c>
      <c r="AI25" s="36">
        <f>INDEX(Encounter_Diff[Hard], MATCH(PartyCompare_2[[#This Row],[+1 Level]],Encounter_Diff[Player Level],0))</f>
        <v>0</v>
      </c>
      <c r="AJ25" s="36">
        <f>INDEX(Encounter_Diff[Deadly], MATCH(PartyCompare_2[[#This Row],[+1 Level]],Encounter_Diff[Player Level],0))</f>
        <v>0</v>
      </c>
      <c r="AK25" s="63">
        <f>SUM(PartyCompare_2[+1 (Easy)])/INDEX(Encounter_Mod[[Small]:[Large]], MATCH(PartyCompare_2[[#This Row],[Mob Size]], Encounter_Mod[Type], 0), MATCH(PartyCompare_2[[#This Row],[Party Size]],Encounter_Mod[[#Headers],[Small]:[Large]],0))</f>
        <v>83.333333333333329</v>
      </c>
      <c r="AL25" s="38">
        <f>SUM(PartyCompare_2[+1 (Medium)])/INDEX(Encounter_Mod[[Small]:[Large]], MATCH(PartyCompare_2[[#This Row],[Mob Size]], Encounter_Mod[Type], 0), MATCH(PartyCompare_2[[#This Row],[Party Size]],Encounter_Mod[[#Headers],[Small]:[Large]],0))</f>
        <v>166.66666666666666</v>
      </c>
      <c r="AM25" s="38">
        <f>SUM(PartyCompare_2[+1 (Hard)])/INDEX(Encounter_Mod[[Small]:[Large]], MATCH(PartyCompare_2[[#This Row],[Mob Size]], Encounter_Mod[Type], 0), MATCH(PartyCompare_2[[#This Row],[Party Size]],Encounter_Mod[[#Headers],[Small]:[Large]],0))</f>
        <v>250</v>
      </c>
      <c r="AN25" s="38">
        <f>SUM(PartyCompare_2[+1 (Deadly)])/INDEX(Encounter_Mod[[Small]:[Large]], MATCH(PartyCompare_2[[#This Row],[Mob Size]], Encounter_Mod[Type], 0), MATCH(PartyCompare_2[[#This Row],[Party Size]],Encounter_Mod[[#Headers],[Small]:[Large]],0))</f>
        <v>366.66666666666669</v>
      </c>
      <c r="AO25" s="46">
        <f>(PartyCompare_2[[#This Row],[+1 Easy]]-INDEX(PartyCompare_0[+1 Easy], MATCH(PartyCompare_2[[#This Row],[Mob Size]],PartyCompare_2[Mob Size],0)))/INDEX(PartyCompare_0[+1 Easy], MATCH(PartyCompare_2[[#This Row],[Mob Size]],PartyCompare_2[Mob Size],0))</f>
        <v>4.1666666666666609E-2</v>
      </c>
      <c r="AP25" s="39">
        <f>(PartyCompare_2[[#This Row],[+1 Medium]]-INDEX(PartyCompare_0[+1 Medium], MATCH(PartyCompare_2[[#This Row],[Mob Size]],PartyCompare_2[Mob Size],0)))/INDEX(PartyCompare_0[+1 Medium], MATCH(PartyCompare_2[[#This Row],[Mob Size]],PartyCompare_2[Mob Size],0))</f>
        <v>4.1666666666666609E-2</v>
      </c>
      <c r="AQ25" s="39">
        <f>(PartyCompare_2[[#This Row],[+1 Hard]]-INDEX(PartyCompare_0[+1 Hard], MATCH(PartyCompare_2[[#This Row],[Mob Size]],PartyCompare_2[Mob Size],0)))/INDEX(PartyCompare_0[+1 Hard], MATCH(PartyCompare_2[[#This Row],[Mob Size]],PartyCompare_2[Mob Size],0))</f>
        <v>4.1666666666666664E-2</v>
      </c>
      <c r="AR25" s="34">
        <f>(PartyCompare_2[[#This Row],[+1 Deadly]]-INDEX(PartyCompare_0[+1 Deadly], MATCH(PartyCompare_2[[#This Row],[Mob Size]],PartyCompare_2[Mob Size],0)))/INDEX(PartyCompare_0[+1 Deadly], MATCH(PartyCompare_2[[#This Row],[Mob Size]],PartyCompare_2[Mob Size],0))</f>
        <v>0.1458333333333334</v>
      </c>
      <c r="AS25" s="48">
        <f>AVERAGE(PartyCompare_2[[#This Row],[+1 Easy Deviation]:[+1 Deadly Deviation]])</f>
        <v>6.7708333333333315E-2</v>
      </c>
      <c r="AT25" s="36">
        <f>IF(ISNUMBER(PartyCompare_2[[#This Row],[Level]]), PartyCompare_2[[#This Row],[Level]]+2, PartyCompare_2[[#This Row],[Level]])</f>
        <v>0</v>
      </c>
      <c r="AU25" s="36">
        <f>INDEX(Encounter_Diff[Easy], MATCH(PartyCompare_2[[#This Row],[+2 Level]],Encounter_Diff[Player Level],0))</f>
        <v>0</v>
      </c>
      <c r="AV25" s="36">
        <f>INDEX(Encounter_Diff[Medium], MATCH(PartyCompare_2[[#This Row],[+2 Level]],Encounter_Diff[Player Level],0))</f>
        <v>0</v>
      </c>
      <c r="AW25" s="36">
        <f>INDEX(Encounter_Diff[Hard], MATCH(PartyCompare_2[[#This Row],[+2 Level]],Encounter_Diff[Player Level],0))</f>
        <v>0</v>
      </c>
      <c r="AX25" s="36">
        <f>INDEX(Encounter_Diff[Deadly], MATCH(PartyCompare_2[[#This Row],[+2 Level]],Encounter_Diff[Player Level],0))</f>
        <v>0</v>
      </c>
      <c r="AY25" s="63">
        <f>SUM(PartyCompare_2[+2 (Easy)])/INDEX(Encounter_Mod[[Small]:[Large]], MATCH(PartyCompare_2[[#This Row],[Mob Size]], Encounter_Mod[Type], 0), MATCH(PartyCompare_2[[#This Row],[Party Size]],Encounter_Mod[[#Headers],[Small]:[Large]],0))</f>
        <v>100</v>
      </c>
      <c r="AZ25" s="38">
        <f>SUM(PartyCompare_2[+2 (Medium)])/INDEX(Encounter_Mod[[Small]:[Large]], MATCH(PartyCompare_2[[#This Row],[Mob Size]], Encounter_Mod[Type], 0), MATCH(PartyCompare_2[[#This Row],[Party Size]],Encounter_Mod[[#Headers],[Small]:[Large]],0))</f>
        <v>200</v>
      </c>
      <c r="BA25" s="38">
        <f>SUM(PartyCompare_2[+2 (Hard)])/INDEX(Encounter_Mod[[Small]:[Large]], MATCH(PartyCompare_2[[#This Row],[Mob Size]], Encounter_Mod[Type], 0), MATCH(PartyCompare_2[[#This Row],[Party Size]],Encounter_Mod[[#Headers],[Small]:[Large]],0))</f>
        <v>300</v>
      </c>
      <c r="BB25" s="38">
        <f>SUM(PartyCompare_2[+2 (Deadly)])/INDEX(Encounter_Mod[[Small]:[Large]], MATCH(PartyCompare_2[[#This Row],[Mob Size]], Encounter_Mod[Type], 0), MATCH(PartyCompare_2[[#This Row],[Party Size]],Encounter_Mod[[#Headers],[Small]:[Large]],0))</f>
        <v>466.66666666666669</v>
      </c>
      <c r="BC25" s="46">
        <f>(PartyCompare_2[[#This Row],[+2 Easy]]-INDEX(PartyCompare_0[+2 Easy], MATCH(PartyCompare_2[[#This Row],[Mob Size]],PartyCompare_2[Mob Size],0)))/INDEX(PartyCompare_0[+2 Easy], MATCH(PartyCompare_2[[#This Row],[Mob Size]],PartyCompare_2[Mob Size],0))</f>
        <v>-0.16666666666666666</v>
      </c>
      <c r="BD25" s="39">
        <f>(PartyCompare_2[[#This Row],[+2 Medium]]-INDEX(PartyCompare_0[+2 Medium], MATCH(PartyCompare_2[[#This Row],[Mob Size]],PartyCompare_2[Mob Size],0)))/INDEX(PartyCompare_0[+2 Medium], MATCH(PartyCompare_2[[#This Row],[Mob Size]],PartyCompare_2[Mob Size],0))</f>
        <v>-0.16666666666666666</v>
      </c>
      <c r="BE25" s="39">
        <f>(PartyCompare_2[[#This Row],[+2 Hard]]-INDEX(PartyCompare_0[+2 Hard], MATCH(PartyCompare_2[[#This Row],[Mob Size]],PartyCompare_2[Mob Size],0)))/INDEX(PartyCompare_0[+2 Hard], MATCH(PartyCompare_2[[#This Row],[Mob Size]],PartyCompare_2[Mob Size],0))</f>
        <v>-0.16666666666666666</v>
      </c>
      <c r="BF25" s="34">
        <f>(PartyCompare_2[[#This Row],[+2 Deadly]]-INDEX(PartyCompare_0[+2 Deadly], MATCH(PartyCompare_2[[#This Row],[Mob Size]],PartyCompare_2[Mob Size],0)))/INDEX(PartyCompare_0[+2 Deadly], MATCH(PartyCompare_2[[#This Row],[Mob Size]],PartyCompare_2[Mob Size],0))</f>
        <v>-0.27083333333333331</v>
      </c>
      <c r="BG25" s="48">
        <f>AVERAGE(PartyCompare_2[[#This Row],[+2 Easy Deviation]:[+2 Deadly Deviation]])</f>
        <v>-0.19270833333333331</v>
      </c>
      <c r="BH25" s="36">
        <f>IF(ISNUMBER(PartyCompare_2[[#This Row],[Level]]), PartyCompare_2[[#This Row],[Level]]+3, PartyCompare_2[[#This Row],[Level]])</f>
        <v>0</v>
      </c>
      <c r="BI25" s="36">
        <f>INDEX(Encounter_Diff[Easy], MATCH(PartyCompare_2[[#This Row],[+3 Level]],Encounter_Diff[Player Level],0))</f>
        <v>0</v>
      </c>
      <c r="BJ25" s="36">
        <f>INDEX(Encounter_Diff[Medium], MATCH(PartyCompare_2[[#This Row],[+3 Level]],Encounter_Diff[Player Level],0))</f>
        <v>0</v>
      </c>
      <c r="BK25" s="36">
        <f>INDEX(Encounter_Diff[Hard], MATCH(PartyCompare_2[[#This Row],[+3 Level]],Encounter_Diff[Player Level],0))</f>
        <v>0</v>
      </c>
      <c r="BL25" s="36">
        <f>INDEX(Encounter_Diff[Deadly], MATCH(PartyCompare_2[[#This Row],[+3 Level]],Encounter_Diff[Player Level],0))</f>
        <v>0</v>
      </c>
      <c r="BM25" s="63">
        <f>SUM(PartyCompare_2[+3 (Easy)])/INDEX(Encounter_Mod[[Small]:[Large]], MATCH(PartyCompare_2[[#This Row],[Mob Size]], Encounter_Mod[Type], 0), MATCH(PartyCompare_2[[#This Row],[Party Size]],Encounter_Mod[[#Headers],[Small]:[Large]],0))</f>
        <v>116.66666666666667</v>
      </c>
      <c r="BN25" s="38">
        <f>SUM(PartyCompare_2[+3 (Medium)])/INDEX(Encounter_Mod[[Small]:[Large]], MATCH(PartyCompare_2[[#This Row],[Mob Size]], Encounter_Mod[Type], 0), MATCH(PartyCompare_2[[#This Row],[Party Size]],Encounter_Mod[[#Headers],[Small]:[Large]],0))</f>
        <v>250</v>
      </c>
      <c r="BO25" s="38">
        <f>SUM(PartyCompare_2[+3 (Hard)])/INDEX(Encounter_Mod[[Small]:[Large]], MATCH(PartyCompare_2[[#This Row],[Mob Size]], Encounter_Mod[Type], 0), MATCH(PartyCompare_2[[#This Row],[Party Size]],Encounter_Mod[[#Headers],[Small]:[Large]],0))</f>
        <v>366.66666666666669</v>
      </c>
      <c r="BP25" s="38">
        <f>SUM(PartyCompare_2[+3 (Deadly)])/INDEX(Encounter_Mod[[Small]:[Large]], MATCH(PartyCompare_2[[#This Row],[Mob Size]], Encounter_Mod[Type], 0), MATCH(PartyCompare_2[[#This Row],[Party Size]],Encounter_Mod[[#Headers],[Small]:[Large]],0))</f>
        <v>566.66666666666663</v>
      </c>
      <c r="BQ25" s="46">
        <f>(PartyCompare_2[[#This Row],[+3 Easy]]-INDEX(PartyCompare_0[+3 Easy], MATCH(PartyCompare_2[[#This Row],[Mob Size]],PartyCompare_2[Mob Size],0)))/INDEX(PartyCompare_0[+3 Easy], MATCH(PartyCompare_2[[#This Row],[Mob Size]],PartyCompare_2[Mob Size],0))</f>
        <v>-0.41666666666666663</v>
      </c>
      <c r="BR25" s="39">
        <f>(PartyCompare_2[[#This Row],[+3 Medium]]-INDEX(PartyCompare_0[+3 Medium], MATCH(PartyCompare_2[[#This Row],[Mob Size]],PartyCompare_2[Mob Size],0)))/INDEX(PartyCompare_0[+3 Medium], MATCH(PartyCompare_2[[#This Row],[Mob Size]],PartyCompare_2[Mob Size],0))</f>
        <v>-0.375</v>
      </c>
      <c r="BS25" s="39">
        <f>(PartyCompare_2[[#This Row],[+3 Hard]]-INDEX(PartyCompare_0[+3 Hard], MATCH(PartyCompare_2[[#This Row],[Mob Size]],PartyCompare_2[Mob Size],0)))/INDEX(PartyCompare_0[+3 Hard], MATCH(PartyCompare_2[[#This Row],[Mob Size]],PartyCompare_2[Mob Size],0))</f>
        <v>-0.38888888888888884</v>
      </c>
      <c r="BT25" s="34">
        <f>(PartyCompare_2[[#This Row],[+3 Deadly]]-INDEX(PartyCompare_0[+3 Deadly], MATCH(PartyCompare_2[[#This Row],[Mob Size]],PartyCompare_2[Mob Size],0)))/INDEX(PartyCompare_0[+3 Deadly], MATCH(PartyCompare_2[[#This Row],[Mob Size]],PartyCompare_2[Mob Size],0))</f>
        <v>-0.29166666666666674</v>
      </c>
      <c r="BU25" s="48">
        <f>AVERAGE(PartyCompare_2[[#This Row],[+3 Easy Deviation]:[+3 Deadly Deviation]])</f>
        <v>-0.36805555555555552</v>
      </c>
      <c r="BV25" s="36">
        <f>IF(ISNUMBER(PartyCompare_2[[#This Row],[Level]]), PartyCompare_2[[#This Row],[Level]]+4, PartyCompare_2[[#This Row],[Level]])</f>
        <v>0</v>
      </c>
      <c r="BW25" s="36">
        <f>INDEX(Encounter_Diff[Easy], MATCH(PartyCompare_2[[#This Row],[+4 Level]],Encounter_Diff[Player Level],0))</f>
        <v>0</v>
      </c>
      <c r="BX25" s="36">
        <f>INDEX(Encounter_Diff[Medium], MATCH(PartyCompare_2[[#This Row],[+4 Level]],Encounter_Diff[Player Level],0))</f>
        <v>0</v>
      </c>
      <c r="BY25" s="36">
        <f>INDEX(Encounter_Diff[Hard], MATCH(PartyCompare_2[[#This Row],[+4 Level]],Encounter_Diff[Player Level],0))</f>
        <v>0</v>
      </c>
      <c r="BZ25" s="36">
        <f>INDEX(Encounter_Diff[Deadly], MATCH(PartyCompare_2[[#This Row],[+4 Level]],Encounter_Diff[Player Level],0))</f>
        <v>0</v>
      </c>
      <c r="CA25" s="63">
        <f>SUM(PartyCompare_2[+4 (Easy)])/INDEX(Encounter_Mod[[Small]:[Large]], MATCH(PartyCompare_2[[#This Row],[Mob Size]], Encounter_Mod[Type], 0), MATCH(PartyCompare_2[[#This Row],[Party Size]],Encounter_Mod[[#Headers],[Small]:[Large]],0))</f>
        <v>150</v>
      </c>
      <c r="CB25" s="38">
        <f>SUM(PartyCompare_2[+4 (Medium)])/INDEX(Encounter_Mod[[Small]:[Large]], MATCH(PartyCompare_2[[#This Row],[Mob Size]], Encounter_Mod[Type], 0), MATCH(PartyCompare_2[[#This Row],[Party Size]],Encounter_Mod[[#Headers],[Small]:[Large]],0))</f>
        <v>300</v>
      </c>
      <c r="CC25" s="38">
        <f>SUM(PartyCompare_2[+4 (Hard)])/INDEX(Encounter_Mod[[Small]:[Large]], MATCH(PartyCompare_2[[#This Row],[Mob Size]], Encounter_Mod[Type], 0), MATCH(PartyCompare_2[[#This Row],[Party Size]],Encounter_Mod[[#Headers],[Small]:[Large]],0))</f>
        <v>466.66666666666669</v>
      </c>
      <c r="CD25" s="38">
        <f>SUM(PartyCompare_2[+4 (Deadly)])/INDEX(Encounter_Mod[[Small]:[Large]], MATCH(PartyCompare_2[[#This Row],[Mob Size]], Encounter_Mod[Type], 0), MATCH(PartyCompare_2[[#This Row],[Party Size]],Encounter_Mod[[#Headers],[Small]:[Large]],0))</f>
        <v>700</v>
      </c>
      <c r="CE25" s="46">
        <f>(PartyCompare_2[[#This Row],[+4 Easy]]-INDEX(PartyCompare_0[+4 Easy], MATCH(PartyCompare_2[[#This Row],[Mob Size]],PartyCompare_2[Mob Size],0)))/INDEX(PartyCompare_0[+4 Easy], MATCH(PartyCompare_2[[#This Row],[Mob Size]],PartyCompare_2[Mob Size],0))</f>
        <v>-0.625</v>
      </c>
      <c r="CF25" s="39">
        <f>(PartyCompare_2[[#This Row],[+4 Medium]]-INDEX(PartyCompare_0[+4 Medium], MATCH(PartyCompare_2[[#This Row],[Mob Size]],PartyCompare_2[Mob Size],0)))/INDEX(PartyCompare_0[+4 Medium], MATCH(PartyCompare_2[[#This Row],[Mob Size]],PartyCompare_2[Mob Size],0))</f>
        <v>-0.625</v>
      </c>
      <c r="CG25" s="39">
        <f>(PartyCompare_2[[#This Row],[+4 Hard]]-INDEX(PartyCompare_0[+4 Hard], MATCH(PartyCompare_2[[#This Row],[Mob Size]],PartyCompare_2[Mob Size],0)))/INDEX(PartyCompare_0[+4 Hard], MATCH(PartyCompare_2[[#This Row],[Mob Size]],PartyCompare_2[Mob Size],0))</f>
        <v>-0.61111111111111105</v>
      </c>
      <c r="CH25" s="34">
        <f>(PartyCompare_2[[#This Row],[+4 Deadly]]-INDEX(PartyCompare_0[+4 Deadly], MATCH(PartyCompare_2[[#This Row],[Mob Size]],PartyCompare_2[Mob Size],0)))/INDEX(PartyCompare_0[+4 Deadly], MATCH(PartyCompare_2[[#This Row],[Mob Size]],PartyCompare_2[Mob Size],0))</f>
        <v>-0.60227272727272729</v>
      </c>
      <c r="CI25" s="48">
        <f>AVERAGE(PartyCompare_2[[#This Row],[+4 Easy Deviation]:[+4 Deadly Deviation]])</f>
        <v>-0.61584595959595956</v>
      </c>
    </row>
    <row r="26" spans="2:87" x14ac:dyDescent="0.2">
      <c r="B26"/>
      <c r="C26"/>
      <c r="D26"/>
      <c r="E26"/>
      <c r="F26"/>
      <c r="G26"/>
      <c r="H26"/>
      <c r="I26"/>
      <c r="J26"/>
      <c r="L26" s="233"/>
      <c r="M26" s="91"/>
      <c r="N26" s="90"/>
      <c r="O26" s="32">
        <f>INDEX(Encounter_Diff[Easy], MATCH(PartyCompare_2[[#This Row],[Level]],Encounter_Diff[Player Level],0))</f>
        <v>0</v>
      </c>
      <c r="P26" s="32">
        <f>INDEX(Encounter_Diff[Medium], MATCH(PartyCompare_2[[#This Row],[Level]],Encounter_Diff[Player Level],0))</f>
        <v>0</v>
      </c>
      <c r="Q26" s="32">
        <f>INDEX(Encounter_Diff[Hard], MATCH(PartyCompare_2[[#This Row],[Level]],Encounter_Diff[Player Level],0))</f>
        <v>0</v>
      </c>
      <c r="R26" s="30">
        <f>INDEX(Encounter_Diff[Deadly], MATCH(PartyCompare_2[[#This Row],[Level]],Encounter_Diff[Player Level],0))</f>
        <v>0</v>
      </c>
      <c r="S26" s="97">
        <f t="shared" si="2"/>
        <v>4</v>
      </c>
      <c r="T26" s="32" t="str">
        <f>IF(COUNT(PartyCompare_2[Level])&lt;=2,"Small", IF(COUNT(PartyCompare_2[Level])&lt;=5,"Med", IF(COUNT(PartyCompare_2[Level])&lt;=8, "Large", "TOO BIG!")))</f>
        <v>Small</v>
      </c>
      <c r="U26" s="73" t="s">
        <v>111</v>
      </c>
      <c r="V26" s="77" t="str">
        <f>INDEX(Encounter_Mod[Count], MATCH(PartyCompare_2[[#This Row],[Mob Size]], Encounter_Mod[Type],0))</f>
        <v>11-14</v>
      </c>
      <c r="W26" s="81">
        <f>SUM(PartyCompare_2[(Easy)])/INDEX(Encounter_Mod[[Small]:[Large]], MATCH(PartyCompare_2[[#This Row],[Mob Size]], Encounter_Mod[Type], 0), MATCH(PartyCompare_2[[#This Row],[Party Size]],Encounter_Mod[[#Headers],[Small]:[Large]],0))</f>
        <v>31.25</v>
      </c>
      <c r="X26" s="42">
        <f>SUM(PartyCompare_2[(Medium)])/INDEX(Encounter_Mod[[Small]:[Large]], MATCH(PartyCompare_2[[#This Row],[Mob Size]], Encounter_Mod[Type], 0), MATCH(PartyCompare_2[[#This Row],[Party Size]],Encounter_Mod[[#Headers],[Small]:[Large]],0))</f>
        <v>62.5</v>
      </c>
      <c r="Y26" s="42">
        <f>SUM(PartyCompare_2[(Hard)])/INDEX(Encounter_Mod[[Small]:[Large]], MATCH(PartyCompare_2[[#This Row],[Mob Size]], Encounter_Mod[Type], 0), MATCH(PartyCompare_2[[#This Row],[Party Size]],Encounter_Mod[[#Headers],[Small]:[Large]],0))</f>
        <v>93.75</v>
      </c>
      <c r="Z26" s="43">
        <f>SUM(PartyCompare_2[(Deadly)])/INDEX(Encounter_Mod[[Small]:[Large]], MATCH(PartyCompare_2[[#This Row],[Mob Size]], Encounter_Mod[Type], 0), MATCH(PartyCompare_2[[#This Row],[Party Size]],Encounter_Mod[[#Headers],[Small]:[Large]],0))</f>
        <v>125</v>
      </c>
      <c r="AA26" s="46">
        <f>(PartyCompare_2[[#This Row],[Easy]]-INDEX(PartyCompare_0[Easy], MATCH(PartyCompare_2[[#This Row],[Mob Size]],PartyCompare_0[Mob Size],0)))/INDEX(PartyCompare_0[Easy], MATCH(PartyCompare_2[[#This Row],[Mob Size]],PartyCompare_0[Mob Size],0))</f>
        <v>-6.2500000000000069E-2</v>
      </c>
      <c r="AB26" s="33">
        <f>(PartyCompare_2[[#This Row],[Medium]]-INDEX(PartyCompare_0[Medium], MATCH(PartyCompare_2[[#This Row],[Mob Size]],PartyCompare_0[Mob Size],0)))/INDEX(PartyCompare_0[Medium], MATCH(PartyCompare_2[[#This Row],[Mob Size]],PartyCompare_0[Mob Size],0))</f>
        <v>-6.2500000000000069E-2</v>
      </c>
      <c r="AC26" s="33">
        <f>(PartyCompare_2[[#This Row],[Hard]]-INDEX(PartyCompare_0[Hard], MATCH(PartyCompare_2[[#This Row],[Mob Size]],PartyCompare_0[Mob Size],0)))/INDEX(PartyCompare_0[Hard], MATCH(PartyCompare_2[[#This Row],[Mob Size]],PartyCompare_0[Mob Size],0))</f>
        <v>-6.25E-2</v>
      </c>
      <c r="AD26" s="34">
        <f>(PartyCompare_2[[#This Row],[Deadly]]-INDEX(PartyCompare_0[Deadly], MATCH(PartyCompare_2[[#This Row],[Mob Size]],PartyCompare_0[Mob Size],0)))/INDEX(PartyCompare_0[Deadly], MATCH(PartyCompare_2[[#This Row],[Mob Size]],PartyCompare_0[Mob Size],0))</f>
        <v>-6.2500000000000069E-2</v>
      </c>
      <c r="AE26" s="48">
        <f>AVERAGE(PartyCompare_2[[#This Row],[Easy Deviation]:[Deadly Deviation]])</f>
        <v>-6.2500000000000056E-2</v>
      </c>
      <c r="AF26" s="36">
        <f>IF(ISNUMBER(PartyCompare_2[[#This Row],[Level]]), PartyCompare_2[[#This Row],[Level]]+1, PartyCompare_2[[#This Row],[Level]])</f>
        <v>0</v>
      </c>
      <c r="AG26" s="36">
        <f>INDEX(Encounter_Diff[Easy], MATCH(PartyCompare_2[[#This Row],[+1 Level]],Encounter_Diff[Player Level],0))</f>
        <v>0</v>
      </c>
      <c r="AH26" s="36">
        <f>INDEX(Encounter_Diff[Medium], MATCH(PartyCompare_2[[#This Row],[+1 Level]],Encounter_Diff[Player Level],0))</f>
        <v>0</v>
      </c>
      <c r="AI26" s="36">
        <f>INDEX(Encounter_Diff[Hard], MATCH(PartyCompare_2[[#This Row],[+1 Level]],Encounter_Diff[Player Level],0))</f>
        <v>0</v>
      </c>
      <c r="AJ26" s="36">
        <f>INDEX(Encounter_Diff[Deadly], MATCH(PartyCompare_2[[#This Row],[+1 Level]],Encounter_Diff[Player Level],0))</f>
        <v>0</v>
      </c>
      <c r="AK26" s="63">
        <f>SUM(PartyCompare_2[+1 (Easy)])/INDEX(Encounter_Mod[[Small]:[Large]], MATCH(PartyCompare_2[[#This Row],[Mob Size]], Encounter_Mod[Type], 0), MATCH(PartyCompare_2[[#This Row],[Party Size]],Encounter_Mod[[#Headers],[Small]:[Large]],0))</f>
        <v>62.5</v>
      </c>
      <c r="AL26" s="38">
        <f>SUM(PartyCompare_2[+1 (Medium)])/INDEX(Encounter_Mod[[Small]:[Large]], MATCH(PartyCompare_2[[#This Row],[Mob Size]], Encounter_Mod[Type], 0), MATCH(PartyCompare_2[[#This Row],[Party Size]],Encounter_Mod[[#Headers],[Small]:[Large]],0))</f>
        <v>125</v>
      </c>
      <c r="AM26" s="38">
        <f>SUM(PartyCompare_2[+1 (Hard)])/INDEX(Encounter_Mod[[Small]:[Large]], MATCH(PartyCompare_2[[#This Row],[Mob Size]], Encounter_Mod[Type], 0), MATCH(PartyCompare_2[[#This Row],[Party Size]],Encounter_Mod[[#Headers],[Small]:[Large]],0))</f>
        <v>187.5</v>
      </c>
      <c r="AN26" s="38">
        <f>SUM(PartyCompare_2[+1 (Deadly)])/INDEX(Encounter_Mod[[Small]:[Large]], MATCH(PartyCompare_2[[#This Row],[Mob Size]], Encounter_Mod[Type], 0), MATCH(PartyCompare_2[[#This Row],[Party Size]],Encounter_Mod[[#Headers],[Small]:[Large]],0))</f>
        <v>275</v>
      </c>
      <c r="AO26" s="46">
        <f>(PartyCompare_2[[#This Row],[+1 Easy]]-INDEX(PartyCompare_0[+1 Easy], MATCH(PartyCompare_2[[#This Row],[Mob Size]],PartyCompare_2[Mob Size],0)))/INDEX(PartyCompare_0[+1 Easy], MATCH(PartyCompare_2[[#This Row],[Mob Size]],PartyCompare_2[Mob Size],0))</f>
        <v>-6.2500000000000069E-2</v>
      </c>
      <c r="AP26" s="39">
        <f>(PartyCompare_2[[#This Row],[+1 Medium]]-INDEX(PartyCompare_0[+1 Medium], MATCH(PartyCompare_2[[#This Row],[Mob Size]],PartyCompare_2[Mob Size],0)))/INDEX(PartyCompare_0[+1 Medium], MATCH(PartyCompare_2[[#This Row],[Mob Size]],PartyCompare_2[Mob Size],0))</f>
        <v>-6.2500000000000069E-2</v>
      </c>
      <c r="AQ26" s="39">
        <f>(PartyCompare_2[[#This Row],[+1 Hard]]-INDEX(PartyCompare_0[+1 Hard], MATCH(PartyCompare_2[[#This Row],[Mob Size]],PartyCompare_2[Mob Size],0)))/INDEX(PartyCompare_0[+1 Hard], MATCH(PartyCompare_2[[#This Row],[Mob Size]],PartyCompare_2[Mob Size],0))</f>
        <v>-6.25E-2</v>
      </c>
      <c r="AR26" s="34">
        <f>(PartyCompare_2[[#This Row],[+1 Deadly]]-INDEX(PartyCompare_0[+1 Deadly], MATCH(PartyCompare_2[[#This Row],[Mob Size]],PartyCompare_2[Mob Size],0)))/INDEX(PartyCompare_0[+1 Deadly], MATCH(PartyCompare_2[[#This Row],[Mob Size]],PartyCompare_2[Mob Size],0))</f>
        <v>3.1249999999999927E-2</v>
      </c>
      <c r="AS26" s="48">
        <f>AVERAGE(PartyCompare_2[[#This Row],[+1 Easy Deviation]:[+1 Deadly Deviation]])</f>
        <v>-3.9062500000000056E-2</v>
      </c>
      <c r="AT26" s="36">
        <f>IF(ISNUMBER(PartyCompare_2[[#This Row],[Level]]), PartyCompare_2[[#This Row],[Level]]+2, PartyCompare_2[[#This Row],[Level]])</f>
        <v>0</v>
      </c>
      <c r="AU26" s="36">
        <f>INDEX(Encounter_Diff[Easy], MATCH(PartyCompare_2[[#This Row],[+2 Level]],Encounter_Diff[Player Level],0))</f>
        <v>0</v>
      </c>
      <c r="AV26" s="36">
        <f>INDEX(Encounter_Diff[Medium], MATCH(PartyCompare_2[[#This Row],[+2 Level]],Encounter_Diff[Player Level],0))</f>
        <v>0</v>
      </c>
      <c r="AW26" s="36">
        <f>INDEX(Encounter_Diff[Hard], MATCH(PartyCompare_2[[#This Row],[+2 Level]],Encounter_Diff[Player Level],0))</f>
        <v>0</v>
      </c>
      <c r="AX26" s="36">
        <f>INDEX(Encounter_Diff[Deadly], MATCH(PartyCompare_2[[#This Row],[+2 Level]],Encounter_Diff[Player Level],0))</f>
        <v>0</v>
      </c>
      <c r="AY26" s="63">
        <f>SUM(PartyCompare_2[+2 (Easy)])/INDEX(Encounter_Mod[[Small]:[Large]], MATCH(PartyCompare_2[[#This Row],[Mob Size]], Encounter_Mod[Type], 0), MATCH(PartyCompare_2[[#This Row],[Party Size]],Encounter_Mod[[#Headers],[Small]:[Large]],0))</f>
        <v>75</v>
      </c>
      <c r="AZ26" s="38">
        <f>SUM(PartyCompare_2[+2 (Medium)])/INDEX(Encounter_Mod[[Small]:[Large]], MATCH(PartyCompare_2[[#This Row],[Mob Size]], Encounter_Mod[Type], 0), MATCH(PartyCompare_2[[#This Row],[Party Size]],Encounter_Mod[[#Headers],[Small]:[Large]],0))</f>
        <v>150</v>
      </c>
      <c r="BA26" s="38">
        <f>SUM(PartyCompare_2[+2 (Hard)])/INDEX(Encounter_Mod[[Small]:[Large]], MATCH(PartyCompare_2[[#This Row],[Mob Size]], Encounter_Mod[Type], 0), MATCH(PartyCompare_2[[#This Row],[Party Size]],Encounter_Mod[[#Headers],[Small]:[Large]],0))</f>
        <v>225</v>
      </c>
      <c r="BB26" s="38">
        <f>SUM(PartyCompare_2[+2 (Deadly)])/INDEX(Encounter_Mod[[Small]:[Large]], MATCH(PartyCompare_2[[#This Row],[Mob Size]], Encounter_Mod[Type], 0), MATCH(PartyCompare_2[[#This Row],[Party Size]],Encounter_Mod[[#Headers],[Small]:[Large]],0))</f>
        <v>350</v>
      </c>
      <c r="BC26" s="46">
        <f>(PartyCompare_2[[#This Row],[+2 Easy]]-INDEX(PartyCompare_0[+2 Easy], MATCH(PartyCompare_2[[#This Row],[Mob Size]],PartyCompare_2[Mob Size],0)))/INDEX(PartyCompare_0[+2 Easy], MATCH(PartyCompare_2[[#This Row],[Mob Size]],PartyCompare_2[Mob Size],0))</f>
        <v>-0.25</v>
      </c>
      <c r="BD26" s="39">
        <f>(PartyCompare_2[[#This Row],[+2 Medium]]-INDEX(PartyCompare_0[+2 Medium], MATCH(PartyCompare_2[[#This Row],[Mob Size]],PartyCompare_2[Mob Size],0)))/INDEX(PartyCompare_0[+2 Medium], MATCH(PartyCompare_2[[#This Row],[Mob Size]],PartyCompare_2[Mob Size],0))</f>
        <v>-0.25</v>
      </c>
      <c r="BE26" s="39">
        <f>(PartyCompare_2[[#This Row],[+2 Hard]]-INDEX(PartyCompare_0[+2 Hard], MATCH(PartyCompare_2[[#This Row],[Mob Size]],PartyCompare_2[Mob Size],0)))/INDEX(PartyCompare_0[+2 Hard], MATCH(PartyCompare_2[[#This Row],[Mob Size]],PartyCompare_2[Mob Size],0))</f>
        <v>-0.25</v>
      </c>
      <c r="BF26" s="34">
        <f>(PartyCompare_2[[#This Row],[+2 Deadly]]-INDEX(PartyCompare_0[+2 Deadly], MATCH(PartyCompare_2[[#This Row],[Mob Size]],PartyCompare_2[Mob Size],0)))/INDEX(PartyCompare_0[+2 Deadly], MATCH(PartyCompare_2[[#This Row],[Mob Size]],PartyCompare_2[Mob Size],0))</f>
        <v>-0.34375000000000006</v>
      </c>
      <c r="BG26" s="48">
        <f>AVERAGE(PartyCompare_2[[#This Row],[+2 Easy Deviation]:[+2 Deadly Deviation]])</f>
        <v>-0.2734375</v>
      </c>
      <c r="BH26" s="36">
        <f>IF(ISNUMBER(PartyCompare_2[[#This Row],[Level]]), PartyCompare_2[[#This Row],[Level]]+3, PartyCompare_2[[#This Row],[Level]])</f>
        <v>0</v>
      </c>
      <c r="BI26" s="36">
        <f>INDEX(Encounter_Diff[Easy], MATCH(PartyCompare_2[[#This Row],[+3 Level]],Encounter_Diff[Player Level],0))</f>
        <v>0</v>
      </c>
      <c r="BJ26" s="36">
        <f>INDEX(Encounter_Diff[Medium], MATCH(PartyCompare_2[[#This Row],[+3 Level]],Encounter_Diff[Player Level],0))</f>
        <v>0</v>
      </c>
      <c r="BK26" s="36">
        <f>INDEX(Encounter_Diff[Hard], MATCH(PartyCompare_2[[#This Row],[+3 Level]],Encounter_Diff[Player Level],0))</f>
        <v>0</v>
      </c>
      <c r="BL26" s="36">
        <f>INDEX(Encounter_Diff[Deadly], MATCH(PartyCompare_2[[#This Row],[+3 Level]],Encounter_Diff[Player Level],0))</f>
        <v>0</v>
      </c>
      <c r="BM26" s="63">
        <f>SUM(PartyCompare_2[+3 (Easy)])/INDEX(Encounter_Mod[[Small]:[Large]], MATCH(PartyCompare_2[[#This Row],[Mob Size]], Encounter_Mod[Type], 0), MATCH(PartyCompare_2[[#This Row],[Party Size]],Encounter_Mod[[#Headers],[Small]:[Large]],0))</f>
        <v>87.5</v>
      </c>
      <c r="BN26" s="38">
        <f>SUM(PartyCompare_2[+3 (Medium)])/INDEX(Encounter_Mod[[Small]:[Large]], MATCH(PartyCompare_2[[#This Row],[Mob Size]], Encounter_Mod[Type], 0), MATCH(PartyCompare_2[[#This Row],[Party Size]],Encounter_Mod[[#Headers],[Small]:[Large]],0))</f>
        <v>187.5</v>
      </c>
      <c r="BO26" s="38">
        <f>SUM(PartyCompare_2[+3 (Hard)])/INDEX(Encounter_Mod[[Small]:[Large]], MATCH(PartyCompare_2[[#This Row],[Mob Size]], Encounter_Mod[Type], 0), MATCH(PartyCompare_2[[#This Row],[Party Size]],Encounter_Mod[[#Headers],[Small]:[Large]],0))</f>
        <v>275</v>
      </c>
      <c r="BP26" s="38">
        <f>SUM(PartyCompare_2[+3 (Deadly)])/INDEX(Encounter_Mod[[Small]:[Large]], MATCH(PartyCompare_2[[#This Row],[Mob Size]], Encounter_Mod[Type], 0), MATCH(PartyCompare_2[[#This Row],[Party Size]],Encounter_Mod[[#Headers],[Small]:[Large]],0))</f>
        <v>425</v>
      </c>
      <c r="BQ26" s="46">
        <f>(PartyCompare_2[[#This Row],[+3 Easy]]-INDEX(PartyCompare_0[+3 Easy], MATCH(PartyCompare_2[[#This Row],[Mob Size]],PartyCompare_2[Mob Size],0)))/INDEX(PartyCompare_0[+3 Easy], MATCH(PartyCompare_2[[#This Row],[Mob Size]],PartyCompare_2[Mob Size],0))</f>
        <v>-0.47499999999999998</v>
      </c>
      <c r="BR26" s="39">
        <f>(PartyCompare_2[[#This Row],[+3 Medium]]-INDEX(PartyCompare_0[+3 Medium], MATCH(PartyCompare_2[[#This Row],[Mob Size]],PartyCompare_2[Mob Size],0)))/INDEX(PartyCompare_0[+3 Medium], MATCH(PartyCompare_2[[#This Row],[Mob Size]],PartyCompare_2[Mob Size],0))</f>
        <v>-0.43749999999999994</v>
      </c>
      <c r="BS26" s="39">
        <f>(PartyCompare_2[[#This Row],[+3 Hard]]-INDEX(PartyCompare_0[+3 Hard], MATCH(PartyCompare_2[[#This Row],[Mob Size]],PartyCompare_2[Mob Size],0)))/INDEX(PartyCompare_0[+3 Hard], MATCH(PartyCompare_2[[#This Row],[Mob Size]],PartyCompare_2[Mob Size],0))</f>
        <v>-0.45</v>
      </c>
      <c r="BT26" s="34">
        <f>(PartyCompare_2[[#This Row],[+3 Deadly]]-INDEX(PartyCompare_0[+3 Deadly], MATCH(PartyCompare_2[[#This Row],[Mob Size]],PartyCompare_2[Mob Size],0)))/INDEX(PartyCompare_0[+3 Deadly], MATCH(PartyCompare_2[[#This Row],[Mob Size]],PartyCompare_2[Mob Size],0))</f>
        <v>-0.36249999999999999</v>
      </c>
      <c r="BU26" s="48">
        <f>AVERAGE(PartyCompare_2[[#This Row],[+3 Easy Deviation]:[+3 Deadly Deviation]])</f>
        <v>-0.43124999999999997</v>
      </c>
      <c r="BV26" s="36">
        <f>IF(ISNUMBER(PartyCompare_2[[#This Row],[Level]]), PartyCompare_2[[#This Row],[Level]]+4, PartyCompare_2[[#This Row],[Level]])</f>
        <v>0</v>
      </c>
      <c r="BW26" s="36">
        <f>INDEX(Encounter_Diff[Easy], MATCH(PartyCompare_2[[#This Row],[+4 Level]],Encounter_Diff[Player Level],0))</f>
        <v>0</v>
      </c>
      <c r="BX26" s="36">
        <f>INDEX(Encounter_Diff[Medium], MATCH(PartyCompare_2[[#This Row],[+4 Level]],Encounter_Diff[Player Level],0))</f>
        <v>0</v>
      </c>
      <c r="BY26" s="36">
        <f>INDEX(Encounter_Diff[Hard], MATCH(PartyCompare_2[[#This Row],[+4 Level]],Encounter_Diff[Player Level],0))</f>
        <v>0</v>
      </c>
      <c r="BZ26" s="36">
        <f>INDEX(Encounter_Diff[Deadly], MATCH(PartyCompare_2[[#This Row],[+4 Level]],Encounter_Diff[Player Level],0))</f>
        <v>0</v>
      </c>
      <c r="CA26" s="63">
        <f>SUM(PartyCompare_2[+4 (Easy)])/INDEX(Encounter_Mod[[Small]:[Large]], MATCH(PartyCompare_2[[#This Row],[Mob Size]], Encounter_Mod[Type], 0), MATCH(PartyCompare_2[[#This Row],[Party Size]],Encounter_Mod[[#Headers],[Small]:[Large]],0))</f>
        <v>112.5</v>
      </c>
      <c r="CB26" s="38">
        <f>SUM(PartyCompare_2[+4 (Medium)])/INDEX(Encounter_Mod[[Small]:[Large]], MATCH(PartyCompare_2[[#This Row],[Mob Size]], Encounter_Mod[Type], 0), MATCH(PartyCompare_2[[#This Row],[Party Size]],Encounter_Mod[[#Headers],[Small]:[Large]],0))</f>
        <v>225</v>
      </c>
      <c r="CC26" s="38">
        <f>SUM(PartyCompare_2[+4 (Hard)])/INDEX(Encounter_Mod[[Small]:[Large]], MATCH(PartyCompare_2[[#This Row],[Mob Size]], Encounter_Mod[Type], 0), MATCH(PartyCompare_2[[#This Row],[Party Size]],Encounter_Mod[[#Headers],[Small]:[Large]],0))</f>
        <v>350</v>
      </c>
      <c r="CD26" s="38">
        <f>SUM(PartyCompare_2[+4 (Deadly)])/INDEX(Encounter_Mod[[Small]:[Large]], MATCH(PartyCompare_2[[#This Row],[Mob Size]], Encounter_Mod[Type], 0), MATCH(PartyCompare_2[[#This Row],[Party Size]],Encounter_Mod[[#Headers],[Small]:[Large]],0))</f>
        <v>525</v>
      </c>
      <c r="CE26" s="46">
        <f>(PartyCompare_2[[#This Row],[+4 Easy]]-INDEX(PartyCompare_0[+4 Easy], MATCH(PartyCompare_2[[#This Row],[Mob Size]],PartyCompare_2[Mob Size],0)))/INDEX(PartyCompare_0[+4 Easy], MATCH(PartyCompare_2[[#This Row],[Mob Size]],PartyCompare_2[Mob Size],0))</f>
        <v>-0.66249999999999998</v>
      </c>
      <c r="CF26" s="39">
        <f>(PartyCompare_2[[#This Row],[+4 Medium]]-INDEX(PartyCompare_0[+4 Medium], MATCH(PartyCompare_2[[#This Row],[Mob Size]],PartyCompare_2[Mob Size],0)))/INDEX(PartyCompare_0[+4 Medium], MATCH(PartyCompare_2[[#This Row],[Mob Size]],PartyCompare_2[Mob Size],0))</f>
        <v>-0.66249999999999998</v>
      </c>
      <c r="CG26" s="39">
        <f>(PartyCompare_2[[#This Row],[+4 Hard]]-INDEX(PartyCompare_0[+4 Hard], MATCH(PartyCompare_2[[#This Row],[Mob Size]],PartyCompare_2[Mob Size],0)))/INDEX(PartyCompare_0[+4 Hard], MATCH(PartyCompare_2[[#This Row],[Mob Size]],PartyCompare_2[Mob Size],0))</f>
        <v>-0.65</v>
      </c>
      <c r="CH26" s="34">
        <f>(PartyCompare_2[[#This Row],[+4 Deadly]]-INDEX(PartyCompare_0[+4 Deadly], MATCH(PartyCompare_2[[#This Row],[Mob Size]],PartyCompare_2[Mob Size],0)))/INDEX(PartyCompare_0[+4 Deadly], MATCH(PartyCompare_2[[#This Row],[Mob Size]],PartyCompare_2[Mob Size],0))</f>
        <v>-0.64204545454545459</v>
      </c>
      <c r="CI26" s="48">
        <f>AVERAGE(PartyCompare_2[[#This Row],[+4 Easy Deviation]:[+4 Deadly Deviation]])</f>
        <v>-0.65426136363636367</v>
      </c>
    </row>
    <row r="27" spans="2:87" x14ac:dyDescent="0.2">
      <c r="B27"/>
      <c r="C27"/>
      <c r="D27"/>
      <c r="E27"/>
      <c r="F27"/>
      <c r="G27"/>
      <c r="H27"/>
      <c r="I27"/>
      <c r="J27"/>
      <c r="L27" s="233"/>
      <c r="M27" s="91"/>
      <c r="N27" s="90"/>
      <c r="O27" s="32">
        <f>INDEX(Encounter_Diff[Easy], MATCH(PartyCompare_2[[#This Row],[Level]],Encounter_Diff[Player Level],0))</f>
        <v>0</v>
      </c>
      <c r="P27" s="32">
        <f>INDEX(Encounter_Diff[Medium], MATCH(PartyCompare_2[[#This Row],[Level]],Encounter_Diff[Player Level],0))</f>
        <v>0</v>
      </c>
      <c r="Q27" s="32">
        <f>INDEX(Encounter_Diff[Hard], MATCH(PartyCompare_2[[#This Row],[Level]],Encounter_Diff[Player Level],0))</f>
        <v>0</v>
      </c>
      <c r="R27" s="30">
        <f>INDEX(Encounter_Diff[Deadly], MATCH(PartyCompare_2[[#This Row],[Level]],Encounter_Diff[Player Level],0))</f>
        <v>0</v>
      </c>
      <c r="S27" s="97">
        <f t="shared" si="2"/>
        <v>4</v>
      </c>
      <c r="T27" s="32" t="str">
        <f>IF(COUNT(PartyCompare_2[Level])&lt;=2,"Small", IF(COUNT(PartyCompare_2[Level])&lt;=5,"Med", IF(COUNT(PartyCompare_2[Level])&lt;=8, "Large", "TOO BIG!")))</f>
        <v>Small</v>
      </c>
      <c r="U27" s="73" t="s">
        <v>112</v>
      </c>
      <c r="V27" s="77" t="str">
        <f>INDEX(Encounter_Mod[Count], MATCH(PartyCompare_2[[#This Row],[Mob Size]], Encounter_Mod[Type],0))</f>
        <v>15+</v>
      </c>
      <c r="W27" s="81">
        <f>SUM(PartyCompare_2[(Easy)])/INDEX(Encounter_Mod[[Small]:[Large]], MATCH(PartyCompare_2[[#This Row],[Mob Size]], Encounter_Mod[Type], 0), MATCH(PartyCompare_2[[#This Row],[Party Size]],Encounter_Mod[[#Headers],[Small]:[Large]],0))</f>
        <v>25</v>
      </c>
      <c r="X27" s="42">
        <f>SUM(PartyCompare_2[(Medium)])/INDEX(Encounter_Mod[[Small]:[Large]], MATCH(PartyCompare_2[[#This Row],[Mob Size]], Encounter_Mod[Type], 0), MATCH(PartyCompare_2[[#This Row],[Party Size]],Encounter_Mod[[#Headers],[Small]:[Large]],0))</f>
        <v>50</v>
      </c>
      <c r="Y27" s="42">
        <f>SUM(PartyCompare_2[(Hard)])/INDEX(Encounter_Mod[[Small]:[Large]], MATCH(PartyCompare_2[[#This Row],[Mob Size]], Encounter_Mod[Type], 0), MATCH(PartyCompare_2[[#This Row],[Party Size]],Encounter_Mod[[#Headers],[Small]:[Large]],0))</f>
        <v>75</v>
      </c>
      <c r="Z27" s="43">
        <f>SUM(PartyCompare_2[(Deadly)])/INDEX(Encounter_Mod[[Small]:[Large]], MATCH(PartyCompare_2[[#This Row],[Mob Size]], Encounter_Mod[Type], 0), MATCH(PartyCompare_2[[#This Row],[Party Size]],Encounter_Mod[[#Headers],[Small]:[Large]],0))</f>
        <v>100</v>
      </c>
      <c r="AA27" s="46">
        <f>(PartyCompare_2[[#This Row],[Easy]]-INDEX(PartyCompare_0[Easy], MATCH(PartyCompare_2[[#This Row],[Mob Size]],PartyCompare_0[Mob Size],0)))/INDEX(PartyCompare_0[Easy], MATCH(PartyCompare_2[[#This Row],[Mob Size]],PartyCompare_0[Mob Size],0))</f>
        <v>0</v>
      </c>
      <c r="AB27" s="33">
        <f>(PartyCompare_2[[#This Row],[Medium]]-INDEX(PartyCompare_0[Medium], MATCH(PartyCompare_2[[#This Row],[Mob Size]],PartyCompare_0[Mob Size],0)))/INDEX(PartyCompare_0[Medium], MATCH(PartyCompare_2[[#This Row],[Mob Size]],PartyCompare_0[Mob Size],0))</f>
        <v>0</v>
      </c>
      <c r="AC27" s="33">
        <f>(PartyCompare_2[[#This Row],[Hard]]-INDEX(PartyCompare_0[Hard], MATCH(PartyCompare_2[[#This Row],[Mob Size]],PartyCompare_0[Mob Size],0)))/INDEX(PartyCompare_0[Hard], MATCH(PartyCompare_2[[#This Row],[Mob Size]],PartyCompare_0[Mob Size],0))</f>
        <v>0</v>
      </c>
      <c r="AD27" s="34">
        <f>(PartyCompare_2[[#This Row],[Deadly]]-INDEX(PartyCompare_0[Deadly], MATCH(PartyCompare_2[[#This Row],[Mob Size]],PartyCompare_0[Mob Size],0)))/INDEX(PartyCompare_0[Deadly], MATCH(PartyCompare_2[[#This Row],[Mob Size]],PartyCompare_0[Mob Size],0))</f>
        <v>0</v>
      </c>
      <c r="AE27" s="48">
        <f>AVERAGE(PartyCompare_2[[#This Row],[Easy Deviation]:[Deadly Deviation]])</f>
        <v>0</v>
      </c>
      <c r="AF27" s="36">
        <f>IF(ISNUMBER(PartyCompare_2[[#This Row],[Level]]), PartyCompare_2[[#This Row],[Level]]+1, PartyCompare_2[[#This Row],[Level]])</f>
        <v>0</v>
      </c>
      <c r="AG27" s="36">
        <f>INDEX(Encounter_Diff[Easy], MATCH(PartyCompare_2[[#This Row],[+1 Level]],Encounter_Diff[Player Level],0))</f>
        <v>0</v>
      </c>
      <c r="AH27" s="36">
        <f>INDEX(Encounter_Diff[Medium], MATCH(PartyCompare_2[[#This Row],[+1 Level]],Encounter_Diff[Player Level],0))</f>
        <v>0</v>
      </c>
      <c r="AI27" s="36">
        <f>INDEX(Encounter_Diff[Hard], MATCH(PartyCompare_2[[#This Row],[+1 Level]],Encounter_Diff[Player Level],0))</f>
        <v>0</v>
      </c>
      <c r="AJ27" s="36">
        <f>INDEX(Encounter_Diff[Deadly], MATCH(PartyCompare_2[[#This Row],[+1 Level]],Encounter_Diff[Player Level],0))</f>
        <v>0</v>
      </c>
      <c r="AK27" s="63">
        <f>SUM(PartyCompare_2[+1 (Easy)])/INDEX(Encounter_Mod[[Small]:[Large]], MATCH(PartyCompare_2[[#This Row],[Mob Size]], Encounter_Mod[Type], 0), MATCH(PartyCompare_2[[#This Row],[Party Size]],Encounter_Mod[[#Headers],[Small]:[Large]],0))</f>
        <v>50</v>
      </c>
      <c r="AL27" s="38">
        <f>SUM(PartyCompare_2[+1 (Medium)])/INDEX(Encounter_Mod[[Small]:[Large]], MATCH(PartyCompare_2[[#This Row],[Mob Size]], Encounter_Mod[Type], 0), MATCH(PartyCompare_2[[#This Row],[Party Size]],Encounter_Mod[[#Headers],[Small]:[Large]],0))</f>
        <v>100</v>
      </c>
      <c r="AM27" s="38">
        <f>SUM(PartyCompare_2[+1 (Hard)])/INDEX(Encounter_Mod[[Small]:[Large]], MATCH(PartyCompare_2[[#This Row],[Mob Size]], Encounter_Mod[Type], 0), MATCH(PartyCompare_2[[#This Row],[Party Size]],Encounter_Mod[[#Headers],[Small]:[Large]],0))</f>
        <v>150</v>
      </c>
      <c r="AN27" s="38">
        <f>SUM(PartyCompare_2[+1 (Deadly)])/INDEX(Encounter_Mod[[Small]:[Large]], MATCH(PartyCompare_2[[#This Row],[Mob Size]], Encounter_Mod[Type], 0), MATCH(PartyCompare_2[[#This Row],[Party Size]],Encounter_Mod[[#Headers],[Small]:[Large]],0))</f>
        <v>220</v>
      </c>
      <c r="AO27" s="46">
        <f>(PartyCompare_2[[#This Row],[+1 Easy]]-INDEX(PartyCompare_0[+1 Easy], MATCH(PartyCompare_2[[#This Row],[Mob Size]],PartyCompare_2[Mob Size],0)))/INDEX(PartyCompare_0[+1 Easy], MATCH(PartyCompare_2[[#This Row],[Mob Size]],PartyCompare_2[Mob Size],0))</f>
        <v>0</v>
      </c>
      <c r="AP27" s="39">
        <f>(PartyCompare_2[[#This Row],[+1 Medium]]-INDEX(PartyCompare_0[+1 Medium], MATCH(PartyCompare_2[[#This Row],[Mob Size]],PartyCompare_2[Mob Size],0)))/INDEX(PartyCompare_0[+1 Medium], MATCH(PartyCompare_2[[#This Row],[Mob Size]],PartyCompare_2[Mob Size],0))</f>
        <v>0</v>
      </c>
      <c r="AQ27" s="39">
        <f>(PartyCompare_2[[#This Row],[+1 Hard]]-INDEX(PartyCompare_0[+1 Hard], MATCH(PartyCompare_2[[#This Row],[Mob Size]],PartyCompare_2[Mob Size],0)))/INDEX(PartyCompare_0[+1 Hard], MATCH(PartyCompare_2[[#This Row],[Mob Size]],PartyCompare_2[Mob Size],0))</f>
        <v>0</v>
      </c>
      <c r="AR27" s="34">
        <f>(PartyCompare_2[[#This Row],[+1 Deadly]]-INDEX(PartyCompare_0[+1 Deadly], MATCH(PartyCompare_2[[#This Row],[Mob Size]],PartyCompare_2[Mob Size],0)))/INDEX(PartyCompare_0[+1 Deadly], MATCH(PartyCompare_2[[#This Row],[Mob Size]],PartyCompare_2[Mob Size],0))</f>
        <v>0.1</v>
      </c>
      <c r="AS27" s="48">
        <f>AVERAGE(PartyCompare_2[[#This Row],[+1 Easy Deviation]:[+1 Deadly Deviation]])</f>
        <v>2.5000000000000001E-2</v>
      </c>
      <c r="AT27" s="36">
        <f>IF(ISNUMBER(PartyCompare_2[[#This Row],[Level]]), PartyCompare_2[[#This Row],[Level]]+2, PartyCompare_2[[#This Row],[Level]])</f>
        <v>0</v>
      </c>
      <c r="AU27" s="36">
        <f>INDEX(Encounter_Diff[Easy], MATCH(PartyCompare_2[[#This Row],[+2 Level]],Encounter_Diff[Player Level],0))</f>
        <v>0</v>
      </c>
      <c r="AV27" s="36">
        <f>INDEX(Encounter_Diff[Medium], MATCH(PartyCompare_2[[#This Row],[+2 Level]],Encounter_Diff[Player Level],0))</f>
        <v>0</v>
      </c>
      <c r="AW27" s="36">
        <f>INDEX(Encounter_Diff[Hard], MATCH(PartyCompare_2[[#This Row],[+2 Level]],Encounter_Diff[Player Level],0))</f>
        <v>0</v>
      </c>
      <c r="AX27" s="36">
        <f>INDEX(Encounter_Diff[Deadly], MATCH(PartyCompare_2[[#This Row],[+2 Level]],Encounter_Diff[Player Level],0))</f>
        <v>0</v>
      </c>
      <c r="AY27" s="63">
        <f>SUM(PartyCompare_2[+2 (Easy)])/INDEX(Encounter_Mod[[Small]:[Large]], MATCH(PartyCompare_2[[#This Row],[Mob Size]], Encounter_Mod[Type], 0), MATCH(PartyCompare_2[[#This Row],[Party Size]],Encounter_Mod[[#Headers],[Small]:[Large]],0))</f>
        <v>60</v>
      </c>
      <c r="AZ27" s="38">
        <f>SUM(PartyCompare_2[+2 (Medium)])/INDEX(Encounter_Mod[[Small]:[Large]], MATCH(PartyCompare_2[[#This Row],[Mob Size]], Encounter_Mod[Type], 0), MATCH(PartyCompare_2[[#This Row],[Party Size]],Encounter_Mod[[#Headers],[Small]:[Large]],0))</f>
        <v>120</v>
      </c>
      <c r="BA27" s="38">
        <f>SUM(PartyCompare_2[+2 (Hard)])/INDEX(Encounter_Mod[[Small]:[Large]], MATCH(PartyCompare_2[[#This Row],[Mob Size]], Encounter_Mod[Type], 0), MATCH(PartyCompare_2[[#This Row],[Party Size]],Encounter_Mod[[#Headers],[Small]:[Large]],0))</f>
        <v>180</v>
      </c>
      <c r="BB27" s="38">
        <f>SUM(PartyCompare_2[+2 (Deadly)])/INDEX(Encounter_Mod[[Small]:[Large]], MATCH(PartyCompare_2[[#This Row],[Mob Size]], Encounter_Mod[Type], 0), MATCH(PartyCompare_2[[#This Row],[Party Size]],Encounter_Mod[[#Headers],[Small]:[Large]],0))</f>
        <v>280</v>
      </c>
      <c r="BC27" s="46">
        <f>(PartyCompare_2[[#This Row],[+2 Easy]]-INDEX(PartyCompare_0[+2 Easy], MATCH(PartyCompare_2[[#This Row],[Mob Size]],PartyCompare_2[Mob Size],0)))/INDEX(PartyCompare_0[+2 Easy], MATCH(PartyCompare_2[[#This Row],[Mob Size]],PartyCompare_2[Mob Size],0))</f>
        <v>-0.2</v>
      </c>
      <c r="BD27" s="39">
        <f>(PartyCompare_2[[#This Row],[+2 Medium]]-INDEX(PartyCompare_0[+2 Medium], MATCH(PartyCompare_2[[#This Row],[Mob Size]],PartyCompare_2[Mob Size],0)))/INDEX(PartyCompare_0[+2 Medium], MATCH(PartyCompare_2[[#This Row],[Mob Size]],PartyCompare_2[Mob Size],0))</f>
        <v>-0.2</v>
      </c>
      <c r="BE27" s="39">
        <f>(PartyCompare_2[[#This Row],[+2 Hard]]-INDEX(PartyCompare_0[+2 Hard], MATCH(PartyCompare_2[[#This Row],[Mob Size]],PartyCompare_2[Mob Size],0)))/INDEX(PartyCompare_0[+2 Hard], MATCH(PartyCompare_2[[#This Row],[Mob Size]],PartyCompare_2[Mob Size],0))</f>
        <v>-0.2</v>
      </c>
      <c r="BF27" s="34">
        <f>(PartyCompare_2[[#This Row],[+2 Deadly]]-INDEX(PartyCompare_0[+2 Deadly], MATCH(PartyCompare_2[[#This Row],[Mob Size]],PartyCompare_2[Mob Size],0)))/INDEX(PartyCompare_0[+2 Deadly], MATCH(PartyCompare_2[[#This Row],[Mob Size]],PartyCompare_2[Mob Size],0))</f>
        <v>-0.3</v>
      </c>
      <c r="BG27" s="48">
        <f>AVERAGE(PartyCompare_2[[#This Row],[+2 Easy Deviation]:[+2 Deadly Deviation]])</f>
        <v>-0.22500000000000003</v>
      </c>
      <c r="BH27" s="36">
        <f>IF(ISNUMBER(PartyCompare_2[[#This Row],[Level]]), PartyCompare_2[[#This Row],[Level]]+3, PartyCompare_2[[#This Row],[Level]])</f>
        <v>0</v>
      </c>
      <c r="BI27" s="36">
        <f>INDEX(Encounter_Diff[Easy], MATCH(PartyCompare_2[[#This Row],[+3 Level]],Encounter_Diff[Player Level],0))</f>
        <v>0</v>
      </c>
      <c r="BJ27" s="36">
        <f>INDEX(Encounter_Diff[Medium], MATCH(PartyCompare_2[[#This Row],[+3 Level]],Encounter_Diff[Player Level],0))</f>
        <v>0</v>
      </c>
      <c r="BK27" s="36">
        <f>INDEX(Encounter_Diff[Hard], MATCH(PartyCompare_2[[#This Row],[+3 Level]],Encounter_Diff[Player Level],0))</f>
        <v>0</v>
      </c>
      <c r="BL27" s="36">
        <f>INDEX(Encounter_Diff[Deadly], MATCH(PartyCompare_2[[#This Row],[+3 Level]],Encounter_Diff[Player Level],0))</f>
        <v>0</v>
      </c>
      <c r="BM27" s="63">
        <f>SUM(PartyCompare_2[+3 (Easy)])/INDEX(Encounter_Mod[[Small]:[Large]], MATCH(PartyCompare_2[[#This Row],[Mob Size]], Encounter_Mod[Type], 0), MATCH(PartyCompare_2[[#This Row],[Party Size]],Encounter_Mod[[#Headers],[Small]:[Large]],0))</f>
        <v>70</v>
      </c>
      <c r="BN27" s="38">
        <f>SUM(PartyCompare_2[+3 (Medium)])/INDEX(Encounter_Mod[[Small]:[Large]], MATCH(PartyCompare_2[[#This Row],[Mob Size]], Encounter_Mod[Type], 0), MATCH(PartyCompare_2[[#This Row],[Party Size]],Encounter_Mod[[#Headers],[Small]:[Large]],0))</f>
        <v>150</v>
      </c>
      <c r="BO27" s="38">
        <f>SUM(PartyCompare_2[+3 (Hard)])/INDEX(Encounter_Mod[[Small]:[Large]], MATCH(PartyCompare_2[[#This Row],[Mob Size]], Encounter_Mod[Type], 0), MATCH(PartyCompare_2[[#This Row],[Party Size]],Encounter_Mod[[#Headers],[Small]:[Large]],0))</f>
        <v>220</v>
      </c>
      <c r="BP27" s="38">
        <f>SUM(PartyCompare_2[+3 (Deadly)])/INDEX(Encounter_Mod[[Small]:[Large]], MATCH(PartyCompare_2[[#This Row],[Mob Size]], Encounter_Mod[Type], 0), MATCH(PartyCompare_2[[#This Row],[Party Size]],Encounter_Mod[[#Headers],[Small]:[Large]],0))</f>
        <v>340</v>
      </c>
      <c r="BQ27" s="46">
        <f>(PartyCompare_2[[#This Row],[+3 Easy]]-INDEX(PartyCompare_0[+3 Easy], MATCH(PartyCompare_2[[#This Row],[Mob Size]],PartyCompare_2[Mob Size],0)))/INDEX(PartyCompare_0[+3 Easy], MATCH(PartyCompare_2[[#This Row],[Mob Size]],PartyCompare_2[Mob Size],0))</f>
        <v>-0.44</v>
      </c>
      <c r="BR27" s="39">
        <f>(PartyCompare_2[[#This Row],[+3 Medium]]-INDEX(PartyCompare_0[+3 Medium], MATCH(PartyCompare_2[[#This Row],[Mob Size]],PartyCompare_2[Mob Size],0)))/INDEX(PartyCompare_0[+3 Medium], MATCH(PartyCompare_2[[#This Row],[Mob Size]],PartyCompare_2[Mob Size],0))</f>
        <v>-0.4</v>
      </c>
      <c r="BS27" s="39">
        <f>(PartyCompare_2[[#This Row],[+3 Hard]]-INDEX(PartyCompare_0[+3 Hard], MATCH(PartyCompare_2[[#This Row],[Mob Size]],PartyCompare_2[Mob Size],0)))/INDEX(PartyCompare_0[+3 Hard], MATCH(PartyCompare_2[[#This Row],[Mob Size]],PartyCompare_2[Mob Size],0))</f>
        <v>-0.41333333333333333</v>
      </c>
      <c r="BT27" s="34">
        <f>(PartyCompare_2[[#This Row],[+3 Deadly]]-INDEX(PartyCompare_0[+3 Deadly], MATCH(PartyCompare_2[[#This Row],[Mob Size]],PartyCompare_2[Mob Size],0)))/INDEX(PartyCompare_0[+3 Deadly], MATCH(PartyCompare_2[[#This Row],[Mob Size]],PartyCompare_2[Mob Size],0))</f>
        <v>-0.32</v>
      </c>
      <c r="BU27" s="48">
        <f>AVERAGE(PartyCompare_2[[#This Row],[+3 Easy Deviation]:[+3 Deadly Deviation]])</f>
        <v>-0.39333333333333337</v>
      </c>
      <c r="BV27" s="36">
        <f>IF(ISNUMBER(PartyCompare_2[[#This Row],[Level]]), PartyCompare_2[[#This Row],[Level]]+4, PartyCompare_2[[#This Row],[Level]])</f>
        <v>0</v>
      </c>
      <c r="BW27" s="36">
        <f>INDEX(Encounter_Diff[Easy], MATCH(PartyCompare_2[[#This Row],[+4 Level]],Encounter_Diff[Player Level],0))</f>
        <v>0</v>
      </c>
      <c r="BX27" s="36">
        <f>INDEX(Encounter_Diff[Medium], MATCH(PartyCompare_2[[#This Row],[+4 Level]],Encounter_Diff[Player Level],0))</f>
        <v>0</v>
      </c>
      <c r="BY27" s="36">
        <f>INDEX(Encounter_Diff[Hard], MATCH(PartyCompare_2[[#This Row],[+4 Level]],Encounter_Diff[Player Level],0))</f>
        <v>0</v>
      </c>
      <c r="BZ27" s="36">
        <f>INDEX(Encounter_Diff[Deadly], MATCH(PartyCompare_2[[#This Row],[+4 Level]],Encounter_Diff[Player Level],0))</f>
        <v>0</v>
      </c>
      <c r="CA27" s="63">
        <f>SUM(PartyCompare_2[+4 (Easy)])/INDEX(Encounter_Mod[[Small]:[Large]], MATCH(PartyCompare_2[[#This Row],[Mob Size]], Encounter_Mod[Type], 0), MATCH(PartyCompare_2[[#This Row],[Party Size]],Encounter_Mod[[#Headers],[Small]:[Large]],0))</f>
        <v>90</v>
      </c>
      <c r="CB27" s="38">
        <f>SUM(PartyCompare_2[+4 (Medium)])/INDEX(Encounter_Mod[[Small]:[Large]], MATCH(PartyCompare_2[[#This Row],[Mob Size]], Encounter_Mod[Type], 0), MATCH(PartyCompare_2[[#This Row],[Party Size]],Encounter_Mod[[#Headers],[Small]:[Large]],0))</f>
        <v>180</v>
      </c>
      <c r="CC27" s="38">
        <f>SUM(PartyCompare_2[+4 (Hard)])/INDEX(Encounter_Mod[[Small]:[Large]], MATCH(PartyCompare_2[[#This Row],[Mob Size]], Encounter_Mod[Type], 0), MATCH(PartyCompare_2[[#This Row],[Party Size]],Encounter_Mod[[#Headers],[Small]:[Large]],0))</f>
        <v>280</v>
      </c>
      <c r="CD27" s="38">
        <f>SUM(PartyCompare_2[+4 (Deadly)])/INDEX(Encounter_Mod[[Small]:[Large]], MATCH(PartyCompare_2[[#This Row],[Mob Size]], Encounter_Mod[Type], 0), MATCH(PartyCompare_2[[#This Row],[Party Size]],Encounter_Mod[[#Headers],[Small]:[Large]],0))</f>
        <v>420</v>
      </c>
      <c r="CE27" s="46">
        <f>(PartyCompare_2[[#This Row],[+4 Easy]]-INDEX(PartyCompare_0[+4 Easy], MATCH(PartyCompare_2[[#This Row],[Mob Size]],PartyCompare_2[Mob Size],0)))/INDEX(PartyCompare_0[+4 Easy], MATCH(PartyCompare_2[[#This Row],[Mob Size]],PartyCompare_2[Mob Size],0))</f>
        <v>-0.64</v>
      </c>
      <c r="CF27" s="39">
        <f>(PartyCompare_2[[#This Row],[+4 Medium]]-INDEX(PartyCompare_0[+4 Medium], MATCH(PartyCompare_2[[#This Row],[Mob Size]],PartyCompare_2[Mob Size],0)))/INDEX(PartyCompare_0[+4 Medium], MATCH(PartyCompare_2[[#This Row],[Mob Size]],PartyCompare_2[Mob Size],0))</f>
        <v>-0.64</v>
      </c>
      <c r="CG27" s="39">
        <f>(PartyCompare_2[[#This Row],[+4 Hard]]-INDEX(PartyCompare_0[+4 Hard], MATCH(PartyCompare_2[[#This Row],[Mob Size]],PartyCompare_2[Mob Size],0)))/INDEX(PartyCompare_0[+4 Hard], MATCH(PartyCompare_2[[#This Row],[Mob Size]],PartyCompare_2[Mob Size],0))</f>
        <v>-0.62666666666666671</v>
      </c>
      <c r="CH27" s="34">
        <f>(PartyCompare_2[[#This Row],[+4 Deadly]]-INDEX(PartyCompare_0[+4 Deadly], MATCH(PartyCompare_2[[#This Row],[Mob Size]],PartyCompare_2[Mob Size],0)))/INDEX(PartyCompare_0[+4 Deadly], MATCH(PartyCompare_2[[#This Row],[Mob Size]],PartyCompare_2[Mob Size],0))</f>
        <v>-0.61818181818181817</v>
      </c>
      <c r="CI27" s="48">
        <f>AVERAGE(PartyCompare_2[[#This Row],[+4 Easy Deviation]:[+4 Deadly Deviation]])</f>
        <v>-0.63121212121212122</v>
      </c>
    </row>
    <row r="28" spans="2:87" x14ac:dyDescent="0.2">
      <c r="B28"/>
      <c r="C28"/>
      <c r="D28"/>
      <c r="E28"/>
      <c r="F28"/>
      <c r="G28"/>
      <c r="H28"/>
      <c r="I28"/>
      <c r="J28"/>
      <c r="L28" s="233"/>
      <c r="M28" s="91"/>
      <c r="N28" s="90"/>
      <c r="O28" s="32">
        <f>INDEX(Encounter_Diff[Easy], MATCH(PartyCompare_2[[#This Row],[Level]],Encounter_Diff[Player Level],0))</f>
        <v>0</v>
      </c>
      <c r="P28" s="32">
        <f>INDEX(Encounter_Diff[Medium], MATCH(PartyCompare_2[[#This Row],[Level]],Encounter_Diff[Player Level],0))</f>
        <v>0</v>
      </c>
      <c r="Q28" s="32">
        <f>INDEX(Encounter_Diff[Hard], MATCH(PartyCompare_2[[#This Row],[Level]],Encounter_Diff[Player Level],0))</f>
        <v>0</v>
      </c>
      <c r="R28" s="30">
        <f>INDEX(Encounter_Diff[Deadly], MATCH(PartyCompare_2[[#This Row],[Level]],Encounter_Diff[Player Level],0))</f>
        <v>0</v>
      </c>
      <c r="S28" s="97">
        <f t="shared" si="2"/>
        <v>4</v>
      </c>
      <c r="T28" s="45" t="s">
        <v>139</v>
      </c>
      <c r="U28" s="74" t="s">
        <v>139</v>
      </c>
      <c r="V28" s="78" t="s">
        <v>139</v>
      </c>
      <c r="W28" s="82" t="s">
        <v>139</v>
      </c>
      <c r="X28" s="45" t="s">
        <v>139</v>
      </c>
      <c r="Y28" s="45" t="s">
        <v>139</v>
      </c>
      <c r="Z28" s="41" t="s">
        <v>139</v>
      </c>
      <c r="AA28" s="44" t="s">
        <v>139</v>
      </c>
      <c r="AB28" s="45" t="s">
        <v>139</v>
      </c>
      <c r="AC28" s="45" t="s">
        <v>139</v>
      </c>
      <c r="AD28" s="41" t="s">
        <v>139</v>
      </c>
      <c r="AE28" s="49" t="s">
        <v>139</v>
      </c>
      <c r="AF28" s="36">
        <f>IF(ISNUMBER(PartyCompare_2[[#This Row],[Level]]), PartyCompare_2[[#This Row],[Level]]+1, PartyCompare_2[[#This Row],[Level]])</f>
        <v>0</v>
      </c>
      <c r="AG28" s="36">
        <f>INDEX(Encounter_Diff[Easy], MATCH(PartyCompare_2[[#This Row],[+1 Level]],Encounter_Diff[Player Level],0))</f>
        <v>0</v>
      </c>
      <c r="AH28" s="36">
        <f>INDEX(Encounter_Diff[Medium], MATCH(PartyCompare_2[[#This Row],[+1 Level]],Encounter_Diff[Player Level],0))</f>
        <v>0</v>
      </c>
      <c r="AI28" s="36">
        <f>INDEX(Encounter_Diff[Hard], MATCH(PartyCompare_2[[#This Row],[+1 Level]],Encounter_Diff[Player Level],0))</f>
        <v>0</v>
      </c>
      <c r="AJ28" s="36">
        <f>INDEX(Encounter_Diff[Deadly], MATCH(PartyCompare_2[[#This Row],[+1 Level]],Encounter_Diff[Player Level],0))</f>
        <v>0</v>
      </c>
      <c r="AK28" s="44" t="s">
        <v>139</v>
      </c>
      <c r="AL28" s="37" t="s">
        <v>139</v>
      </c>
      <c r="AM28" s="37" t="s">
        <v>139</v>
      </c>
      <c r="AN28" s="45" t="s">
        <v>139</v>
      </c>
      <c r="AO28" s="44" t="s">
        <v>139</v>
      </c>
      <c r="AP28" s="37" t="s">
        <v>139</v>
      </c>
      <c r="AQ28" s="37" t="s">
        <v>139</v>
      </c>
      <c r="AR28" s="41" t="s">
        <v>139</v>
      </c>
      <c r="AS28" s="49" t="s">
        <v>139</v>
      </c>
      <c r="AT28" s="36">
        <f>IF(ISNUMBER(PartyCompare_2[[#This Row],[Level]]), PartyCompare_2[[#This Row],[Level]]+2, PartyCompare_2[[#This Row],[Level]])</f>
        <v>0</v>
      </c>
      <c r="AU28" s="36">
        <f>INDEX(Encounter_Diff[Easy], MATCH(PartyCompare_2[[#This Row],[+2 Level]],Encounter_Diff[Player Level],0))</f>
        <v>0</v>
      </c>
      <c r="AV28" s="36">
        <f>INDEX(Encounter_Diff[Medium], MATCH(PartyCompare_2[[#This Row],[+2 Level]],Encounter_Diff[Player Level],0))</f>
        <v>0</v>
      </c>
      <c r="AW28" s="36">
        <f>INDEX(Encounter_Diff[Hard], MATCH(PartyCompare_2[[#This Row],[+2 Level]],Encounter_Diff[Player Level],0))</f>
        <v>0</v>
      </c>
      <c r="AX28" s="36">
        <f>INDEX(Encounter_Diff[Deadly], MATCH(PartyCompare_2[[#This Row],[+2 Level]],Encounter_Diff[Player Level],0))</f>
        <v>0</v>
      </c>
      <c r="AY28" s="44" t="s">
        <v>139</v>
      </c>
      <c r="AZ28" s="37" t="s">
        <v>139</v>
      </c>
      <c r="BA28" s="37" t="s">
        <v>139</v>
      </c>
      <c r="BB28" s="45" t="s">
        <v>139</v>
      </c>
      <c r="BC28" s="44" t="s">
        <v>139</v>
      </c>
      <c r="BD28" s="37" t="s">
        <v>139</v>
      </c>
      <c r="BE28" s="37" t="s">
        <v>139</v>
      </c>
      <c r="BF28" s="41" t="s">
        <v>139</v>
      </c>
      <c r="BG28" s="49" t="s">
        <v>139</v>
      </c>
      <c r="BH28" s="36">
        <f>IF(ISNUMBER(PartyCompare_2[[#This Row],[Level]]), PartyCompare_2[[#This Row],[Level]]+3, PartyCompare_2[[#This Row],[Level]])</f>
        <v>0</v>
      </c>
      <c r="BI28" s="36">
        <f>INDEX(Encounter_Diff[Easy], MATCH(PartyCompare_2[[#This Row],[+3 Level]],Encounter_Diff[Player Level],0))</f>
        <v>0</v>
      </c>
      <c r="BJ28" s="36">
        <f>INDEX(Encounter_Diff[Medium], MATCH(PartyCompare_2[[#This Row],[+3 Level]],Encounter_Diff[Player Level],0))</f>
        <v>0</v>
      </c>
      <c r="BK28" s="36">
        <f>INDEX(Encounter_Diff[Hard], MATCH(PartyCompare_2[[#This Row],[+3 Level]],Encounter_Diff[Player Level],0))</f>
        <v>0</v>
      </c>
      <c r="BL28" s="36">
        <f>INDEX(Encounter_Diff[Deadly], MATCH(PartyCompare_2[[#This Row],[+3 Level]],Encounter_Diff[Player Level],0))</f>
        <v>0</v>
      </c>
      <c r="BM28" s="44" t="s">
        <v>139</v>
      </c>
      <c r="BN28" s="37" t="s">
        <v>139</v>
      </c>
      <c r="BO28" s="37" t="s">
        <v>139</v>
      </c>
      <c r="BP28" s="45" t="s">
        <v>139</v>
      </c>
      <c r="BQ28" s="44" t="s">
        <v>139</v>
      </c>
      <c r="BR28" s="37" t="s">
        <v>139</v>
      </c>
      <c r="BS28" s="37" t="s">
        <v>139</v>
      </c>
      <c r="BT28" s="41" t="s">
        <v>139</v>
      </c>
      <c r="BU28" s="49" t="s">
        <v>139</v>
      </c>
      <c r="BV28" s="36">
        <f>IF(ISNUMBER(PartyCompare_2[[#This Row],[Level]]), PartyCompare_2[[#This Row],[Level]]+4, PartyCompare_2[[#This Row],[Level]])</f>
        <v>0</v>
      </c>
      <c r="BW28" s="36">
        <f>INDEX(Encounter_Diff[Easy], MATCH(PartyCompare_2[[#This Row],[+4 Level]],Encounter_Diff[Player Level],0))</f>
        <v>0</v>
      </c>
      <c r="BX28" s="36">
        <f>INDEX(Encounter_Diff[Medium], MATCH(PartyCompare_2[[#This Row],[+4 Level]],Encounter_Diff[Player Level],0))</f>
        <v>0</v>
      </c>
      <c r="BY28" s="36">
        <f>INDEX(Encounter_Diff[Hard], MATCH(PartyCompare_2[[#This Row],[+4 Level]],Encounter_Diff[Player Level],0))</f>
        <v>0</v>
      </c>
      <c r="BZ28" s="36">
        <f>INDEX(Encounter_Diff[Deadly], MATCH(PartyCompare_2[[#This Row],[+4 Level]],Encounter_Diff[Player Level],0))</f>
        <v>0</v>
      </c>
      <c r="CA28" s="44" t="s">
        <v>139</v>
      </c>
      <c r="CB28" s="37" t="s">
        <v>139</v>
      </c>
      <c r="CC28" s="37" t="s">
        <v>139</v>
      </c>
      <c r="CD28" s="45" t="s">
        <v>139</v>
      </c>
      <c r="CE28" s="44" t="s">
        <v>139</v>
      </c>
      <c r="CF28" s="37" t="s">
        <v>139</v>
      </c>
      <c r="CG28" s="37" t="s">
        <v>139</v>
      </c>
      <c r="CH28" s="41" t="s">
        <v>139</v>
      </c>
      <c r="CI28" s="49" t="s">
        <v>139</v>
      </c>
    </row>
    <row r="29" spans="2:87" ht="15.75" thickBot="1" x14ac:dyDescent="0.25">
      <c r="B29"/>
      <c r="C29"/>
      <c r="D29"/>
      <c r="E29"/>
      <c r="F29"/>
      <c r="G29"/>
      <c r="H29"/>
      <c r="I29"/>
      <c r="J29"/>
      <c r="L29" s="234"/>
      <c r="M29" s="91"/>
      <c r="N29" s="90"/>
      <c r="O29" s="32">
        <f>INDEX(Encounter_Diff[Easy], MATCH(PartyCompare_2[[#This Row],[Level]],Encounter_Diff[Player Level],0))</f>
        <v>0</v>
      </c>
      <c r="P29" s="32">
        <f>INDEX(Encounter_Diff[Medium], MATCH(PartyCompare_2[[#This Row],[Level]],Encounter_Diff[Player Level],0))</f>
        <v>0</v>
      </c>
      <c r="Q29" s="32">
        <f>INDEX(Encounter_Diff[Hard], MATCH(PartyCompare_2[[#This Row],[Level]],Encounter_Diff[Player Level],0))</f>
        <v>0</v>
      </c>
      <c r="R29" s="30">
        <f>INDEX(Encounter_Diff[Deadly], MATCH(PartyCompare_2[[#This Row],[Level]],Encounter_Diff[Player Level],0))</f>
        <v>0</v>
      </c>
      <c r="S29" s="98">
        <f t="shared" si="2"/>
        <v>4</v>
      </c>
      <c r="T29" s="45" t="s">
        <v>139</v>
      </c>
      <c r="U29" s="74" t="s">
        <v>139</v>
      </c>
      <c r="V29" s="80" t="s">
        <v>139</v>
      </c>
      <c r="W29" s="82" t="s">
        <v>139</v>
      </c>
      <c r="X29" s="45" t="s">
        <v>139</v>
      </c>
      <c r="Y29" s="45" t="s">
        <v>139</v>
      </c>
      <c r="Z29" s="41" t="s">
        <v>139</v>
      </c>
      <c r="AA29" s="44" t="s">
        <v>139</v>
      </c>
      <c r="AB29" s="45" t="s">
        <v>139</v>
      </c>
      <c r="AC29" s="45" t="s">
        <v>139</v>
      </c>
      <c r="AD29" s="41" t="s">
        <v>139</v>
      </c>
      <c r="AE29" s="49" t="s">
        <v>139</v>
      </c>
      <c r="AF29" s="36">
        <f>IF(ISNUMBER(PartyCompare_2[[#This Row],[Level]]), PartyCompare_2[[#This Row],[Level]]+1, PartyCompare_2[[#This Row],[Level]])</f>
        <v>0</v>
      </c>
      <c r="AG29" s="36">
        <f>INDEX(Encounter_Diff[Easy], MATCH(PartyCompare_2[[#This Row],[+1 Level]],Encounter_Diff[Player Level],0))</f>
        <v>0</v>
      </c>
      <c r="AH29" s="36">
        <f>INDEX(Encounter_Diff[Medium], MATCH(PartyCompare_2[[#This Row],[+1 Level]],Encounter_Diff[Player Level],0))</f>
        <v>0</v>
      </c>
      <c r="AI29" s="36">
        <f>INDEX(Encounter_Diff[Hard], MATCH(PartyCompare_2[[#This Row],[+1 Level]],Encounter_Diff[Player Level],0))</f>
        <v>0</v>
      </c>
      <c r="AJ29" s="36">
        <f>INDEX(Encounter_Diff[Deadly], MATCH(PartyCompare_2[[#This Row],[+1 Level]],Encounter_Diff[Player Level],0))</f>
        <v>0</v>
      </c>
      <c r="AK29" s="44" t="s">
        <v>139</v>
      </c>
      <c r="AL29" s="37" t="s">
        <v>139</v>
      </c>
      <c r="AM29" s="37" t="s">
        <v>139</v>
      </c>
      <c r="AN29" s="45" t="s">
        <v>139</v>
      </c>
      <c r="AO29" s="44" t="s">
        <v>139</v>
      </c>
      <c r="AP29" s="37" t="s">
        <v>139</v>
      </c>
      <c r="AQ29" s="37" t="s">
        <v>139</v>
      </c>
      <c r="AR29" s="41" t="s">
        <v>139</v>
      </c>
      <c r="AS29" s="49" t="s">
        <v>139</v>
      </c>
      <c r="AT29" s="53">
        <f>IF(ISNUMBER(PartyCompare_2[[#This Row],[Level]]), PartyCompare_2[[#This Row],[Level]]+2, PartyCompare_2[[#This Row],[Level]])</f>
        <v>0</v>
      </c>
      <c r="AU29" s="53">
        <f>INDEX(Encounter_Diff[Easy], MATCH(PartyCompare_2[[#This Row],[+2 Level]],Encounter_Diff[Player Level],0))</f>
        <v>0</v>
      </c>
      <c r="AV29" s="53">
        <f>INDEX(Encounter_Diff[Medium], MATCH(PartyCompare_2[[#This Row],[+2 Level]],Encounter_Diff[Player Level],0))</f>
        <v>0</v>
      </c>
      <c r="AW29" s="53">
        <f>INDEX(Encounter_Diff[Hard], MATCH(PartyCompare_2[[#This Row],[+2 Level]],Encounter_Diff[Player Level],0))</f>
        <v>0</v>
      </c>
      <c r="AX29" s="53">
        <f>INDEX(Encounter_Diff[Deadly], MATCH(PartyCompare_2[[#This Row],[+2 Level]],Encounter_Diff[Player Level],0))</f>
        <v>0</v>
      </c>
      <c r="AY29" s="61" t="s">
        <v>139</v>
      </c>
      <c r="AZ29" s="54" t="s">
        <v>139</v>
      </c>
      <c r="BA29" s="54" t="s">
        <v>139</v>
      </c>
      <c r="BB29" s="54" t="s">
        <v>139</v>
      </c>
      <c r="BC29" s="61" t="s">
        <v>139</v>
      </c>
      <c r="BD29" s="54" t="s">
        <v>139</v>
      </c>
      <c r="BE29" s="54" t="s">
        <v>139</v>
      </c>
      <c r="BF29" s="55" t="s">
        <v>139</v>
      </c>
      <c r="BG29" s="56" t="s">
        <v>139</v>
      </c>
      <c r="BH29" s="53">
        <f>IF(ISNUMBER(PartyCompare_2[[#This Row],[Level]]), PartyCompare_2[[#This Row],[Level]]+3, PartyCompare_2[[#This Row],[Level]])</f>
        <v>0</v>
      </c>
      <c r="BI29" s="53">
        <f>INDEX(Encounter_Diff[Easy], MATCH(PartyCompare_2[[#This Row],[+3 Level]],Encounter_Diff[Player Level],0))</f>
        <v>0</v>
      </c>
      <c r="BJ29" s="53">
        <f>INDEX(Encounter_Diff[Medium], MATCH(PartyCompare_2[[#This Row],[+3 Level]],Encounter_Diff[Player Level],0))</f>
        <v>0</v>
      </c>
      <c r="BK29" s="53">
        <f>INDEX(Encounter_Diff[Hard], MATCH(PartyCompare_2[[#This Row],[+3 Level]],Encounter_Diff[Player Level],0))</f>
        <v>0</v>
      </c>
      <c r="BL29" s="53">
        <f>INDEX(Encounter_Diff[Deadly], MATCH(PartyCompare_2[[#This Row],[+3 Level]],Encounter_Diff[Player Level],0))</f>
        <v>0</v>
      </c>
      <c r="BM29" s="61" t="s">
        <v>139</v>
      </c>
      <c r="BN29" s="54" t="s">
        <v>139</v>
      </c>
      <c r="BO29" s="54" t="s">
        <v>139</v>
      </c>
      <c r="BP29" s="54" t="s">
        <v>139</v>
      </c>
      <c r="BQ29" s="61" t="s">
        <v>139</v>
      </c>
      <c r="BR29" s="54" t="s">
        <v>139</v>
      </c>
      <c r="BS29" s="54" t="s">
        <v>139</v>
      </c>
      <c r="BT29" s="55" t="s">
        <v>139</v>
      </c>
      <c r="BU29" s="56" t="s">
        <v>139</v>
      </c>
      <c r="BV29" s="53">
        <f>IF(ISNUMBER(PartyCompare_2[[#This Row],[Level]]), PartyCompare_2[[#This Row],[Level]]+4, PartyCompare_2[[#This Row],[Level]])</f>
        <v>0</v>
      </c>
      <c r="BW29" s="53">
        <f>INDEX(Encounter_Diff[Easy], MATCH(PartyCompare_2[[#This Row],[+4 Level]],Encounter_Diff[Player Level],0))</f>
        <v>0</v>
      </c>
      <c r="BX29" s="53">
        <f>INDEX(Encounter_Diff[Medium], MATCH(PartyCompare_2[[#This Row],[+4 Level]],Encounter_Diff[Player Level],0))</f>
        <v>0</v>
      </c>
      <c r="BY29" s="53">
        <f>INDEX(Encounter_Diff[Hard], MATCH(PartyCompare_2[[#This Row],[+4 Level]],Encounter_Diff[Player Level],0))</f>
        <v>0</v>
      </c>
      <c r="BZ29" s="53">
        <f>INDEX(Encounter_Diff[Deadly], MATCH(PartyCompare_2[[#This Row],[+4 Level]],Encounter_Diff[Player Level],0))</f>
        <v>0</v>
      </c>
      <c r="CA29" s="61" t="s">
        <v>139</v>
      </c>
      <c r="CB29" s="54" t="s">
        <v>139</v>
      </c>
      <c r="CC29" s="54" t="s">
        <v>139</v>
      </c>
      <c r="CD29" s="54" t="s">
        <v>139</v>
      </c>
      <c r="CE29" s="61" t="s">
        <v>139</v>
      </c>
      <c r="CF29" s="54" t="s">
        <v>139</v>
      </c>
      <c r="CG29" s="54" t="s">
        <v>139</v>
      </c>
      <c r="CH29" s="55" t="s">
        <v>139</v>
      </c>
      <c r="CI29" s="56" t="s">
        <v>139</v>
      </c>
    </row>
    <row r="30" spans="2:87" ht="15.75" x14ac:dyDescent="0.2">
      <c r="B30"/>
      <c r="C30"/>
      <c r="D30"/>
      <c r="E30"/>
      <c r="F30"/>
      <c r="G30"/>
      <c r="H30"/>
      <c r="I30"/>
      <c r="J30"/>
      <c r="L30" s="40" t="s">
        <v>144</v>
      </c>
      <c r="M30" s="29" t="s">
        <v>134</v>
      </c>
      <c r="N30" s="72" t="s">
        <v>33</v>
      </c>
      <c r="O30" s="32" t="s">
        <v>140</v>
      </c>
      <c r="P30" s="32" t="s">
        <v>141</v>
      </c>
      <c r="Q30" s="32" t="s">
        <v>142</v>
      </c>
      <c r="R30" s="30" t="s">
        <v>143</v>
      </c>
      <c r="S30" s="96" t="s">
        <v>144</v>
      </c>
      <c r="T30" s="32" t="s">
        <v>119</v>
      </c>
      <c r="U30" s="73" t="s">
        <v>120</v>
      </c>
      <c r="V30" s="79" t="s">
        <v>224</v>
      </c>
      <c r="W30" s="29" t="s">
        <v>36</v>
      </c>
      <c r="X30" s="32" t="s">
        <v>37</v>
      </c>
      <c r="Y30" s="32" t="s">
        <v>38</v>
      </c>
      <c r="Z30" s="30" t="s">
        <v>40</v>
      </c>
      <c r="AA30" s="31" t="s">
        <v>129</v>
      </c>
      <c r="AB30" s="32" t="s">
        <v>130</v>
      </c>
      <c r="AC30" s="32" t="s">
        <v>131</v>
      </c>
      <c r="AD30" s="30" t="s">
        <v>132</v>
      </c>
      <c r="AE30" s="47" t="s">
        <v>133</v>
      </c>
      <c r="AF30" s="41" t="s">
        <v>154</v>
      </c>
      <c r="AG30" s="37" t="s">
        <v>155</v>
      </c>
      <c r="AH30" s="37" t="s">
        <v>156</v>
      </c>
      <c r="AI30" s="37" t="s">
        <v>157</v>
      </c>
      <c r="AJ30" s="37" t="s">
        <v>158</v>
      </c>
      <c r="AK30" s="44" t="s">
        <v>159</v>
      </c>
      <c r="AL30" s="37" t="s">
        <v>160</v>
      </c>
      <c r="AM30" s="37" t="s">
        <v>161</v>
      </c>
      <c r="AN30" s="41" t="s">
        <v>162</v>
      </c>
      <c r="AO30" s="37" t="s">
        <v>163</v>
      </c>
      <c r="AP30" s="37" t="s">
        <v>164</v>
      </c>
      <c r="AQ30" s="37" t="s">
        <v>165</v>
      </c>
      <c r="AR30" s="41" t="s">
        <v>166</v>
      </c>
      <c r="AS30" s="49" t="s">
        <v>167</v>
      </c>
      <c r="AT30" s="57" t="s">
        <v>196</v>
      </c>
      <c r="AU30" s="58" t="s">
        <v>197</v>
      </c>
      <c r="AV30" s="58" t="s">
        <v>198</v>
      </c>
      <c r="AW30" s="58" t="s">
        <v>199</v>
      </c>
      <c r="AX30" s="58" t="s">
        <v>200</v>
      </c>
      <c r="AY30" s="65" t="s">
        <v>201</v>
      </c>
      <c r="AZ30" s="58" t="s">
        <v>202</v>
      </c>
      <c r="BA30" s="58" t="s">
        <v>203</v>
      </c>
      <c r="BB30" s="58" t="s">
        <v>204</v>
      </c>
      <c r="BC30" s="65" t="s">
        <v>205</v>
      </c>
      <c r="BD30" s="58" t="s">
        <v>206</v>
      </c>
      <c r="BE30" s="58" t="s">
        <v>207</v>
      </c>
      <c r="BF30" s="57" t="s">
        <v>208</v>
      </c>
      <c r="BG30" s="59" t="s">
        <v>209</v>
      </c>
      <c r="BH30" s="57" t="s">
        <v>168</v>
      </c>
      <c r="BI30" s="58" t="s">
        <v>169</v>
      </c>
      <c r="BJ30" s="58" t="s">
        <v>170</v>
      </c>
      <c r="BK30" s="58" t="s">
        <v>171</v>
      </c>
      <c r="BL30" s="58" t="s">
        <v>172</v>
      </c>
      <c r="BM30" s="65" t="s">
        <v>173</v>
      </c>
      <c r="BN30" s="58" t="s">
        <v>174</v>
      </c>
      <c r="BO30" s="58" t="s">
        <v>175</v>
      </c>
      <c r="BP30" s="58" t="s">
        <v>176</v>
      </c>
      <c r="BQ30" s="65" t="s">
        <v>177</v>
      </c>
      <c r="BR30" s="58" t="s">
        <v>178</v>
      </c>
      <c r="BS30" s="58" t="s">
        <v>179</v>
      </c>
      <c r="BT30" s="58" t="s">
        <v>180</v>
      </c>
      <c r="BU30" s="59" t="s">
        <v>181</v>
      </c>
      <c r="BV30" s="58" t="s">
        <v>182</v>
      </c>
      <c r="BW30" s="65" t="s">
        <v>183</v>
      </c>
      <c r="BX30" s="58" t="s">
        <v>184</v>
      </c>
      <c r="BY30" s="58" t="s">
        <v>185</v>
      </c>
      <c r="BZ30" s="58" t="s">
        <v>186</v>
      </c>
      <c r="CA30" s="65" t="s">
        <v>187</v>
      </c>
      <c r="CB30" s="58" t="s">
        <v>188</v>
      </c>
      <c r="CC30" s="58" t="s">
        <v>189</v>
      </c>
      <c r="CD30" s="58" t="s">
        <v>190</v>
      </c>
      <c r="CE30" s="65" t="s">
        <v>191</v>
      </c>
      <c r="CF30" s="58" t="s">
        <v>192</v>
      </c>
      <c r="CG30" s="58" t="s">
        <v>193</v>
      </c>
      <c r="CH30" s="58" t="s">
        <v>194</v>
      </c>
      <c r="CI30" s="59" t="s">
        <v>195</v>
      </c>
    </row>
    <row r="31" spans="2:87" x14ac:dyDescent="0.2">
      <c r="B31"/>
      <c r="C31"/>
      <c r="D31"/>
      <c r="E31"/>
      <c r="F31"/>
      <c r="G31"/>
      <c r="H31"/>
      <c r="I31"/>
      <c r="J31"/>
      <c r="L31" s="232" t="s">
        <v>228</v>
      </c>
      <c r="M31" s="91" t="s">
        <v>146</v>
      </c>
      <c r="N31" s="90">
        <v>3</v>
      </c>
      <c r="O31" s="32">
        <f>INDEX(Encounter_Diff[Easy], MATCH(PartyCompare_3[[#This Row],[Level]],Encounter_Diff[Player Level],0))</f>
        <v>75</v>
      </c>
      <c r="P31" s="32">
        <f>INDEX(Encounter_Diff[Medium], MATCH(PartyCompare_3[[#This Row],[Level]],Encounter_Diff[Player Level],0))</f>
        <v>150</v>
      </c>
      <c r="Q31" s="32">
        <f>INDEX(Encounter_Diff[Hard], MATCH(PartyCompare_3[[#This Row],[Level]],Encounter_Diff[Player Level],0))</f>
        <v>225</v>
      </c>
      <c r="R31" s="30">
        <f>INDEX(Encounter_Diff[Deadly], MATCH(PartyCompare_3[[#This Row],[Level]],Encounter_Diff[Player Level],0))</f>
        <v>400</v>
      </c>
      <c r="S31" s="97" t="str">
        <f>L31</f>
        <v>3, 3</v>
      </c>
      <c r="T31" s="32" t="str">
        <f>IF(COUNT(PartyCompare_3[Level])&lt;=2,"Small", IF(COUNT(PartyCompare_3[Level])&lt;=5,"Med", IF(COUNT(PartyCompare_3[Level])&lt;=8, "Large", "TOO BIG!")))</f>
        <v>Small</v>
      </c>
      <c r="U31" s="73" t="s">
        <v>107</v>
      </c>
      <c r="V31" s="77" t="str">
        <f>INDEX(Encounter_Mod[Count], MATCH(PartyCompare_3[[#This Row],[Mob Size]], Encounter_Mod[Type],0))</f>
        <v>1</v>
      </c>
      <c r="W31" s="81">
        <f>SUM(PartyCompare_3[(Easy)])/INDEX(Encounter_Mod[[Small]:[Large]], MATCH(PartyCompare_3[[#This Row],[Mob Size]], Encounter_Mod[Type], 0), MATCH(PartyCompare_3[[#This Row],[Party Size]],Encounter_Mod[[#Headers],[Small]:[Large]],0))</f>
        <v>100</v>
      </c>
      <c r="X31" s="42">
        <f>SUM(PartyCompare_3[(Medium)])/INDEX(Encounter_Mod[[Small]:[Large]], MATCH(PartyCompare_3[[#This Row],[Mob Size]], Encounter_Mod[Type], 0), MATCH(PartyCompare_3[[#This Row],[Party Size]],Encounter_Mod[[#Headers],[Small]:[Large]],0))</f>
        <v>200</v>
      </c>
      <c r="Y31" s="42">
        <f>SUM(PartyCompare_3[(Hard)])/INDEX(Encounter_Mod[[Small]:[Large]], MATCH(PartyCompare_3[[#This Row],[Mob Size]], Encounter_Mod[Type], 0), MATCH(PartyCompare_3[[#This Row],[Party Size]],Encounter_Mod[[#Headers],[Small]:[Large]],0))</f>
        <v>300</v>
      </c>
      <c r="Z31" s="43">
        <f>SUM(PartyCompare_3[(Deadly)])/INDEX(Encounter_Mod[[Small]:[Large]], MATCH(PartyCompare_3[[#This Row],[Mob Size]], Encounter_Mod[Type], 0), MATCH(PartyCompare_3[[#This Row],[Party Size]],Encounter_Mod[[#Headers],[Small]:[Large]],0))</f>
        <v>533.33333333333337</v>
      </c>
      <c r="AA31" s="46">
        <f>(PartyCompare_3[[#This Row],[Easy]]-INDEX(PartyCompare_0[Easy], MATCH(PartyCompare_3[[#This Row],[Mob Size]],PartyCompare_0[Mob Size],0)))/INDEX(PartyCompare_0[Easy], MATCH(PartyCompare_3[[#This Row],[Mob Size]],PartyCompare_0[Mob Size],0))</f>
        <v>0</v>
      </c>
      <c r="AB31" s="33">
        <f>(PartyCompare_3[[#This Row],[Medium]]-INDEX(PartyCompare_0[Medium], MATCH(PartyCompare_3[[#This Row],[Mob Size]],PartyCompare_0[Mob Size],0)))/INDEX(PartyCompare_0[Medium], MATCH(PartyCompare_3[[#This Row],[Mob Size]],PartyCompare_0[Mob Size],0))</f>
        <v>0</v>
      </c>
      <c r="AC31" s="33">
        <f>(PartyCompare_3[[#This Row],[Hard]]-INDEX(PartyCompare_0[Hard], MATCH(PartyCompare_3[[#This Row],[Mob Size]],PartyCompare_0[Mob Size],0)))/INDEX(PartyCompare_0[Hard], MATCH(PartyCompare_3[[#This Row],[Mob Size]],PartyCompare_0[Mob Size],0))</f>
        <v>0</v>
      </c>
      <c r="AD31" s="34">
        <f>(PartyCompare_3[[#This Row],[Deadly]]-INDEX(PartyCompare_0[Deadly], MATCH(PartyCompare_3[[#This Row],[Mob Size]],PartyCompare_0[Mob Size],0)))/INDEX(PartyCompare_0[Deadly], MATCH(PartyCompare_3[[#This Row],[Mob Size]],PartyCompare_0[Mob Size],0))</f>
        <v>0.33333333333333343</v>
      </c>
      <c r="AE31" s="48">
        <f>AVERAGE(PartyCompare_3[[#This Row],[Easy Deviation]:[Deadly Deviation]])</f>
        <v>8.3333333333333356E-2</v>
      </c>
      <c r="AF31" s="36">
        <f>IF(ISNUMBER(PartyCompare_3[[#This Row],[Level]]), PartyCompare_3[[#This Row],[Level]]+1, PartyCompare_3[[#This Row],[Level]])</f>
        <v>4</v>
      </c>
      <c r="AG31" s="36">
        <f>INDEX(Encounter_Diff[Easy], MATCH(PartyCompare_3[[#This Row],[+1 Level]],Encounter_Diff[Player Level],0))</f>
        <v>125</v>
      </c>
      <c r="AH31" s="36">
        <f>INDEX(Encounter_Diff[Medium], MATCH(PartyCompare_3[[#This Row],[+1 Level]],Encounter_Diff[Player Level],0))</f>
        <v>250</v>
      </c>
      <c r="AI31" s="36">
        <f>INDEX(Encounter_Diff[Hard], MATCH(PartyCompare_3[[#This Row],[+1 Level]],Encounter_Diff[Player Level],0))</f>
        <v>375</v>
      </c>
      <c r="AJ31" s="36">
        <f>INDEX(Encounter_Diff[Deadly], MATCH(PartyCompare_3[[#This Row],[+1 Level]],Encounter_Diff[Player Level],0))</f>
        <v>500</v>
      </c>
      <c r="AK31" s="63">
        <f>SUM(PartyCompare_3[+1 (Easy)])/INDEX(Encounter_Mod[[Small]:[Large]], MATCH(PartyCompare_3[[#This Row],[Mob Size]], Encounter_Mod[Type], 0), MATCH(PartyCompare_3[[#This Row],[Party Size]],Encounter_Mod[[#Headers],[Small]:[Large]],0))</f>
        <v>166.66666666666666</v>
      </c>
      <c r="AL31" s="38">
        <f>SUM(PartyCompare_3[+1 (Medium)])/INDEX(Encounter_Mod[[Small]:[Large]], MATCH(PartyCompare_3[[#This Row],[Mob Size]], Encounter_Mod[Type], 0), MATCH(PartyCompare_3[[#This Row],[Party Size]],Encounter_Mod[[#Headers],[Small]:[Large]],0))</f>
        <v>333.33333333333331</v>
      </c>
      <c r="AM31" s="38">
        <f>SUM(PartyCompare_3[+1 (Hard)])/INDEX(Encounter_Mod[[Small]:[Large]], MATCH(PartyCompare_3[[#This Row],[Mob Size]], Encounter_Mod[Type], 0), MATCH(PartyCompare_3[[#This Row],[Party Size]],Encounter_Mod[[#Headers],[Small]:[Large]],0))</f>
        <v>500</v>
      </c>
      <c r="AN31" s="38">
        <f>SUM(PartyCompare_3[+1 (Deadly)])/INDEX(Encounter_Mod[[Small]:[Large]], MATCH(PartyCompare_3[[#This Row],[Mob Size]], Encounter_Mod[Type], 0), MATCH(PartyCompare_3[[#This Row],[Party Size]],Encounter_Mod[[#Headers],[Small]:[Large]],0))</f>
        <v>666.66666666666663</v>
      </c>
      <c r="AO31" s="46">
        <f>(PartyCompare_3[[#This Row],[+1 Easy]]-INDEX(PartyCompare_0[+1 Easy], MATCH(PartyCompare_3[[#This Row],[Mob Size]],PartyCompare_3[Mob Size],0)))/INDEX(PartyCompare_0[+1 Easy], MATCH(PartyCompare_3[[#This Row],[Mob Size]],PartyCompare_3[Mob Size],0))</f>
        <v>-0.16666666666666671</v>
      </c>
      <c r="AP31" s="39">
        <f>(PartyCompare_3[[#This Row],[+1 Medium]]-INDEX(PartyCompare_0[+1 Medium], MATCH(PartyCompare_3[[#This Row],[Mob Size]],PartyCompare_3[Mob Size],0)))/INDEX(PartyCompare_0[+1 Medium], MATCH(PartyCompare_3[[#This Row],[Mob Size]],PartyCompare_3[Mob Size],0))</f>
        <v>-0.16666666666666671</v>
      </c>
      <c r="AQ31" s="39">
        <f>(PartyCompare_3[[#This Row],[+1 Hard]]-INDEX(PartyCompare_0[+1 Hard], MATCH(PartyCompare_3[[#This Row],[Mob Size]],PartyCompare_3[Mob Size],0)))/INDEX(PartyCompare_0[+1 Hard], MATCH(PartyCompare_3[[#This Row],[Mob Size]],PartyCompare_3[Mob Size],0))</f>
        <v>-0.16666666666666666</v>
      </c>
      <c r="AR31" s="34">
        <f>(PartyCompare_3[[#This Row],[+1 Deadly]]-INDEX(PartyCompare_0[+1 Deadly], MATCH(PartyCompare_3[[#This Row],[Mob Size]],PartyCompare_3[Mob Size],0)))/INDEX(PartyCompare_0[+1 Deadly], MATCH(PartyCompare_3[[#This Row],[Mob Size]],PartyCompare_3[Mob Size],0))</f>
        <v>-0.16666666666666671</v>
      </c>
      <c r="AS31" s="48">
        <f>AVERAGE(PartyCompare_3[[#This Row],[+1 Easy Deviation]:[+1 Deadly Deviation]])</f>
        <v>-0.16666666666666671</v>
      </c>
      <c r="AT31" s="36">
        <f>IF(ISNUMBER(PartyCompare_3[[#This Row],[Level]]), PartyCompare_3[[#This Row],[Level]]+2, PartyCompare_3[[#This Row],[Level]])</f>
        <v>5</v>
      </c>
      <c r="AU31" s="36">
        <f>INDEX(Encounter_Diff[Easy], MATCH(PartyCompare_3[[#This Row],[+2 Level]],Encounter_Diff[Player Level],0))</f>
        <v>250</v>
      </c>
      <c r="AV31" s="36">
        <f>INDEX(Encounter_Diff[Medium], MATCH(PartyCompare_3[[#This Row],[+2 Level]],Encounter_Diff[Player Level],0))</f>
        <v>500</v>
      </c>
      <c r="AW31" s="36">
        <f>INDEX(Encounter_Diff[Hard], MATCH(PartyCompare_3[[#This Row],[+2 Level]],Encounter_Diff[Player Level],0))</f>
        <v>750</v>
      </c>
      <c r="AX31" s="36">
        <f>INDEX(Encounter_Diff[Deadly], MATCH(PartyCompare_3[[#This Row],[+2 Level]],Encounter_Diff[Player Level],0))</f>
        <v>1100</v>
      </c>
      <c r="AY31" s="63">
        <f>SUM(PartyCompare_3[+2 (Easy)])/INDEX(Encounter_Mod[[Small]:[Large]], MATCH(PartyCompare_3[[#This Row],[Mob Size]], Encounter_Mod[Type], 0), MATCH(PartyCompare_3[[#This Row],[Party Size]],Encounter_Mod[[#Headers],[Small]:[Large]],0))</f>
        <v>333.33333333333331</v>
      </c>
      <c r="AZ31" s="38">
        <f>SUM(PartyCompare_3[+2 (Medium)])/INDEX(Encounter_Mod[[Small]:[Large]], MATCH(PartyCompare_3[[#This Row],[Mob Size]], Encounter_Mod[Type], 0), MATCH(PartyCompare_3[[#This Row],[Party Size]],Encounter_Mod[[#Headers],[Small]:[Large]],0))</f>
        <v>666.66666666666663</v>
      </c>
      <c r="BA31" s="38">
        <f>SUM(PartyCompare_3[+2 (Hard)])/INDEX(Encounter_Mod[[Small]:[Large]], MATCH(PartyCompare_3[[#This Row],[Mob Size]], Encounter_Mod[Type], 0), MATCH(PartyCompare_3[[#This Row],[Party Size]],Encounter_Mod[[#Headers],[Small]:[Large]],0))</f>
        <v>1000</v>
      </c>
      <c r="BB31" s="38">
        <f>SUM(PartyCompare_3[+2 (Deadly)])/INDEX(Encounter_Mod[[Small]:[Large]], MATCH(PartyCompare_3[[#This Row],[Mob Size]], Encounter_Mod[Type], 0), MATCH(PartyCompare_3[[#This Row],[Party Size]],Encounter_Mod[[#Headers],[Small]:[Large]],0))</f>
        <v>1466.6666666666667</v>
      </c>
      <c r="BC31" s="60">
        <f>(PartyCompare_3[[#This Row],[+2 Easy]]-INDEX(PartyCompare_0[+2 Easy], MATCH(PartyCompare_3[[#This Row],[Mob Size]],PartyCompare_3[Mob Size],0)))/INDEX(PartyCompare_0[+2 Easy], MATCH(PartyCompare_3[[#This Row],[Mob Size]],PartyCompare_3[Mob Size],0))</f>
        <v>0.11111111111111105</v>
      </c>
      <c r="BD31" s="39">
        <f>(PartyCompare_3[[#This Row],[+2 Medium]]-INDEX(PartyCompare_0[+2 Medium], MATCH(PartyCompare_3[[#This Row],[Mob Size]],PartyCompare_3[Mob Size],0)))/INDEX(PartyCompare_0[+2 Medium], MATCH(PartyCompare_3[[#This Row],[Mob Size]],PartyCompare_3[Mob Size],0))</f>
        <v>0.11111111111111105</v>
      </c>
      <c r="BE31" s="39">
        <f>(PartyCompare_3[[#This Row],[+2 Hard]]-INDEX(PartyCompare_0[+2 Hard], MATCH(PartyCompare_3[[#This Row],[Mob Size]],PartyCompare_3[Mob Size],0)))/INDEX(PartyCompare_0[+2 Hard], MATCH(PartyCompare_3[[#This Row],[Mob Size]],PartyCompare_3[Mob Size],0))</f>
        <v>0.1111111111111111</v>
      </c>
      <c r="BF31" s="34">
        <f>(PartyCompare_3[[#This Row],[+2 Deadly]]-INDEX(PartyCompare_0[+2 Deadly], MATCH(PartyCompare_3[[#This Row],[Mob Size]],PartyCompare_3[Mob Size],0)))/INDEX(PartyCompare_0[+2 Deadly], MATCH(PartyCompare_3[[#This Row],[Mob Size]],PartyCompare_3[Mob Size],0))</f>
        <v>-8.3333333333333287E-2</v>
      </c>
      <c r="BG31" s="48">
        <f>AVERAGE(PartyCompare_3[[#This Row],[+2 Easy Deviation]:[+2 Deadly Deviation]])</f>
        <v>6.2499999999999979E-2</v>
      </c>
      <c r="BH31" s="36">
        <f>IF(ISNUMBER(PartyCompare_3[[#This Row],[Level]]), PartyCompare_3[[#This Row],[Level]]+3, PartyCompare_3[[#This Row],[Level]])</f>
        <v>6</v>
      </c>
      <c r="BI31" s="36">
        <f>INDEX(Encounter_Diff[Easy], MATCH(PartyCompare_3[[#This Row],[+3 Level]],Encounter_Diff[Player Level],0))</f>
        <v>300</v>
      </c>
      <c r="BJ31" s="36">
        <f>INDEX(Encounter_Diff[Medium], MATCH(PartyCompare_3[[#This Row],[+3 Level]],Encounter_Diff[Player Level],0))</f>
        <v>600</v>
      </c>
      <c r="BK31" s="36">
        <f>INDEX(Encounter_Diff[Hard], MATCH(PartyCompare_3[[#This Row],[+3 Level]],Encounter_Diff[Player Level],0))</f>
        <v>900</v>
      </c>
      <c r="BL31" s="36">
        <f>INDEX(Encounter_Diff[Deadly], MATCH(PartyCompare_3[[#This Row],[+3 Level]],Encounter_Diff[Player Level],0))</f>
        <v>1400</v>
      </c>
      <c r="BM31" s="63">
        <f>SUM(PartyCompare_3[+3 (Easy)])/INDEX(Encounter_Mod[[Small]:[Large]], MATCH(PartyCompare_3[[#This Row],[Mob Size]], Encounter_Mod[Type], 0), MATCH(PartyCompare_3[[#This Row],[Party Size]],Encounter_Mod[[#Headers],[Small]:[Large]],0))</f>
        <v>400</v>
      </c>
      <c r="BN31" s="38">
        <f>SUM(PartyCompare_3[+3 (Medium)])/INDEX(Encounter_Mod[[Small]:[Large]], MATCH(PartyCompare_3[[#This Row],[Mob Size]], Encounter_Mod[Type], 0), MATCH(PartyCompare_3[[#This Row],[Party Size]],Encounter_Mod[[#Headers],[Small]:[Large]],0))</f>
        <v>800</v>
      </c>
      <c r="BO31" s="38">
        <f>SUM(PartyCompare_3[+3 (Hard)])/INDEX(Encounter_Mod[[Small]:[Large]], MATCH(PartyCompare_3[[#This Row],[Mob Size]], Encounter_Mod[Type], 0), MATCH(PartyCompare_3[[#This Row],[Party Size]],Encounter_Mod[[#Headers],[Small]:[Large]],0))</f>
        <v>1200</v>
      </c>
      <c r="BP31" s="38">
        <f>SUM(PartyCompare_3[+3 (Deadly)])/INDEX(Encounter_Mod[[Small]:[Large]], MATCH(PartyCompare_3[[#This Row],[Mob Size]], Encounter_Mod[Type], 0), MATCH(PartyCompare_3[[#This Row],[Party Size]],Encounter_Mod[[#Headers],[Small]:[Large]],0))</f>
        <v>1866.6666666666667</v>
      </c>
      <c r="BQ31" s="60">
        <f>(PartyCompare_3[[#This Row],[+3 Easy]]-INDEX(PartyCompare_0[+3 Easy], MATCH(PartyCompare_3[[#This Row],[Mob Size]],PartyCompare_3[Mob Size],0)))/INDEX(PartyCompare_0[+3 Easy], MATCH(PartyCompare_3[[#This Row],[Mob Size]],PartyCompare_3[Mob Size],0))</f>
        <v>-0.2</v>
      </c>
      <c r="BR31" s="39">
        <f>(PartyCompare_3[[#This Row],[+3 Medium]]-INDEX(PartyCompare_0[+3 Medium], MATCH(PartyCompare_3[[#This Row],[Mob Size]],PartyCompare_3[Mob Size],0)))/INDEX(PartyCompare_0[+3 Medium], MATCH(PartyCompare_3[[#This Row],[Mob Size]],PartyCompare_3[Mob Size],0))</f>
        <v>-0.2</v>
      </c>
      <c r="BS31" s="39">
        <f>(PartyCompare_3[[#This Row],[+3 Hard]]-INDEX(PartyCompare_0[+3 Hard], MATCH(PartyCompare_3[[#This Row],[Mob Size]],PartyCompare_3[Mob Size],0)))/INDEX(PartyCompare_0[+3 Hard], MATCH(PartyCompare_3[[#This Row],[Mob Size]],PartyCompare_3[Mob Size],0))</f>
        <v>-0.2</v>
      </c>
      <c r="BT31" s="34">
        <f>(PartyCompare_3[[#This Row],[+3 Deadly]]-INDEX(PartyCompare_0[+3 Deadly], MATCH(PartyCompare_3[[#This Row],[Mob Size]],PartyCompare_3[Mob Size],0)))/INDEX(PartyCompare_0[+3 Deadly], MATCH(PartyCompare_3[[#This Row],[Mob Size]],PartyCompare_3[Mob Size],0))</f>
        <v>-6.6666666666666624E-2</v>
      </c>
      <c r="BU31" s="48">
        <f>AVERAGE(PartyCompare_3[[#This Row],[+3 Easy Deviation]:[+3 Deadly Deviation]])</f>
        <v>-0.16666666666666669</v>
      </c>
      <c r="BV31" s="36">
        <f>IF(ISNUMBER(PartyCompare_3[[#This Row],[Level]]), PartyCompare_3[[#This Row],[Level]]+4, PartyCompare_3[[#This Row],[Level]])</f>
        <v>7</v>
      </c>
      <c r="BW31" s="36">
        <f>INDEX(Encounter_Diff[Easy], MATCH(PartyCompare_3[[#This Row],[+4 Level]],Encounter_Diff[Player Level],0))</f>
        <v>350</v>
      </c>
      <c r="BX31" s="36">
        <f>INDEX(Encounter_Diff[Medium], MATCH(PartyCompare_3[[#This Row],[+4 Level]],Encounter_Diff[Player Level],0))</f>
        <v>750</v>
      </c>
      <c r="BY31" s="36">
        <f>INDEX(Encounter_Diff[Hard], MATCH(PartyCompare_3[[#This Row],[+4 Level]],Encounter_Diff[Player Level],0))</f>
        <v>1100</v>
      </c>
      <c r="BZ31" s="36">
        <f>INDEX(Encounter_Diff[Deadly], MATCH(PartyCompare_3[[#This Row],[+4 Level]],Encounter_Diff[Player Level],0))</f>
        <v>1700</v>
      </c>
      <c r="CA31" s="63">
        <f>SUM(PartyCompare_3[+4 (Easy)])/INDEX(Encounter_Mod[[Small]:[Large]], MATCH(PartyCompare_3[[#This Row],[Mob Size]], Encounter_Mod[Type], 0), MATCH(PartyCompare_3[[#This Row],[Party Size]],Encounter_Mod[[#Headers],[Small]:[Large]],0))</f>
        <v>466.66666666666669</v>
      </c>
      <c r="CB31" s="38">
        <f>SUM(PartyCompare_3[+4 (Medium)])/INDEX(Encounter_Mod[[Small]:[Large]], MATCH(PartyCompare_3[[#This Row],[Mob Size]], Encounter_Mod[Type], 0), MATCH(PartyCompare_3[[#This Row],[Party Size]],Encounter_Mod[[#Headers],[Small]:[Large]],0))</f>
        <v>1000</v>
      </c>
      <c r="CC31" s="38">
        <f>SUM(PartyCompare_3[+4 (Hard)])/INDEX(Encounter_Mod[[Small]:[Large]], MATCH(PartyCompare_3[[#This Row],[Mob Size]], Encounter_Mod[Type], 0), MATCH(PartyCompare_3[[#This Row],[Party Size]],Encounter_Mod[[#Headers],[Small]:[Large]],0))</f>
        <v>1466.6666666666667</v>
      </c>
      <c r="CD31" s="38">
        <f>SUM(PartyCompare_3[+4 (Deadly)])/INDEX(Encounter_Mod[[Small]:[Large]], MATCH(PartyCompare_3[[#This Row],[Mob Size]], Encounter_Mod[Type], 0), MATCH(PartyCompare_3[[#This Row],[Party Size]],Encounter_Mod[[#Headers],[Small]:[Large]],0))</f>
        <v>2266.6666666666665</v>
      </c>
      <c r="CE31" s="60">
        <f>(PartyCompare_3[[#This Row],[+4 Easy]]-INDEX(PartyCompare_0[+4 Easy], MATCH(PartyCompare_3[[#This Row],[Mob Size]],PartyCompare_3[Mob Size],0)))/INDEX(PartyCompare_0[+4 Easy], MATCH(PartyCompare_3[[#This Row],[Mob Size]],PartyCompare_3[Mob Size],0))</f>
        <v>-0.53333333333333321</v>
      </c>
      <c r="CF31" s="39">
        <f>(PartyCompare_3[[#This Row],[+4 Medium]]-INDEX(PartyCompare_0[+4 Medium], MATCH(PartyCompare_3[[#This Row],[Mob Size]],PartyCompare_3[Mob Size],0)))/INDEX(PartyCompare_0[+4 Medium], MATCH(PartyCompare_3[[#This Row],[Mob Size]],PartyCompare_3[Mob Size],0))</f>
        <v>-0.5</v>
      </c>
      <c r="CG31" s="39">
        <f>(PartyCompare_3[[#This Row],[+4 Hard]]-INDEX(PartyCompare_0[+4 Hard], MATCH(PartyCompare_3[[#This Row],[Mob Size]],PartyCompare_3[Mob Size],0)))/INDEX(PartyCompare_0[+4 Hard], MATCH(PartyCompare_3[[#This Row],[Mob Size]],PartyCompare_3[Mob Size],0))</f>
        <v>-0.51111111111111107</v>
      </c>
      <c r="CH31" s="34">
        <f>(PartyCompare_3[[#This Row],[+4 Deadly]]-INDEX(PartyCompare_0[+4 Deadly], MATCH(PartyCompare_3[[#This Row],[Mob Size]],PartyCompare_3[Mob Size],0)))/INDEX(PartyCompare_0[+4 Deadly], MATCH(PartyCompare_3[[#This Row],[Mob Size]],PartyCompare_3[Mob Size],0))</f>
        <v>-0.48484848484848486</v>
      </c>
      <c r="CI31" s="48">
        <f>AVERAGE(PartyCompare_3[[#This Row],[+4 Easy Deviation]:[+4 Deadly Deviation]])</f>
        <v>-0.50732323232323229</v>
      </c>
    </row>
    <row r="32" spans="2:87" x14ac:dyDescent="0.2">
      <c r="B32"/>
      <c r="C32"/>
      <c r="D32"/>
      <c r="E32"/>
      <c r="F32"/>
      <c r="G32"/>
      <c r="H32"/>
      <c r="I32"/>
      <c r="J32"/>
      <c r="L32" s="233"/>
      <c r="M32" s="91" t="s">
        <v>147</v>
      </c>
      <c r="N32" s="90">
        <v>3</v>
      </c>
      <c r="O32" s="32">
        <f>INDEX(Encounter_Diff[Easy], MATCH(PartyCompare_3[[#This Row],[Level]],Encounter_Diff[Player Level],0))</f>
        <v>75</v>
      </c>
      <c r="P32" s="32">
        <f>INDEX(Encounter_Diff[Medium], MATCH(PartyCompare_3[[#This Row],[Level]],Encounter_Diff[Player Level],0))</f>
        <v>150</v>
      </c>
      <c r="Q32" s="32">
        <f>INDEX(Encounter_Diff[Hard], MATCH(PartyCompare_3[[#This Row],[Level]],Encounter_Diff[Player Level],0))</f>
        <v>225</v>
      </c>
      <c r="R32" s="30">
        <f>INDEX(Encounter_Diff[Deadly], MATCH(PartyCompare_3[[#This Row],[Level]],Encounter_Diff[Player Level],0))</f>
        <v>400</v>
      </c>
      <c r="S32" s="97" t="str">
        <f>S31</f>
        <v>3, 3</v>
      </c>
      <c r="T32" s="32" t="str">
        <f>IF(COUNT(PartyCompare_3[Level])&lt;=2,"Small", IF(COUNT(PartyCompare_3[Level])&lt;=5,"Med", IF(COUNT(PartyCompare_3[Level])&lt;=8, "Large", "TOO BIG!")))</f>
        <v>Small</v>
      </c>
      <c r="U32" s="73" t="s">
        <v>108</v>
      </c>
      <c r="V32" s="77" t="str">
        <f>INDEX(Encounter_Mod[Count], MATCH(PartyCompare_3[[#This Row],[Mob Size]], Encounter_Mod[Type],0))</f>
        <v>2</v>
      </c>
      <c r="W32" s="81">
        <f>SUM(PartyCompare_3[(Easy)])/INDEX(Encounter_Mod[[Small]:[Large]], MATCH(PartyCompare_3[[#This Row],[Mob Size]], Encounter_Mod[Type], 0), MATCH(PartyCompare_3[[#This Row],[Party Size]],Encounter_Mod[[#Headers],[Small]:[Large]],0))</f>
        <v>75</v>
      </c>
      <c r="X32" s="42">
        <f>SUM(PartyCompare_3[(Medium)])/INDEX(Encounter_Mod[[Small]:[Large]], MATCH(PartyCompare_3[[#This Row],[Mob Size]], Encounter_Mod[Type], 0), MATCH(PartyCompare_3[[#This Row],[Party Size]],Encounter_Mod[[#Headers],[Small]:[Large]],0))</f>
        <v>150</v>
      </c>
      <c r="Y32" s="42">
        <f>SUM(PartyCompare_3[(Hard)])/INDEX(Encounter_Mod[[Small]:[Large]], MATCH(PartyCompare_3[[#This Row],[Mob Size]], Encounter_Mod[Type], 0), MATCH(PartyCompare_3[[#This Row],[Party Size]],Encounter_Mod[[#Headers],[Small]:[Large]],0))</f>
        <v>225</v>
      </c>
      <c r="Z32" s="43">
        <f>SUM(PartyCompare_3[(Deadly)])/INDEX(Encounter_Mod[[Small]:[Large]], MATCH(PartyCompare_3[[#This Row],[Mob Size]], Encounter_Mod[Type], 0), MATCH(PartyCompare_3[[#This Row],[Party Size]],Encounter_Mod[[#Headers],[Small]:[Large]],0))</f>
        <v>400</v>
      </c>
      <c r="AA32" s="46">
        <f>(PartyCompare_3[[#This Row],[Easy]]-INDEX(PartyCompare_0[Easy], MATCH(PartyCompare_3[[#This Row],[Mob Size]],PartyCompare_0[Mob Size],0)))/INDEX(PartyCompare_0[Easy], MATCH(PartyCompare_3[[#This Row],[Mob Size]],PartyCompare_0[Mob Size],0))</f>
        <v>0.12499999999999992</v>
      </c>
      <c r="AB32" s="33">
        <f>(PartyCompare_3[[#This Row],[Medium]]-INDEX(PartyCompare_0[Medium], MATCH(PartyCompare_3[[#This Row],[Mob Size]],PartyCompare_0[Mob Size],0)))/INDEX(PartyCompare_0[Medium], MATCH(PartyCompare_3[[#This Row],[Mob Size]],PartyCompare_0[Mob Size],0))</f>
        <v>0.12499999999999992</v>
      </c>
      <c r="AC32" s="33">
        <f>(PartyCompare_3[[#This Row],[Hard]]-INDEX(PartyCompare_0[Hard], MATCH(PartyCompare_3[[#This Row],[Mob Size]],PartyCompare_0[Mob Size],0)))/INDEX(PartyCompare_0[Hard], MATCH(PartyCompare_3[[#This Row],[Mob Size]],PartyCompare_0[Mob Size],0))</f>
        <v>0.125</v>
      </c>
      <c r="AD32" s="34">
        <f>(PartyCompare_3[[#This Row],[Deadly]]-INDEX(PartyCompare_0[Deadly], MATCH(PartyCompare_3[[#This Row],[Mob Size]],PartyCompare_0[Mob Size],0)))/INDEX(PartyCompare_0[Deadly], MATCH(PartyCompare_3[[#This Row],[Mob Size]],PartyCompare_0[Mob Size],0))</f>
        <v>0.49999999999999989</v>
      </c>
      <c r="AE32" s="48">
        <f>AVERAGE(PartyCompare_3[[#This Row],[Easy Deviation]:[Deadly Deviation]])</f>
        <v>0.21874999999999994</v>
      </c>
      <c r="AF32" s="36">
        <f>IF(ISNUMBER(PartyCompare_3[[#This Row],[Level]]), PartyCompare_3[[#This Row],[Level]]+1, PartyCompare_3[[#This Row],[Level]])</f>
        <v>4</v>
      </c>
      <c r="AG32" s="36">
        <f>INDEX(Encounter_Diff[Easy], MATCH(PartyCompare_3[[#This Row],[+1 Level]],Encounter_Diff[Player Level],0))</f>
        <v>125</v>
      </c>
      <c r="AH32" s="36">
        <f>INDEX(Encounter_Diff[Medium], MATCH(PartyCompare_3[[#This Row],[+1 Level]],Encounter_Diff[Player Level],0))</f>
        <v>250</v>
      </c>
      <c r="AI32" s="36">
        <f>INDEX(Encounter_Diff[Hard], MATCH(PartyCompare_3[[#This Row],[+1 Level]],Encounter_Diff[Player Level],0))</f>
        <v>375</v>
      </c>
      <c r="AJ32" s="36">
        <f>INDEX(Encounter_Diff[Deadly], MATCH(PartyCompare_3[[#This Row],[+1 Level]],Encounter_Diff[Player Level],0))</f>
        <v>500</v>
      </c>
      <c r="AK32" s="63">
        <f>SUM(PartyCompare_3[+1 (Easy)])/INDEX(Encounter_Mod[[Small]:[Large]], MATCH(PartyCompare_3[[#This Row],[Mob Size]], Encounter_Mod[Type], 0), MATCH(PartyCompare_3[[#This Row],[Party Size]],Encounter_Mod[[#Headers],[Small]:[Large]],0))</f>
        <v>125</v>
      </c>
      <c r="AL32" s="38">
        <f>SUM(PartyCompare_3[+1 (Medium)])/INDEX(Encounter_Mod[[Small]:[Large]], MATCH(PartyCompare_3[[#This Row],[Mob Size]], Encounter_Mod[Type], 0), MATCH(PartyCompare_3[[#This Row],[Party Size]],Encounter_Mod[[#Headers],[Small]:[Large]],0))</f>
        <v>250</v>
      </c>
      <c r="AM32" s="38">
        <f>SUM(PartyCompare_3[+1 (Hard)])/INDEX(Encounter_Mod[[Small]:[Large]], MATCH(PartyCompare_3[[#This Row],[Mob Size]], Encounter_Mod[Type], 0), MATCH(PartyCompare_3[[#This Row],[Party Size]],Encounter_Mod[[#Headers],[Small]:[Large]],0))</f>
        <v>375</v>
      </c>
      <c r="AN32" s="38">
        <f>SUM(PartyCompare_3[+1 (Deadly)])/INDEX(Encounter_Mod[[Small]:[Large]], MATCH(PartyCompare_3[[#This Row],[Mob Size]], Encounter_Mod[Type], 0), MATCH(PartyCompare_3[[#This Row],[Party Size]],Encounter_Mod[[#Headers],[Small]:[Large]],0))</f>
        <v>500</v>
      </c>
      <c r="AO32" s="46">
        <f>(PartyCompare_3[[#This Row],[+1 Easy]]-INDEX(PartyCompare_0[+1 Easy], MATCH(PartyCompare_3[[#This Row],[Mob Size]],PartyCompare_3[Mob Size],0)))/INDEX(PartyCompare_0[+1 Easy], MATCH(PartyCompare_3[[#This Row],[Mob Size]],PartyCompare_3[Mob Size],0))</f>
        <v>-6.2500000000000069E-2</v>
      </c>
      <c r="AP32" s="39">
        <f>(PartyCompare_3[[#This Row],[+1 Medium]]-INDEX(PartyCompare_0[+1 Medium], MATCH(PartyCompare_3[[#This Row],[Mob Size]],PartyCompare_3[Mob Size],0)))/INDEX(PartyCompare_0[+1 Medium], MATCH(PartyCompare_3[[#This Row],[Mob Size]],PartyCompare_3[Mob Size],0))</f>
        <v>-6.2500000000000069E-2</v>
      </c>
      <c r="AQ32" s="39">
        <f>(PartyCompare_3[[#This Row],[+1 Hard]]-INDEX(PartyCompare_0[+1 Hard], MATCH(PartyCompare_3[[#This Row],[Mob Size]],PartyCompare_3[Mob Size],0)))/INDEX(PartyCompare_0[+1 Hard], MATCH(PartyCompare_3[[#This Row],[Mob Size]],PartyCompare_3[Mob Size],0))</f>
        <v>-6.25E-2</v>
      </c>
      <c r="AR32" s="34">
        <f>(PartyCompare_3[[#This Row],[+1 Deadly]]-INDEX(PartyCompare_0[+1 Deadly], MATCH(PartyCompare_3[[#This Row],[Mob Size]],PartyCompare_3[Mob Size],0)))/INDEX(PartyCompare_0[+1 Deadly], MATCH(PartyCompare_3[[#This Row],[Mob Size]],PartyCompare_3[Mob Size],0))</f>
        <v>-6.2500000000000069E-2</v>
      </c>
      <c r="AS32" s="48">
        <f>AVERAGE(PartyCompare_3[[#This Row],[+1 Easy Deviation]:[+1 Deadly Deviation]])</f>
        <v>-6.2500000000000056E-2</v>
      </c>
      <c r="AT32" s="36">
        <f>IF(ISNUMBER(PartyCompare_3[[#This Row],[Level]]), PartyCompare_3[[#This Row],[Level]]+2, PartyCompare_3[[#This Row],[Level]])</f>
        <v>5</v>
      </c>
      <c r="AU32" s="36">
        <f>INDEX(Encounter_Diff[Easy], MATCH(PartyCompare_3[[#This Row],[+2 Level]],Encounter_Diff[Player Level],0))</f>
        <v>250</v>
      </c>
      <c r="AV32" s="36">
        <f>INDEX(Encounter_Diff[Medium], MATCH(PartyCompare_3[[#This Row],[+2 Level]],Encounter_Diff[Player Level],0))</f>
        <v>500</v>
      </c>
      <c r="AW32" s="36">
        <f>INDEX(Encounter_Diff[Hard], MATCH(PartyCompare_3[[#This Row],[+2 Level]],Encounter_Diff[Player Level],0))</f>
        <v>750</v>
      </c>
      <c r="AX32" s="36">
        <f>INDEX(Encounter_Diff[Deadly], MATCH(PartyCompare_3[[#This Row],[+2 Level]],Encounter_Diff[Player Level],0))</f>
        <v>1100</v>
      </c>
      <c r="AY32" s="63">
        <f>SUM(PartyCompare_3[+2 (Easy)])/INDEX(Encounter_Mod[[Small]:[Large]], MATCH(PartyCompare_3[[#This Row],[Mob Size]], Encounter_Mod[Type], 0), MATCH(PartyCompare_3[[#This Row],[Party Size]],Encounter_Mod[[#Headers],[Small]:[Large]],0))</f>
        <v>250</v>
      </c>
      <c r="AZ32" s="38">
        <f>SUM(PartyCompare_3[+2 (Medium)])/INDEX(Encounter_Mod[[Small]:[Large]], MATCH(PartyCompare_3[[#This Row],[Mob Size]], Encounter_Mod[Type], 0), MATCH(PartyCompare_3[[#This Row],[Party Size]],Encounter_Mod[[#Headers],[Small]:[Large]],0))</f>
        <v>500</v>
      </c>
      <c r="BA32" s="38">
        <f>SUM(PartyCompare_3[+2 (Hard)])/INDEX(Encounter_Mod[[Small]:[Large]], MATCH(PartyCompare_3[[#This Row],[Mob Size]], Encounter_Mod[Type], 0), MATCH(PartyCompare_3[[#This Row],[Party Size]],Encounter_Mod[[#Headers],[Small]:[Large]],0))</f>
        <v>750</v>
      </c>
      <c r="BB32" s="38">
        <f>SUM(PartyCompare_3[+2 (Deadly)])/INDEX(Encounter_Mod[[Small]:[Large]], MATCH(PartyCompare_3[[#This Row],[Mob Size]], Encounter_Mod[Type], 0), MATCH(PartyCompare_3[[#This Row],[Party Size]],Encounter_Mod[[#Headers],[Small]:[Large]],0))</f>
        <v>1100</v>
      </c>
      <c r="BC32" s="46">
        <f>(PartyCompare_3[[#This Row],[+2 Easy]]-INDEX(PartyCompare_0[+2 Easy], MATCH(PartyCompare_3[[#This Row],[Mob Size]],PartyCompare_3[Mob Size],0)))/INDEX(PartyCompare_0[+2 Easy], MATCH(PartyCompare_3[[#This Row],[Mob Size]],PartyCompare_3[Mob Size],0))</f>
        <v>0.25</v>
      </c>
      <c r="BD32" s="39">
        <f>(PartyCompare_3[[#This Row],[+2 Medium]]-INDEX(PartyCompare_0[+2 Medium], MATCH(PartyCompare_3[[#This Row],[Mob Size]],PartyCompare_3[Mob Size],0)))/INDEX(PartyCompare_0[+2 Medium], MATCH(PartyCompare_3[[#This Row],[Mob Size]],PartyCompare_3[Mob Size],0))</f>
        <v>0.25</v>
      </c>
      <c r="BE32" s="39">
        <f>(PartyCompare_3[[#This Row],[+2 Hard]]-INDEX(PartyCompare_0[+2 Hard], MATCH(PartyCompare_3[[#This Row],[Mob Size]],PartyCompare_3[Mob Size],0)))/INDEX(PartyCompare_0[+2 Hard], MATCH(PartyCompare_3[[#This Row],[Mob Size]],PartyCompare_3[Mob Size],0))</f>
        <v>0.25</v>
      </c>
      <c r="BF32" s="34">
        <f>(PartyCompare_3[[#This Row],[+2 Deadly]]-INDEX(PartyCompare_0[+2 Deadly], MATCH(PartyCompare_3[[#This Row],[Mob Size]],PartyCompare_3[Mob Size],0)))/INDEX(PartyCompare_0[+2 Deadly], MATCH(PartyCompare_3[[#This Row],[Mob Size]],PartyCompare_3[Mob Size],0))</f>
        <v>3.1249999999999927E-2</v>
      </c>
      <c r="BG32" s="48">
        <f>AVERAGE(PartyCompare_3[[#This Row],[+2 Easy Deviation]:[+2 Deadly Deviation]])</f>
        <v>0.19531249999999997</v>
      </c>
      <c r="BH32" s="36">
        <f>IF(ISNUMBER(PartyCompare_3[[#This Row],[Level]]), PartyCompare_3[[#This Row],[Level]]+3, PartyCompare_3[[#This Row],[Level]])</f>
        <v>6</v>
      </c>
      <c r="BI32" s="36">
        <f>INDEX(Encounter_Diff[Easy], MATCH(PartyCompare_3[[#This Row],[+3 Level]],Encounter_Diff[Player Level],0))</f>
        <v>300</v>
      </c>
      <c r="BJ32" s="36">
        <f>INDEX(Encounter_Diff[Medium], MATCH(PartyCompare_3[[#This Row],[+3 Level]],Encounter_Diff[Player Level],0))</f>
        <v>600</v>
      </c>
      <c r="BK32" s="36">
        <f>INDEX(Encounter_Diff[Hard], MATCH(PartyCompare_3[[#This Row],[+3 Level]],Encounter_Diff[Player Level],0))</f>
        <v>900</v>
      </c>
      <c r="BL32" s="36">
        <f>INDEX(Encounter_Diff[Deadly], MATCH(PartyCompare_3[[#This Row],[+3 Level]],Encounter_Diff[Player Level],0))</f>
        <v>1400</v>
      </c>
      <c r="BM32" s="63">
        <f>SUM(PartyCompare_3[+3 (Easy)])/INDEX(Encounter_Mod[[Small]:[Large]], MATCH(PartyCompare_3[[#This Row],[Mob Size]], Encounter_Mod[Type], 0), MATCH(PartyCompare_3[[#This Row],[Party Size]],Encounter_Mod[[#Headers],[Small]:[Large]],0))</f>
        <v>300</v>
      </c>
      <c r="BN32" s="38">
        <f>SUM(PartyCompare_3[+3 (Medium)])/INDEX(Encounter_Mod[[Small]:[Large]], MATCH(PartyCompare_3[[#This Row],[Mob Size]], Encounter_Mod[Type], 0), MATCH(PartyCompare_3[[#This Row],[Party Size]],Encounter_Mod[[#Headers],[Small]:[Large]],0))</f>
        <v>600</v>
      </c>
      <c r="BO32" s="38">
        <f>SUM(PartyCompare_3[+3 (Hard)])/INDEX(Encounter_Mod[[Small]:[Large]], MATCH(PartyCompare_3[[#This Row],[Mob Size]], Encounter_Mod[Type], 0), MATCH(PartyCompare_3[[#This Row],[Party Size]],Encounter_Mod[[#Headers],[Small]:[Large]],0))</f>
        <v>900</v>
      </c>
      <c r="BP32" s="38">
        <f>SUM(PartyCompare_3[+3 (Deadly)])/INDEX(Encounter_Mod[[Small]:[Large]], MATCH(PartyCompare_3[[#This Row],[Mob Size]], Encounter_Mod[Type], 0), MATCH(PartyCompare_3[[#This Row],[Party Size]],Encounter_Mod[[#Headers],[Small]:[Large]],0))</f>
        <v>1400</v>
      </c>
      <c r="BQ32" s="46">
        <f>(PartyCompare_3[[#This Row],[+3 Easy]]-INDEX(PartyCompare_0[+3 Easy], MATCH(PartyCompare_3[[#This Row],[Mob Size]],PartyCompare_3[Mob Size],0)))/INDEX(PartyCompare_0[+3 Easy], MATCH(PartyCompare_3[[#This Row],[Mob Size]],PartyCompare_3[Mob Size],0))</f>
        <v>-9.999999999999995E-2</v>
      </c>
      <c r="BR32" s="39">
        <f>(PartyCompare_3[[#This Row],[+3 Medium]]-INDEX(PartyCompare_0[+3 Medium], MATCH(PartyCompare_3[[#This Row],[Mob Size]],PartyCompare_3[Mob Size],0)))/INDEX(PartyCompare_0[+3 Medium], MATCH(PartyCompare_3[[#This Row],[Mob Size]],PartyCompare_3[Mob Size],0))</f>
        <v>-9.999999999999995E-2</v>
      </c>
      <c r="BS32" s="39">
        <f>(PartyCompare_3[[#This Row],[+3 Hard]]-INDEX(PartyCompare_0[+3 Hard], MATCH(PartyCompare_3[[#This Row],[Mob Size]],PartyCompare_3[Mob Size],0)))/INDEX(PartyCompare_0[+3 Hard], MATCH(PartyCompare_3[[#This Row],[Mob Size]],PartyCompare_3[Mob Size],0))</f>
        <v>-0.1</v>
      </c>
      <c r="BT32" s="34">
        <f>(PartyCompare_3[[#This Row],[+3 Deadly]]-INDEX(PartyCompare_0[+3 Deadly], MATCH(PartyCompare_3[[#This Row],[Mob Size]],PartyCompare_3[Mob Size],0)))/INDEX(PartyCompare_0[+3 Deadly], MATCH(PartyCompare_3[[#This Row],[Mob Size]],PartyCompare_3[Mob Size],0))</f>
        <v>5.0000000000000058E-2</v>
      </c>
      <c r="BU32" s="48">
        <f>AVERAGE(PartyCompare_3[[#This Row],[+3 Easy Deviation]:[+3 Deadly Deviation]])</f>
        <v>-6.2499999999999972E-2</v>
      </c>
      <c r="BV32" s="36">
        <f>IF(ISNUMBER(PartyCompare_3[[#This Row],[Level]]), PartyCompare_3[[#This Row],[Level]]+4, PartyCompare_3[[#This Row],[Level]])</f>
        <v>7</v>
      </c>
      <c r="BW32" s="36">
        <f>INDEX(Encounter_Diff[Easy], MATCH(PartyCompare_3[[#This Row],[+4 Level]],Encounter_Diff[Player Level],0))</f>
        <v>350</v>
      </c>
      <c r="BX32" s="36">
        <f>INDEX(Encounter_Diff[Medium], MATCH(PartyCompare_3[[#This Row],[+4 Level]],Encounter_Diff[Player Level],0))</f>
        <v>750</v>
      </c>
      <c r="BY32" s="36">
        <f>INDEX(Encounter_Diff[Hard], MATCH(PartyCompare_3[[#This Row],[+4 Level]],Encounter_Diff[Player Level],0))</f>
        <v>1100</v>
      </c>
      <c r="BZ32" s="36">
        <f>INDEX(Encounter_Diff[Deadly], MATCH(PartyCompare_3[[#This Row],[+4 Level]],Encounter_Diff[Player Level],0))</f>
        <v>1700</v>
      </c>
      <c r="CA32" s="63">
        <f>SUM(PartyCompare_3[+4 (Easy)])/INDEX(Encounter_Mod[[Small]:[Large]], MATCH(PartyCompare_3[[#This Row],[Mob Size]], Encounter_Mod[Type], 0), MATCH(PartyCompare_3[[#This Row],[Party Size]],Encounter_Mod[[#Headers],[Small]:[Large]],0))</f>
        <v>350</v>
      </c>
      <c r="CB32" s="38">
        <f>SUM(PartyCompare_3[+4 (Medium)])/INDEX(Encounter_Mod[[Small]:[Large]], MATCH(PartyCompare_3[[#This Row],[Mob Size]], Encounter_Mod[Type], 0), MATCH(PartyCompare_3[[#This Row],[Party Size]],Encounter_Mod[[#Headers],[Small]:[Large]],0))</f>
        <v>750</v>
      </c>
      <c r="CC32" s="38">
        <f>SUM(PartyCompare_3[+4 (Hard)])/INDEX(Encounter_Mod[[Small]:[Large]], MATCH(PartyCompare_3[[#This Row],[Mob Size]], Encounter_Mod[Type], 0), MATCH(PartyCompare_3[[#This Row],[Party Size]],Encounter_Mod[[#Headers],[Small]:[Large]],0))</f>
        <v>1100</v>
      </c>
      <c r="CD32" s="38">
        <f>SUM(PartyCompare_3[+4 (Deadly)])/INDEX(Encounter_Mod[[Small]:[Large]], MATCH(PartyCompare_3[[#This Row],[Mob Size]], Encounter_Mod[Type], 0), MATCH(PartyCompare_3[[#This Row],[Party Size]],Encounter_Mod[[#Headers],[Small]:[Large]],0))</f>
        <v>1700</v>
      </c>
      <c r="CE32" s="46">
        <f>(PartyCompare_3[[#This Row],[+4 Easy]]-INDEX(PartyCompare_0[+4 Easy], MATCH(PartyCompare_3[[#This Row],[Mob Size]],PartyCompare_3[Mob Size],0)))/INDEX(PartyCompare_0[+4 Easy], MATCH(PartyCompare_3[[#This Row],[Mob Size]],PartyCompare_3[Mob Size],0))</f>
        <v>-0.47499999999999998</v>
      </c>
      <c r="CF32" s="39">
        <f>(PartyCompare_3[[#This Row],[+4 Medium]]-INDEX(PartyCompare_0[+4 Medium], MATCH(PartyCompare_3[[#This Row],[Mob Size]],PartyCompare_3[Mob Size],0)))/INDEX(PartyCompare_0[+4 Medium], MATCH(PartyCompare_3[[#This Row],[Mob Size]],PartyCompare_3[Mob Size],0))</f>
        <v>-0.43749999999999994</v>
      </c>
      <c r="CG32" s="39">
        <f>(PartyCompare_3[[#This Row],[+4 Hard]]-INDEX(PartyCompare_0[+4 Hard], MATCH(PartyCompare_3[[#This Row],[Mob Size]],PartyCompare_3[Mob Size],0)))/INDEX(PartyCompare_0[+4 Hard], MATCH(PartyCompare_3[[#This Row],[Mob Size]],PartyCompare_3[Mob Size],0))</f>
        <v>-0.45</v>
      </c>
      <c r="CH32" s="34">
        <f>(PartyCompare_3[[#This Row],[+4 Deadly]]-INDEX(PartyCompare_0[+4 Deadly], MATCH(PartyCompare_3[[#This Row],[Mob Size]],PartyCompare_3[Mob Size],0)))/INDEX(PartyCompare_0[+4 Deadly], MATCH(PartyCompare_3[[#This Row],[Mob Size]],PartyCompare_3[Mob Size],0))</f>
        <v>-0.42045454545454547</v>
      </c>
      <c r="CI32" s="48">
        <f>AVERAGE(PartyCompare_3[[#This Row],[+4 Easy Deviation]:[+4 Deadly Deviation]])</f>
        <v>-0.44573863636363631</v>
      </c>
    </row>
    <row r="33" spans="2:87" x14ac:dyDescent="0.2">
      <c r="B33"/>
      <c r="C33"/>
      <c r="D33"/>
      <c r="E33"/>
      <c r="F33"/>
      <c r="G33"/>
      <c r="H33"/>
      <c r="I33"/>
      <c r="J33"/>
      <c r="L33" s="233"/>
      <c r="M33" s="91"/>
      <c r="N33" s="90"/>
      <c r="O33" s="32">
        <f>INDEX(Encounter_Diff[Easy], MATCH(PartyCompare_3[[#This Row],[Level]],Encounter_Diff[Player Level],0))</f>
        <v>0</v>
      </c>
      <c r="P33" s="32">
        <f>INDEX(Encounter_Diff[Medium], MATCH(PartyCompare_3[[#This Row],[Level]],Encounter_Diff[Player Level],0))</f>
        <v>0</v>
      </c>
      <c r="Q33" s="32">
        <f>INDEX(Encounter_Diff[Hard], MATCH(PartyCompare_3[[#This Row],[Level]],Encounter_Diff[Player Level],0))</f>
        <v>0</v>
      </c>
      <c r="R33" s="30">
        <f>INDEX(Encounter_Diff[Deadly], MATCH(PartyCompare_3[[#This Row],[Level]],Encounter_Diff[Player Level],0))</f>
        <v>0</v>
      </c>
      <c r="S33" s="97" t="str">
        <f t="shared" ref="S33:S38" si="3">S32</f>
        <v>3, 3</v>
      </c>
      <c r="T33" s="32" t="str">
        <f>IF(COUNT(PartyCompare_3[Level])&lt;=2,"Small", IF(COUNT(PartyCompare_3[Level])&lt;=5,"Med", IF(COUNT(PartyCompare_3[Level])&lt;=8, "Large", "TOO BIG!")))</f>
        <v>Small</v>
      </c>
      <c r="U33" s="73" t="s">
        <v>109</v>
      </c>
      <c r="V33" s="77" t="str">
        <f>INDEX(Encounter_Mod[Count], MATCH(PartyCompare_3[[#This Row],[Mob Size]], Encounter_Mod[Type],0))</f>
        <v>3-6</v>
      </c>
      <c r="W33" s="81">
        <f>SUM(PartyCompare_3[(Easy)])/INDEX(Encounter_Mod[[Small]:[Large]], MATCH(PartyCompare_3[[#This Row],[Mob Size]], Encounter_Mod[Type], 0), MATCH(PartyCompare_3[[#This Row],[Party Size]],Encounter_Mod[[#Headers],[Small]:[Large]],0))</f>
        <v>60</v>
      </c>
      <c r="X33" s="42">
        <f>SUM(PartyCompare_3[(Medium)])/INDEX(Encounter_Mod[[Small]:[Large]], MATCH(PartyCompare_3[[#This Row],[Mob Size]], Encounter_Mod[Type], 0), MATCH(PartyCompare_3[[#This Row],[Party Size]],Encounter_Mod[[#Headers],[Small]:[Large]],0))</f>
        <v>120</v>
      </c>
      <c r="Y33" s="42">
        <f>SUM(PartyCompare_3[(Hard)])/INDEX(Encounter_Mod[[Small]:[Large]], MATCH(PartyCompare_3[[#This Row],[Mob Size]], Encounter_Mod[Type], 0), MATCH(PartyCompare_3[[#This Row],[Party Size]],Encounter_Mod[[#Headers],[Small]:[Large]],0))</f>
        <v>180</v>
      </c>
      <c r="Z33" s="43">
        <f>SUM(PartyCompare_3[(Deadly)])/INDEX(Encounter_Mod[[Small]:[Large]], MATCH(PartyCompare_3[[#This Row],[Mob Size]], Encounter_Mod[Type], 0), MATCH(PartyCompare_3[[#This Row],[Party Size]],Encounter_Mod[[#Headers],[Small]:[Large]],0))</f>
        <v>320</v>
      </c>
      <c r="AA33" s="46">
        <f>(PartyCompare_3[[#This Row],[Easy]]-INDEX(PartyCompare_0[Easy], MATCH(PartyCompare_3[[#This Row],[Mob Size]],PartyCompare_0[Mob Size],0)))/INDEX(PartyCompare_0[Easy], MATCH(PartyCompare_3[[#This Row],[Mob Size]],PartyCompare_0[Mob Size],0))</f>
        <v>0.2</v>
      </c>
      <c r="AB33" s="33">
        <f>(PartyCompare_3[[#This Row],[Medium]]-INDEX(PartyCompare_0[Medium], MATCH(PartyCompare_3[[#This Row],[Mob Size]],PartyCompare_0[Mob Size],0)))/INDEX(PartyCompare_0[Medium], MATCH(PartyCompare_3[[#This Row],[Mob Size]],PartyCompare_0[Mob Size],0))</f>
        <v>0.2</v>
      </c>
      <c r="AC33" s="33">
        <f>(PartyCompare_3[[#This Row],[Hard]]-INDEX(PartyCompare_0[Hard], MATCH(PartyCompare_3[[#This Row],[Mob Size]],PartyCompare_0[Mob Size],0)))/INDEX(PartyCompare_0[Hard], MATCH(PartyCompare_3[[#This Row],[Mob Size]],PartyCompare_0[Mob Size],0))</f>
        <v>0.2</v>
      </c>
      <c r="AD33" s="34">
        <f>(PartyCompare_3[[#This Row],[Deadly]]-INDEX(PartyCompare_0[Deadly], MATCH(PartyCompare_3[[#This Row],[Mob Size]],PartyCompare_0[Mob Size],0)))/INDEX(PartyCompare_0[Deadly], MATCH(PartyCompare_3[[#This Row],[Mob Size]],PartyCompare_0[Mob Size],0))</f>
        <v>0.6</v>
      </c>
      <c r="AE33" s="48">
        <f>AVERAGE(PartyCompare_3[[#This Row],[Easy Deviation]:[Deadly Deviation]])</f>
        <v>0.30000000000000004</v>
      </c>
      <c r="AF33" s="36">
        <f>IF(ISNUMBER(PartyCompare_3[[#This Row],[Level]]), PartyCompare_3[[#This Row],[Level]]+1, PartyCompare_3[[#This Row],[Level]])</f>
        <v>0</v>
      </c>
      <c r="AG33" s="36">
        <f>INDEX(Encounter_Diff[Easy], MATCH(PartyCompare_3[[#This Row],[+1 Level]],Encounter_Diff[Player Level],0))</f>
        <v>0</v>
      </c>
      <c r="AH33" s="36">
        <f>INDEX(Encounter_Diff[Medium], MATCH(PartyCompare_3[[#This Row],[+1 Level]],Encounter_Diff[Player Level],0))</f>
        <v>0</v>
      </c>
      <c r="AI33" s="36">
        <f>INDEX(Encounter_Diff[Hard], MATCH(PartyCompare_3[[#This Row],[+1 Level]],Encounter_Diff[Player Level],0))</f>
        <v>0</v>
      </c>
      <c r="AJ33" s="36">
        <f>INDEX(Encounter_Diff[Deadly], MATCH(PartyCompare_3[[#This Row],[+1 Level]],Encounter_Diff[Player Level],0))</f>
        <v>0</v>
      </c>
      <c r="AK33" s="63">
        <f>SUM(PartyCompare_3[+1 (Easy)])/INDEX(Encounter_Mod[[Small]:[Large]], MATCH(PartyCompare_3[[#This Row],[Mob Size]], Encounter_Mod[Type], 0), MATCH(PartyCompare_3[[#This Row],[Party Size]],Encounter_Mod[[#Headers],[Small]:[Large]],0))</f>
        <v>100</v>
      </c>
      <c r="AL33" s="38">
        <f>SUM(PartyCompare_3[+1 (Medium)])/INDEX(Encounter_Mod[[Small]:[Large]], MATCH(PartyCompare_3[[#This Row],[Mob Size]], Encounter_Mod[Type], 0), MATCH(PartyCompare_3[[#This Row],[Party Size]],Encounter_Mod[[#Headers],[Small]:[Large]],0))</f>
        <v>200</v>
      </c>
      <c r="AM33" s="38">
        <f>SUM(PartyCompare_3[+1 (Hard)])/INDEX(Encounter_Mod[[Small]:[Large]], MATCH(PartyCompare_3[[#This Row],[Mob Size]], Encounter_Mod[Type], 0), MATCH(PartyCompare_3[[#This Row],[Party Size]],Encounter_Mod[[#Headers],[Small]:[Large]],0))</f>
        <v>300</v>
      </c>
      <c r="AN33" s="38">
        <f>SUM(PartyCompare_3[+1 (Deadly)])/INDEX(Encounter_Mod[[Small]:[Large]], MATCH(PartyCompare_3[[#This Row],[Mob Size]], Encounter_Mod[Type], 0), MATCH(PartyCompare_3[[#This Row],[Party Size]],Encounter_Mod[[#Headers],[Small]:[Large]],0))</f>
        <v>400</v>
      </c>
      <c r="AO33" s="46">
        <f>(PartyCompare_3[[#This Row],[+1 Easy]]-INDEX(PartyCompare_0[+1 Easy], MATCH(PartyCompare_3[[#This Row],[Mob Size]],PartyCompare_3[Mob Size],0)))/INDEX(PartyCompare_0[+1 Easy], MATCH(PartyCompare_3[[#This Row],[Mob Size]],PartyCompare_3[Mob Size],0))</f>
        <v>0</v>
      </c>
      <c r="AP33" s="39">
        <f>(PartyCompare_3[[#This Row],[+1 Medium]]-INDEX(PartyCompare_0[+1 Medium], MATCH(PartyCompare_3[[#This Row],[Mob Size]],PartyCompare_3[Mob Size],0)))/INDEX(PartyCompare_0[+1 Medium], MATCH(PartyCompare_3[[#This Row],[Mob Size]],PartyCompare_3[Mob Size],0))</f>
        <v>0</v>
      </c>
      <c r="AQ33" s="39">
        <f>(PartyCompare_3[[#This Row],[+1 Hard]]-INDEX(PartyCompare_0[+1 Hard], MATCH(PartyCompare_3[[#This Row],[Mob Size]],PartyCompare_3[Mob Size],0)))/INDEX(PartyCompare_0[+1 Hard], MATCH(PartyCompare_3[[#This Row],[Mob Size]],PartyCompare_3[Mob Size],0))</f>
        <v>0</v>
      </c>
      <c r="AR33" s="34">
        <f>(PartyCompare_3[[#This Row],[+1 Deadly]]-INDEX(PartyCompare_0[+1 Deadly], MATCH(PartyCompare_3[[#This Row],[Mob Size]],PartyCompare_3[Mob Size],0)))/INDEX(PartyCompare_0[+1 Deadly], MATCH(PartyCompare_3[[#This Row],[Mob Size]],PartyCompare_3[Mob Size],0))</f>
        <v>0</v>
      </c>
      <c r="AS33" s="48">
        <f>AVERAGE(PartyCompare_3[[#This Row],[+1 Easy Deviation]:[+1 Deadly Deviation]])</f>
        <v>0</v>
      </c>
      <c r="AT33" s="36">
        <f>IF(ISNUMBER(PartyCompare_3[[#This Row],[Level]]), PartyCompare_3[[#This Row],[Level]]+2, PartyCompare_3[[#This Row],[Level]])</f>
        <v>0</v>
      </c>
      <c r="AU33" s="36">
        <f>INDEX(Encounter_Diff[Easy], MATCH(PartyCompare_3[[#This Row],[+2 Level]],Encounter_Diff[Player Level],0))</f>
        <v>0</v>
      </c>
      <c r="AV33" s="36">
        <f>INDEX(Encounter_Diff[Medium], MATCH(PartyCompare_3[[#This Row],[+2 Level]],Encounter_Diff[Player Level],0))</f>
        <v>0</v>
      </c>
      <c r="AW33" s="36">
        <f>INDEX(Encounter_Diff[Hard], MATCH(PartyCompare_3[[#This Row],[+2 Level]],Encounter_Diff[Player Level],0))</f>
        <v>0</v>
      </c>
      <c r="AX33" s="36">
        <f>INDEX(Encounter_Diff[Deadly], MATCH(PartyCompare_3[[#This Row],[+2 Level]],Encounter_Diff[Player Level],0))</f>
        <v>0</v>
      </c>
      <c r="AY33" s="63">
        <f>SUM(PartyCompare_3[+2 (Easy)])/INDEX(Encounter_Mod[[Small]:[Large]], MATCH(PartyCompare_3[[#This Row],[Mob Size]], Encounter_Mod[Type], 0), MATCH(PartyCompare_3[[#This Row],[Party Size]],Encounter_Mod[[#Headers],[Small]:[Large]],0))</f>
        <v>200</v>
      </c>
      <c r="AZ33" s="38">
        <f>SUM(PartyCompare_3[+2 (Medium)])/INDEX(Encounter_Mod[[Small]:[Large]], MATCH(PartyCompare_3[[#This Row],[Mob Size]], Encounter_Mod[Type], 0), MATCH(PartyCompare_3[[#This Row],[Party Size]],Encounter_Mod[[#Headers],[Small]:[Large]],0))</f>
        <v>400</v>
      </c>
      <c r="BA33" s="38">
        <f>SUM(PartyCompare_3[+2 (Hard)])/INDEX(Encounter_Mod[[Small]:[Large]], MATCH(PartyCompare_3[[#This Row],[Mob Size]], Encounter_Mod[Type], 0), MATCH(PartyCompare_3[[#This Row],[Party Size]],Encounter_Mod[[#Headers],[Small]:[Large]],0))</f>
        <v>600</v>
      </c>
      <c r="BB33" s="38">
        <f>SUM(PartyCompare_3[+2 (Deadly)])/INDEX(Encounter_Mod[[Small]:[Large]], MATCH(PartyCompare_3[[#This Row],[Mob Size]], Encounter_Mod[Type], 0), MATCH(PartyCompare_3[[#This Row],[Party Size]],Encounter_Mod[[#Headers],[Small]:[Large]],0))</f>
        <v>880</v>
      </c>
      <c r="BC33" s="46">
        <f>(PartyCompare_3[[#This Row],[+2 Easy]]-INDEX(PartyCompare_0[+2 Easy], MATCH(PartyCompare_3[[#This Row],[Mob Size]],PartyCompare_3[Mob Size],0)))/INDEX(PartyCompare_0[+2 Easy], MATCH(PartyCompare_3[[#This Row],[Mob Size]],PartyCompare_3[Mob Size],0))</f>
        <v>0.33333333333333331</v>
      </c>
      <c r="BD33" s="39">
        <f>(PartyCompare_3[[#This Row],[+2 Medium]]-INDEX(PartyCompare_0[+2 Medium], MATCH(PartyCompare_3[[#This Row],[Mob Size]],PartyCompare_3[Mob Size],0)))/INDEX(PartyCompare_0[+2 Medium], MATCH(PartyCompare_3[[#This Row],[Mob Size]],PartyCompare_3[Mob Size],0))</f>
        <v>0.33333333333333331</v>
      </c>
      <c r="BE33" s="39">
        <f>(PartyCompare_3[[#This Row],[+2 Hard]]-INDEX(PartyCompare_0[+2 Hard], MATCH(PartyCompare_3[[#This Row],[Mob Size]],PartyCompare_3[Mob Size],0)))/INDEX(PartyCompare_0[+2 Hard], MATCH(PartyCompare_3[[#This Row],[Mob Size]],PartyCompare_3[Mob Size],0))</f>
        <v>0.33333333333333331</v>
      </c>
      <c r="BF33" s="34">
        <f>(PartyCompare_3[[#This Row],[+2 Deadly]]-INDEX(PartyCompare_0[+2 Deadly], MATCH(PartyCompare_3[[#This Row],[Mob Size]],PartyCompare_3[Mob Size],0)))/INDEX(PartyCompare_0[+2 Deadly], MATCH(PartyCompare_3[[#This Row],[Mob Size]],PartyCompare_3[Mob Size],0))</f>
        <v>0.1</v>
      </c>
      <c r="BG33" s="48">
        <f>AVERAGE(PartyCompare_3[[#This Row],[+2 Easy Deviation]:[+2 Deadly Deviation]])</f>
        <v>0.27500000000000002</v>
      </c>
      <c r="BH33" s="36">
        <f>IF(ISNUMBER(PartyCompare_3[[#This Row],[Level]]), PartyCompare_3[[#This Row],[Level]]+3, PartyCompare_3[[#This Row],[Level]])</f>
        <v>0</v>
      </c>
      <c r="BI33" s="36">
        <f>INDEX(Encounter_Diff[Easy], MATCH(PartyCompare_3[[#This Row],[+3 Level]],Encounter_Diff[Player Level],0))</f>
        <v>0</v>
      </c>
      <c r="BJ33" s="36">
        <f>INDEX(Encounter_Diff[Medium], MATCH(PartyCompare_3[[#This Row],[+3 Level]],Encounter_Diff[Player Level],0))</f>
        <v>0</v>
      </c>
      <c r="BK33" s="36">
        <f>INDEX(Encounter_Diff[Hard], MATCH(PartyCompare_3[[#This Row],[+3 Level]],Encounter_Diff[Player Level],0))</f>
        <v>0</v>
      </c>
      <c r="BL33" s="36">
        <f>INDEX(Encounter_Diff[Deadly], MATCH(PartyCompare_3[[#This Row],[+3 Level]],Encounter_Diff[Player Level],0))</f>
        <v>0</v>
      </c>
      <c r="BM33" s="63">
        <f>SUM(PartyCompare_3[+3 (Easy)])/INDEX(Encounter_Mod[[Small]:[Large]], MATCH(PartyCompare_3[[#This Row],[Mob Size]], Encounter_Mod[Type], 0), MATCH(PartyCompare_3[[#This Row],[Party Size]],Encounter_Mod[[#Headers],[Small]:[Large]],0))</f>
        <v>240</v>
      </c>
      <c r="BN33" s="38">
        <f>SUM(PartyCompare_3[+3 (Medium)])/INDEX(Encounter_Mod[[Small]:[Large]], MATCH(PartyCompare_3[[#This Row],[Mob Size]], Encounter_Mod[Type], 0), MATCH(PartyCompare_3[[#This Row],[Party Size]],Encounter_Mod[[#Headers],[Small]:[Large]],0))</f>
        <v>480</v>
      </c>
      <c r="BO33" s="38">
        <f>SUM(PartyCompare_3[+3 (Hard)])/INDEX(Encounter_Mod[[Small]:[Large]], MATCH(PartyCompare_3[[#This Row],[Mob Size]], Encounter_Mod[Type], 0), MATCH(PartyCompare_3[[#This Row],[Party Size]],Encounter_Mod[[#Headers],[Small]:[Large]],0))</f>
        <v>720</v>
      </c>
      <c r="BP33" s="38">
        <f>SUM(PartyCompare_3[+3 (Deadly)])/INDEX(Encounter_Mod[[Small]:[Large]], MATCH(PartyCompare_3[[#This Row],[Mob Size]], Encounter_Mod[Type], 0), MATCH(PartyCompare_3[[#This Row],[Party Size]],Encounter_Mod[[#Headers],[Small]:[Large]],0))</f>
        <v>1120</v>
      </c>
      <c r="BQ33" s="46">
        <f>(PartyCompare_3[[#This Row],[+3 Easy]]-INDEX(PartyCompare_0[+3 Easy], MATCH(PartyCompare_3[[#This Row],[Mob Size]],PartyCompare_3[Mob Size],0)))/INDEX(PartyCompare_0[+3 Easy], MATCH(PartyCompare_3[[#This Row],[Mob Size]],PartyCompare_3[Mob Size],0))</f>
        <v>-0.04</v>
      </c>
      <c r="BR33" s="39">
        <f>(PartyCompare_3[[#This Row],[+3 Medium]]-INDEX(PartyCompare_0[+3 Medium], MATCH(PartyCompare_3[[#This Row],[Mob Size]],PartyCompare_3[Mob Size],0)))/INDEX(PartyCompare_0[+3 Medium], MATCH(PartyCompare_3[[#This Row],[Mob Size]],PartyCompare_3[Mob Size],0))</f>
        <v>-0.04</v>
      </c>
      <c r="BS33" s="39">
        <f>(PartyCompare_3[[#This Row],[+3 Hard]]-INDEX(PartyCompare_0[+3 Hard], MATCH(PartyCompare_3[[#This Row],[Mob Size]],PartyCompare_3[Mob Size],0)))/INDEX(PartyCompare_0[+3 Hard], MATCH(PartyCompare_3[[#This Row],[Mob Size]],PartyCompare_3[Mob Size],0))</f>
        <v>-0.04</v>
      </c>
      <c r="BT33" s="34">
        <f>(PartyCompare_3[[#This Row],[+3 Deadly]]-INDEX(PartyCompare_0[+3 Deadly], MATCH(PartyCompare_3[[#This Row],[Mob Size]],PartyCompare_3[Mob Size],0)))/INDEX(PartyCompare_0[+3 Deadly], MATCH(PartyCompare_3[[#This Row],[Mob Size]],PartyCompare_3[Mob Size],0))</f>
        <v>0.12</v>
      </c>
      <c r="BU33" s="48">
        <f>AVERAGE(PartyCompare_3[[#This Row],[+3 Easy Deviation]:[+3 Deadly Deviation]])</f>
        <v>0</v>
      </c>
      <c r="BV33" s="36">
        <f>IF(ISNUMBER(PartyCompare_3[[#This Row],[Level]]), PartyCompare_3[[#This Row],[Level]]+4, PartyCompare_3[[#This Row],[Level]])</f>
        <v>0</v>
      </c>
      <c r="BW33" s="36">
        <f>INDEX(Encounter_Diff[Easy], MATCH(PartyCompare_3[[#This Row],[+4 Level]],Encounter_Diff[Player Level],0))</f>
        <v>0</v>
      </c>
      <c r="BX33" s="36">
        <f>INDEX(Encounter_Diff[Medium], MATCH(PartyCompare_3[[#This Row],[+4 Level]],Encounter_Diff[Player Level],0))</f>
        <v>0</v>
      </c>
      <c r="BY33" s="36">
        <f>INDEX(Encounter_Diff[Hard], MATCH(PartyCompare_3[[#This Row],[+4 Level]],Encounter_Diff[Player Level],0))</f>
        <v>0</v>
      </c>
      <c r="BZ33" s="36">
        <f>INDEX(Encounter_Diff[Deadly], MATCH(PartyCompare_3[[#This Row],[+4 Level]],Encounter_Diff[Player Level],0))</f>
        <v>0</v>
      </c>
      <c r="CA33" s="63">
        <f>SUM(PartyCompare_3[+4 (Easy)])/INDEX(Encounter_Mod[[Small]:[Large]], MATCH(PartyCompare_3[[#This Row],[Mob Size]], Encounter_Mod[Type], 0), MATCH(PartyCompare_3[[#This Row],[Party Size]],Encounter_Mod[[#Headers],[Small]:[Large]],0))</f>
        <v>280</v>
      </c>
      <c r="CB33" s="38">
        <f>SUM(PartyCompare_3[+4 (Medium)])/INDEX(Encounter_Mod[[Small]:[Large]], MATCH(PartyCompare_3[[#This Row],[Mob Size]], Encounter_Mod[Type], 0), MATCH(PartyCompare_3[[#This Row],[Party Size]],Encounter_Mod[[#Headers],[Small]:[Large]],0))</f>
        <v>600</v>
      </c>
      <c r="CC33" s="38">
        <f>SUM(PartyCompare_3[+4 (Hard)])/INDEX(Encounter_Mod[[Small]:[Large]], MATCH(PartyCompare_3[[#This Row],[Mob Size]], Encounter_Mod[Type], 0), MATCH(PartyCompare_3[[#This Row],[Party Size]],Encounter_Mod[[#Headers],[Small]:[Large]],0))</f>
        <v>880</v>
      </c>
      <c r="CD33" s="38">
        <f>SUM(PartyCompare_3[+4 (Deadly)])/INDEX(Encounter_Mod[[Small]:[Large]], MATCH(PartyCompare_3[[#This Row],[Mob Size]], Encounter_Mod[Type], 0), MATCH(PartyCompare_3[[#This Row],[Party Size]],Encounter_Mod[[#Headers],[Small]:[Large]],0))</f>
        <v>1360</v>
      </c>
      <c r="CE33" s="46">
        <f>(PartyCompare_3[[#This Row],[+4 Easy]]-INDEX(PartyCompare_0[+4 Easy], MATCH(PartyCompare_3[[#This Row],[Mob Size]],PartyCompare_3[Mob Size],0)))/INDEX(PartyCompare_0[+4 Easy], MATCH(PartyCompare_3[[#This Row],[Mob Size]],PartyCompare_3[Mob Size],0))</f>
        <v>-0.44</v>
      </c>
      <c r="CF33" s="39">
        <f>(PartyCompare_3[[#This Row],[+4 Medium]]-INDEX(PartyCompare_0[+4 Medium], MATCH(PartyCompare_3[[#This Row],[Mob Size]],PartyCompare_3[Mob Size],0)))/INDEX(PartyCompare_0[+4 Medium], MATCH(PartyCompare_3[[#This Row],[Mob Size]],PartyCompare_3[Mob Size],0))</f>
        <v>-0.4</v>
      </c>
      <c r="CG33" s="39">
        <f>(PartyCompare_3[[#This Row],[+4 Hard]]-INDEX(PartyCompare_0[+4 Hard], MATCH(PartyCompare_3[[#This Row],[Mob Size]],PartyCompare_3[Mob Size],0)))/INDEX(PartyCompare_0[+4 Hard], MATCH(PartyCompare_3[[#This Row],[Mob Size]],PartyCompare_3[Mob Size],0))</f>
        <v>-0.41333333333333333</v>
      </c>
      <c r="CH33" s="34">
        <f>(PartyCompare_3[[#This Row],[+4 Deadly]]-INDEX(PartyCompare_0[+4 Deadly], MATCH(PartyCompare_3[[#This Row],[Mob Size]],PartyCompare_3[Mob Size],0)))/INDEX(PartyCompare_0[+4 Deadly], MATCH(PartyCompare_3[[#This Row],[Mob Size]],PartyCompare_3[Mob Size],0))</f>
        <v>-0.38181818181818183</v>
      </c>
      <c r="CI33" s="48">
        <f>AVERAGE(PartyCompare_3[[#This Row],[+4 Easy Deviation]:[+4 Deadly Deviation]])</f>
        <v>-0.40878787878787881</v>
      </c>
    </row>
    <row r="34" spans="2:87" x14ac:dyDescent="0.2">
      <c r="B34"/>
      <c r="C34"/>
      <c r="D34"/>
      <c r="E34"/>
      <c r="F34"/>
      <c r="G34"/>
      <c r="H34"/>
      <c r="I34"/>
      <c r="J34"/>
      <c r="L34" s="233"/>
      <c r="M34" s="91"/>
      <c r="N34" s="90"/>
      <c r="O34" s="32">
        <f>INDEX(Encounter_Diff[Easy], MATCH(PartyCompare_3[[#This Row],[Level]],Encounter_Diff[Player Level],0))</f>
        <v>0</v>
      </c>
      <c r="P34" s="32">
        <f>INDEX(Encounter_Diff[Medium], MATCH(PartyCompare_3[[#This Row],[Level]],Encounter_Diff[Player Level],0))</f>
        <v>0</v>
      </c>
      <c r="Q34" s="32">
        <f>INDEX(Encounter_Diff[Hard], MATCH(PartyCompare_3[[#This Row],[Level]],Encounter_Diff[Player Level],0))</f>
        <v>0</v>
      </c>
      <c r="R34" s="30">
        <f>INDEX(Encounter_Diff[Deadly], MATCH(PartyCompare_3[[#This Row],[Level]],Encounter_Diff[Player Level],0))</f>
        <v>0</v>
      </c>
      <c r="S34" s="97" t="str">
        <f t="shared" si="3"/>
        <v>3, 3</v>
      </c>
      <c r="T34" s="32" t="str">
        <f>IF(COUNT(PartyCompare_3[Level])&lt;=2,"Small", IF(COUNT(PartyCompare_3[Level])&lt;=5,"Med", IF(COUNT(PartyCompare_3[Level])&lt;=8, "Large", "TOO BIG!")))</f>
        <v>Small</v>
      </c>
      <c r="U34" s="73" t="s">
        <v>110</v>
      </c>
      <c r="V34" s="77" t="str">
        <f>INDEX(Encounter_Mod[Count], MATCH(PartyCompare_3[[#This Row],[Mob Size]], Encounter_Mod[Type],0))</f>
        <v>7-10</v>
      </c>
      <c r="W34" s="81">
        <f>SUM(PartyCompare_3[(Easy)])/INDEX(Encounter_Mod[[Small]:[Large]], MATCH(PartyCompare_3[[#This Row],[Mob Size]], Encounter_Mod[Type], 0), MATCH(PartyCompare_3[[#This Row],[Party Size]],Encounter_Mod[[#Headers],[Small]:[Large]],0))</f>
        <v>50</v>
      </c>
      <c r="X34" s="42">
        <f>SUM(PartyCompare_3[(Medium)])/INDEX(Encounter_Mod[[Small]:[Large]], MATCH(PartyCompare_3[[#This Row],[Mob Size]], Encounter_Mod[Type], 0), MATCH(PartyCompare_3[[#This Row],[Party Size]],Encounter_Mod[[#Headers],[Small]:[Large]],0))</f>
        <v>100</v>
      </c>
      <c r="Y34" s="42">
        <f>SUM(PartyCompare_3[(Hard)])/INDEX(Encounter_Mod[[Small]:[Large]], MATCH(PartyCompare_3[[#This Row],[Mob Size]], Encounter_Mod[Type], 0), MATCH(PartyCompare_3[[#This Row],[Party Size]],Encounter_Mod[[#Headers],[Small]:[Large]],0))</f>
        <v>150</v>
      </c>
      <c r="Z34" s="43">
        <f>SUM(PartyCompare_3[(Deadly)])/INDEX(Encounter_Mod[[Small]:[Large]], MATCH(PartyCompare_3[[#This Row],[Mob Size]], Encounter_Mod[Type], 0), MATCH(PartyCompare_3[[#This Row],[Party Size]],Encounter_Mod[[#Headers],[Small]:[Large]],0))</f>
        <v>266.66666666666669</v>
      </c>
      <c r="AA34" s="46">
        <f>(PartyCompare_3[[#This Row],[Easy]]-INDEX(PartyCompare_0[Easy], MATCH(PartyCompare_3[[#This Row],[Mob Size]],PartyCompare_0[Mob Size],0)))/INDEX(PartyCompare_0[Easy], MATCH(PartyCompare_3[[#This Row],[Mob Size]],PartyCompare_0[Mob Size],0))</f>
        <v>0.25</v>
      </c>
      <c r="AB34" s="33">
        <f>(PartyCompare_3[[#This Row],[Medium]]-INDEX(PartyCompare_0[Medium], MATCH(PartyCompare_3[[#This Row],[Mob Size]],PartyCompare_0[Mob Size],0)))/INDEX(PartyCompare_0[Medium], MATCH(PartyCompare_3[[#This Row],[Mob Size]],PartyCompare_0[Mob Size],0))</f>
        <v>0.25</v>
      </c>
      <c r="AC34" s="33">
        <f>(PartyCompare_3[[#This Row],[Hard]]-INDEX(PartyCompare_0[Hard], MATCH(PartyCompare_3[[#This Row],[Mob Size]],PartyCompare_0[Mob Size],0)))/INDEX(PartyCompare_0[Hard], MATCH(PartyCompare_3[[#This Row],[Mob Size]],PartyCompare_0[Mob Size],0))</f>
        <v>0.25</v>
      </c>
      <c r="AD34" s="34">
        <f>(PartyCompare_3[[#This Row],[Deadly]]-INDEX(PartyCompare_0[Deadly], MATCH(PartyCompare_3[[#This Row],[Mob Size]],PartyCompare_0[Mob Size],0)))/INDEX(PartyCompare_0[Deadly], MATCH(PartyCompare_3[[#This Row],[Mob Size]],PartyCompare_0[Mob Size],0))</f>
        <v>0.66666666666666674</v>
      </c>
      <c r="AE34" s="48">
        <f>AVERAGE(PartyCompare_3[[#This Row],[Easy Deviation]:[Deadly Deviation]])</f>
        <v>0.35416666666666669</v>
      </c>
      <c r="AF34" s="36">
        <f>IF(ISNUMBER(PartyCompare_3[[#This Row],[Level]]), PartyCompare_3[[#This Row],[Level]]+1, PartyCompare_3[[#This Row],[Level]])</f>
        <v>0</v>
      </c>
      <c r="AG34" s="36">
        <f>INDEX(Encounter_Diff[Easy], MATCH(PartyCompare_3[[#This Row],[+1 Level]],Encounter_Diff[Player Level],0))</f>
        <v>0</v>
      </c>
      <c r="AH34" s="36">
        <f>INDEX(Encounter_Diff[Medium], MATCH(PartyCompare_3[[#This Row],[+1 Level]],Encounter_Diff[Player Level],0))</f>
        <v>0</v>
      </c>
      <c r="AI34" s="36">
        <f>INDEX(Encounter_Diff[Hard], MATCH(PartyCompare_3[[#This Row],[+1 Level]],Encounter_Diff[Player Level],0))</f>
        <v>0</v>
      </c>
      <c r="AJ34" s="36">
        <f>INDEX(Encounter_Diff[Deadly], MATCH(PartyCompare_3[[#This Row],[+1 Level]],Encounter_Diff[Player Level],0))</f>
        <v>0</v>
      </c>
      <c r="AK34" s="63">
        <f>SUM(PartyCompare_3[+1 (Easy)])/INDEX(Encounter_Mod[[Small]:[Large]], MATCH(PartyCompare_3[[#This Row],[Mob Size]], Encounter_Mod[Type], 0), MATCH(PartyCompare_3[[#This Row],[Party Size]],Encounter_Mod[[#Headers],[Small]:[Large]],0))</f>
        <v>83.333333333333329</v>
      </c>
      <c r="AL34" s="38">
        <f>SUM(PartyCompare_3[+1 (Medium)])/INDEX(Encounter_Mod[[Small]:[Large]], MATCH(PartyCompare_3[[#This Row],[Mob Size]], Encounter_Mod[Type], 0), MATCH(PartyCompare_3[[#This Row],[Party Size]],Encounter_Mod[[#Headers],[Small]:[Large]],0))</f>
        <v>166.66666666666666</v>
      </c>
      <c r="AM34" s="38">
        <f>SUM(PartyCompare_3[+1 (Hard)])/INDEX(Encounter_Mod[[Small]:[Large]], MATCH(PartyCompare_3[[#This Row],[Mob Size]], Encounter_Mod[Type], 0), MATCH(PartyCompare_3[[#This Row],[Party Size]],Encounter_Mod[[#Headers],[Small]:[Large]],0))</f>
        <v>250</v>
      </c>
      <c r="AN34" s="38">
        <f>SUM(PartyCompare_3[+1 (Deadly)])/INDEX(Encounter_Mod[[Small]:[Large]], MATCH(PartyCompare_3[[#This Row],[Mob Size]], Encounter_Mod[Type], 0), MATCH(PartyCompare_3[[#This Row],[Party Size]],Encounter_Mod[[#Headers],[Small]:[Large]],0))</f>
        <v>333.33333333333331</v>
      </c>
      <c r="AO34" s="46">
        <f>(PartyCompare_3[[#This Row],[+1 Easy]]-INDEX(PartyCompare_0[+1 Easy], MATCH(PartyCompare_3[[#This Row],[Mob Size]],PartyCompare_3[Mob Size],0)))/INDEX(PartyCompare_0[+1 Easy], MATCH(PartyCompare_3[[#This Row],[Mob Size]],PartyCompare_3[Mob Size],0))</f>
        <v>4.1666666666666609E-2</v>
      </c>
      <c r="AP34" s="39">
        <f>(PartyCompare_3[[#This Row],[+1 Medium]]-INDEX(PartyCompare_0[+1 Medium], MATCH(PartyCompare_3[[#This Row],[Mob Size]],PartyCompare_3[Mob Size],0)))/INDEX(PartyCompare_0[+1 Medium], MATCH(PartyCompare_3[[#This Row],[Mob Size]],PartyCompare_3[Mob Size],0))</f>
        <v>4.1666666666666609E-2</v>
      </c>
      <c r="AQ34" s="39">
        <f>(PartyCompare_3[[#This Row],[+1 Hard]]-INDEX(PartyCompare_0[+1 Hard], MATCH(PartyCompare_3[[#This Row],[Mob Size]],PartyCompare_3[Mob Size],0)))/INDEX(PartyCompare_0[+1 Hard], MATCH(PartyCompare_3[[#This Row],[Mob Size]],PartyCompare_3[Mob Size],0))</f>
        <v>4.1666666666666664E-2</v>
      </c>
      <c r="AR34" s="34">
        <f>(PartyCompare_3[[#This Row],[+1 Deadly]]-INDEX(PartyCompare_0[+1 Deadly], MATCH(PartyCompare_3[[#This Row],[Mob Size]],PartyCompare_3[Mob Size],0)))/INDEX(PartyCompare_0[+1 Deadly], MATCH(PartyCompare_3[[#This Row],[Mob Size]],PartyCompare_3[Mob Size],0))</f>
        <v>4.1666666666666609E-2</v>
      </c>
      <c r="AS34" s="48">
        <f>AVERAGE(PartyCompare_3[[#This Row],[+1 Easy Deviation]:[+1 Deadly Deviation]])</f>
        <v>4.1666666666666623E-2</v>
      </c>
      <c r="AT34" s="36">
        <f>IF(ISNUMBER(PartyCompare_3[[#This Row],[Level]]), PartyCompare_3[[#This Row],[Level]]+2, PartyCompare_3[[#This Row],[Level]])</f>
        <v>0</v>
      </c>
      <c r="AU34" s="36">
        <f>INDEX(Encounter_Diff[Easy], MATCH(PartyCompare_3[[#This Row],[+2 Level]],Encounter_Diff[Player Level],0))</f>
        <v>0</v>
      </c>
      <c r="AV34" s="36">
        <f>INDEX(Encounter_Diff[Medium], MATCH(PartyCompare_3[[#This Row],[+2 Level]],Encounter_Diff[Player Level],0))</f>
        <v>0</v>
      </c>
      <c r="AW34" s="36">
        <f>INDEX(Encounter_Diff[Hard], MATCH(PartyCompare_3[[#This Row],[+2 Level]],Encounter_Diff[Player Level],0))</f>
        <v>0</v>
      </c>
      <c r="AX34" s="36">
        <f>INDEX(Encounter_Diff[Deadly], MATCH(PartyCompare_3[[#This Row],[+2 Level]],Encounter_Diff[Player Level],0))</f>
        <v>0</v>
      </c>
      <c r="AY34" s="63">
        <f>SUM(PartyCompare_3[+2 (Easy)])/INDEX(Encounter_Mod[[Small]:[Large]], MATCH(PartyCompare_3[[#This Row],[Mob Size]], Encounter_Mod[Type], 0), MATCH(PartyCompare_3[[#This Row],[Party Size]],Encounter_Mod[[#Headers],[Small]:[Large]],0))</f>
        <v>166.66666666666666</v>
      </c>
      <c r="AZ34" s="38">
        <f>SUM(PartyCompare_3[+2 (Medium)])/INDEX(Encounter_Mod[[Small]:[Large]], MATCH(PartyCompare_3[[#This Row],[Mob Size]], Encounter_Mod[Type], 0), MATCH(PartyCompare_3[[#This Row],[Party Size]],Encounter_Mod[[#Headers],[Small]:[Large]],0))</f>
        <v>333.33333333333331</v>
      </c>
      <c r="BA34" s="38">
        <f>SUM(PartyCompare_3[+2 (Hard)])/INDEX(Encounter_Mod[[Small]:[Large]], MATCH(PartyCompare_3[[#This Row],[Mob Size]], Encounter_Mod[Type], 0), MATCH(PartyCompare_3[[#This Row],[Party Size]],Encounter_Mod[[#Headers],[Small]:[Large]],0))</f>
        <v>500</v>
      </c>
      <c r="BB34" s="38">
        <f>SUM(PartyCompare_3[+2 (Deadly)])/INDEX(Encounter_Mod[[Small]:[Large]], MATCH(PartyCompare_3[[#This Row],[Mob Size]], Encounter_Mod[Type], 0), MATCH(PartyCompare_3[[#This Row],[Party Size]],Encounter_Mod[[#Headers],[Small]:[Large]],0))</f>
        <v>733.33333333333337</v>
      </c>
      <c r="BC34" s="46">
        <f>(PartyCompare_3[[#This Row],[+2 Easy]]-INDEX(PartyCompare_0[+2 Easy], MATCH(PartyCompare_3[[#This Row],[Mob Size]],PartyCompare_3[Mob Size],0)))/INDEX(PartyCompare_0[+2 Easy], MATCH(PartyCompare_3[[#This Row],[Mob Size]],PartyCompare_3[Mob Size],0))</f>
        <v>0.38888888888888878</v>
      </c>
      <c r="BD34" s="39">
        <f>(PartyCompare_3[[#This Row],[+2 Medium]]-INDEX(PartyCompare_0[+2 Medium], MATCH(PartyCompare_3[[#This Row],[Mob Size]],PartyCompare_3[Mob Size],0)))/INDEX(PartyCompare_0[+2 Medium], MATCH(PartyCompare_3[[#This Row],[Mob Size]],PartyCompare_3[Mob Size],0))</f>
        <v>0.38888888888888878</v>
      </c>
      <c r="BE34" s="39">
        <f>(PartyCompare_3[[#This Row],[+2 Hard]]-INDEX(PartyCompare_0[+2 Hard], MATCH(PartyCompare_3[[#This Row],[Mob Size]],PartyCompare_3[Mob Size],0)))/INDEX(PartyCompare_0[+2 Hard], MATCH(PartyCompare_3[[#This Row],[Mob Size]],PartyCompare_3[Mob Size],0))</f>
        <v>0.3888888888888889</v>
      </c>
      <c r="BF34" s="34">
        <f>(PartyCompare_3[[#This Row],[+2 Deadly]]-INDEX(PartyCompare_0[+2 Deadly], MATCH(PartyCompare_3[[#This Row],[Mob Size]],PartyCompare_3[Mob Size],0)))/INDEX(PartyCompare_0[+2 Deadly], MATCH(PartyCompare_3[[#This Row],[Mob Size]],PartyCompare_3[Mob Size],0))</f>
        <v>0.1458333333333334</v>
      </c>
      <c r="BG34" s="48">
        <f>AVERAGE(PartyCompare_3[[#This Row],[+2 Easy Deviation]:[+2 Deadly Deviation]])</f>
        <v>0.328125</v>
      </c>
      <c r="BH34" s="36">
        <f>IF(ISNUMBER(PartyCompare_3[[#This Row],[Level]]), PartyCompare_3[[#This Row],[Level]]+3, PartyCompare_3[[#This Row],[Level]])</f>
        <v>0</v>
      </c>
      <c r="BI34" s="36">
        <f>INDEX(Encounter_Diff[Easy], MATCH(PartyCompare_3[[#This Row],[+3 Level]],Encounter_Diff[Player Level],0))</f>
        <v>0</v>
      </c>
      <c r="BJ34" s="36">
        <f>INDEX(Encounter_Diff[Medium], MATCH(PartyCompare_3[[#This Row],[+3 Level]],Encounter_Diff[Player Level],0))</f>
        <v>0</v>
      </c>
      <c r="BK34" s="36">
        <f>INDEX(Encounter_Diff[Hard], MATCH(PartyCompare_3[[#This Row],[+3 Level]],Encounter_Diff[Player Level],0))</f>
        <v>0</v>
      </c>
      <c r="BL34" s="36">
        <f>INDEX(Encounter_Diff[Deadly], MATCH(PartyCompare_3[[#This Row],[+3 Level]],Encounter_Diff[Player Level],0))</f>
        <v>0</v>
      </c>
      <c r="BM34" s="63">
        <f>SUM(PartyCompare_3[+3 (Easy)])/INDEX(Encounter_Mod[[Small]:[Large]], MATCH(PartyCompare_3[[#This Row],[Mob Size]], Encounter_Mod[Type], 0), MATCH(PartyCompare_3[[#This Row],[Party Size]],Encounter_Mod[[#Headers],[Small]:[Large]],0))</f>
        <v>200</v>
      </c>
      <c r="BN34" s="38">
        <f>SUM(PartyCompare_3[+3 (Medium)])/INDEX(Encounter_Mod[[Small]:[Large]], MATCH(PartyCompare_3[[#This Row],[Mob Size]], Encounter_Mod[Type], 0), MATCH(PartyCompare_3[[#This Row],[Party Size]],Encounter_Mod[[#Headers],[Small]:[Large]],0))</f>
        <v>400</v>
      </c>
      <c r="BO34" s="38">
        <f>SUM(PartyCompare_3[+3 (Hard)])/INDEX(Encounter_Mod[[Small]:[Large]], MATCH(PartyCompare_3[[#This Row],[Mob Size]], Encounter_Mod[Type], 0), MATCH(PartyCompare_3[[#This Row],[Party Size]],Encounter_Mod[[#Headers],[Small]:[Large]],0))</f>
        <v>600</v>
      </c>
      <c r="BP34" s="38">
        <f>SUM(PartyCompare_3[+3 (Deadly)])/INDEX(Encounter_Mod[[Small]:[Large]], MATCH(PartyCompare_3[[#This Row],[Mob Size]], Encounter_Mod[Type], 0), MATCH(PartyCompare_3[[#This Row],[Party Size]],Encounter_Mod[[#Headers],[Small]:[Large]],0))</f>
        <v>933.33333333333337</v>
      </c>
      <c r="BQ34" s="46">
        <f>(PartyCompare_3[[#This Row],[+3 Easy]]-INDEX(PartyCompare_0[+3 Easy], MATCH(PartyCompare_3[[#This Row],[Mob Size]],PartyCompare_3[Mob Size],0)))/INDEX(PartyCompare_0[+3 Easy], MATCH(PartyCompare_3[[#This Row],[Mob Size]],PartyCompare_3[Mob Size],0))</f>
        <v>0</v>
      </c>
      <c r="BR34" s="39">
        <f>(PartyCompare_3[[#This Row],[+3 Medium]]-INDEX(PartyCompare_0[+3 Medium], MATCH(PartyCompare_3[[#This Row],[Mob Size]],PartyCompare_3[Mob Size],0)))/INDEX(PartyCompare_0[+3 Medium], MATCH(PartyCompare_3[[#This Row],[Mob Size]],PartyCompare_3[Mob Size],0))</f>
        <v>0</v>
      </c>
      <c r="BS34" s="39">
        <f>(PartyCompare_3[[#This Row],[+3 Hard]]-INDEX(PartyCompare_0[+3 Hard], MATCH(PartyCompare_3[[#This Row],[Mob Size]],PartyCompare_3[Mob Size],0)))/INDEX(PartyCompare_0[+3 Hard], MATCH(PartyCompare_3[[#This Row],[Mob Size]],PartyCompare_3[Mob Size],0))</f>
        <v>0</v>
      </c>
      <c r="BT34" s="34">
        <f>(PartyCompare_3[[#This Row],[+3 Deadly]]-INDEX(PartyCompare_0[+3 Deadly], MATCH(PartyCompare_3[[#This Row],[Mob Size]],PartyCompare_3[Mob Size],0)))/INDEX(PartyCompare_0[+3 Deadly], MATCH(PartyCompare_3[[#This Row],[Mob Size]],PartyCompare_3[Mob Size],0))</f>
        <v>0.16666666666666671</v>
      </c>
      <c r="BU34" s="48">
        <f>AVERAGE(PartyCompare_3[[#This Row],[+3 Easy Deviation]:[+3 Deadly Deviation]])</f>
        <v>4.1666666666666678E-2</v>
      </c>
      <c r="BV34" s="36">
        <f>IF(ISNUMBER(PartyCompare_3[[#This Row],[Level]]), PartyCompare_3[[#This Row],[Level]]+4, PartyCompare_3[[#This Row],[Level]])</f>
        <v>0</v>
      </c>
      <c r="BW34" s="36">
        <f>INDEX(Encounter_Diff[Easy], MATCH(PartyCompare_3[[#This Row],[+4 Level]],Encounter_Diff[Player Level],0))</f>
        <v>0</v>
      </c>
      <c r="BX34" s="36">
        <f>INDEX(Encounter_Diff[Medium], MATCH(PartyCompare_3[[#This Row],[+4 Level]],Encounter_Diff[Player Level],0))</f>
        <v>0</v>
      </c>
      <c r="BY34" s="36">
        <f>INDEX(Encounter_Diff[Hard], MATCH(PartyCompare_3[[#This Row],[+4 Level]],Encounter_Diff[Player Level],0))</f>
        <v>0</v>
      </c>
      <c r="BZ34" s="36">
        <f>INDEX(Encounter_Diff[Deadly], MATCH(PartyCompare_3[[#This Row],[+4 Level]],Encounter_Diff[Player Level],0))</f>
        <v>0</v>
      </c>
      <c r="CA34" s="63">
        <f>SUM(PartyCompare_3[+4 (Easy)])/INDEX(Encounter_Mod[[Small]:[Large]], MATCH(PartyCompare_3[[#This Row],[Mob Size]], Encounter_Mod[Type], 0), MATCH(PartyCompare_3[[#This Row],[Party Size]],Encounter_Mod[[#Headers],[Small]:[Large]],0))</f>
        <v>233.33333333333334</v>
      </c>
      <c r="CB34" s="38">
        <f>SUM(PartyCompare_3[+4 (Medium)])/INDEX(Encounter_Mod[[Small]:[Large]], MATCH(PartyCompare_3[[#This Row],[Mob Size]], Encounter_Mod[Type], 0), MATCH(PartyCompare_3[[#This Row],[Party Size]],Encounter_Mod[[#Headers],[Small]:[Large]],0))</f>
        <v>500</v>
      </c>
      <c r="CC34" s="38">
        <f>SUM(PartyCompare_3[+4 (Hard)])/INDEX(Encounter_Mod[[Small]:[Large]], MATCH(PartyCompare_3[[#This Row],[Mob Size]], Encounter_Mod[Type], 0), MATCH(PartyCompare_3[[#This Row],[Party Size]],Encounter_Mod[[#Headers],[Small]:[Large]],0))</f>
        <v>733.33333333333337</v>
      </c>
      <c r="CD34" s="38">
        <f>SUM(PartyCompare_3[+4 (Deadly)])/INDEX(Encounter_Mod[[Small]:[Large]], MATCH(PartyCompare_3[[#This Row],[Mob Size]], Encounter_Mod[Type], 0), MATCH(PartyCompare_3[[#This Row],[Party Size]],Encounter_Mod[[#Headers],[Small]:[Large]],0))</f>
        <v>1133.3333333333333</v>
      </c>
      <c r="CE34" s="46">
        <f>(PartyCompare_3[[#This Row],[+4 Easy]]-INDEX(PartyCompare_0[+4 Easy], MATCH(PartyCompare_3[[#This Row],[Mob Size]],PartyCompare_3[Mob Size],0)))/INDEX(PartyCompare_0[+4 Easy], MATCH(PartyCompare_3[[#This Row],[Mob Size]],PartyCompare_3[Mob Size],0))</f>
        <v>-0.41666666666666663</v>
      </c>
      <c r="CF34" s="39">
        <f>(PartyCompare_3[[#This Row],[+4 Medium]]-INDEX(PartyCompare_0[+4 Medium], MATCH(PartyCompare_3[[#This Row],[Mob Size]],PartyCompare_3[Mob Size],0)))/INDEX(PartyCompare_0[+4 Medium], MATCH(PartyCompare_3[[#This Row],[Mob Size]],PartyCompare_3[Mob Size],0))</f>
        <v>-0.375</v>
      </c>
      <c r="CG34" s="39">
        <f>(PartyCompare_3[[#This Row],[+4 Hard]]-INDEX(PartyCompare_0[+4 Hard], MATCH(PartyCompare_3[[#This Row],[Mob Size]],PartyCompare_3[Mob Size],0)))/INDEX(PartyCompare_0[+4 Hard], MATCH(PartyCompare_3[[#This Row],[Mob Size]],PartyCompare_3[Mob Size],0))</f>
        <v>-0.38888888888888884</v>
      </c>
      <c r="CH34" s="34">
        <f>(PartyCompare_3[[#This Row],[+4 Deadly]]-INDEX(PartyCompare_0[+4 Deadly], MATCH(PartyCompare_3[[#This Row],[Mob Size]],PartyCompare_3[Mob Size],0)))/INDEX(PartyCompare_0[+4 Deadly], MATCH(PartyCompare_3[[#This Row],[Mob Size]],PartyCompare_3[Mob Size],0))</f>
        <v>-0.35606060606060608</v>
      </c>
      <c r="CI34" s="48">
        <f>AVERAGE(PartyCompare_3[[#This Row],[+4 Easy Deviation]:[+4 Deadly Deviation]])</f>
        <v>-0.38415404040404033</v>
      </c>
    </row>
    <row r="35" spans="2:87" x14ac:dyDescent="0.2">
      <c r="B35"/>
      <c r="C35"/>
      <c r="D35"/>
      <c r="E35"/>
      <c r="F35"/>
      <c r="G35"/>
      <c r="H35"/>
      <c r="I35"/>
      <c r="J35"/>
      <c r="L35" s="233"/>
      <c r="M35" s="91"/>
      <c r="N35" s="90"/>
      <c r="O35" s="32">
        <f>INDEX(Encounter_Diff[Easy], MATCH(PartyCompare_3[[#This Row],[Level]],Encounter_Diff[Player Level],0))</f>
        <v>0</v>
      </c>
      <c r="P35" s="32">
        <f>INDEX(Encounter_Diff[Medium], MATCH(PartyCompare_3[[#This Row],[Level]],Encounter_Diff[Player Level],0))</f>
        <v>0</v>
      </c>
      <c r="Q35" s="32">
        <f>INDEX(Encounter_Diff[Hard], MATCH(PartyCompare_3[[#This Row],[Level]],Encounter_Diff[Player Level],0))</f>
        <v>0</v>
      </c>
      <c r="R35" s="30">
        <f>INDEX(Encounter_Diff[Deadly], MATCH(PartyCompare_3[[#This Row],[Level]],Encounter_Diff[Player Level],0))</f>
        <v>0</v>
      </c>
      <c r="S35" s="97" t="str">
        <f t="shared" si="3"/>
        <v>3, 3</v>
      </c>
      <c r="T35" s="32" t="str">
        <f>IF(COUNT(PartyCompare_3[Level])&lt;=2,"Small", IF(COUNT(PartyCompare_3[Level])&lt;=5,"Med", IF(COUNT(PartyCompare_3[Level])&lt;=8, "Large", "TOO BIG!")))</f>
        <v>Small</v>
      </c>
      <c r="U35" s="73" t="s">
        <v>111</v>
      </c>
      <c r="V35" s="77" t="str">
        <f>INDEX(Encounter_Mod[Count], MATCH(PartyCompare_3[[#This Row],[Mob Size]], Encounter_Mod[Type],0))</f>
        <v>11-14</v>
      </c>
      <c r="W35" s="81">
        <f>SUM(PartyCompare_3[(Easy)])/INDEX(Encounter_Mod[[Small]:[Large]], MATCH(PartyCompare_3[[#This Row],[Mob Size]], Encounter_Mod[Type], 0), MATCH(PartyCompare_3[[#This Row],[Party Size]],Encounter_Mod[[#Headers],[Small]:[Large]],0))</f>
        <v>37.5</v>
      </c>
      <c r="X35" s="42">
        <f>SUM(PartyCompare_3[(Medium)])/INDEX(Encounter_Mod[[Small]:[Large]], MATCH(PartyCompare_3[[#This Row],[Mob Size]], Encounter_Mod[Type], 0), MATCH(PartyCompare_3[[#This Row],[Party Size]],Encounter_Mod[[#Headers],[Small]:[Large]],0))</f>
        <v>75</v>
      </c>
      <c r="Y35" s="42">
        <f>SUM(PartyCompare_3[(Hard)])/INDEX(Encounter_Mod[[Small]:[Large]], MATCH(PartyCompare_3[[#This Row],[Mob Size]], Encounter_Mod[Type], 0), MATCH(PartyCompare_3[[#This Row],[Party Size]],Encounter_Mod[[#Headers],[Small]:[Large]],0))</f>
        <v>112.5</v>
      </c>
      <c r="Z35" s="43">
        <f>SUM(PartyCompare_3[(Deadly)])/INDEX(Encounter_Mod[[Small]:[Large]], MATCH(PartyCompare_3[[#This Row],[Mob Size]], Encounter_Mod[Type], 0), MATCH(PartyCompare_3[[#This Row],[Party Size]],Encounter_Mod[[#Headers],[Small]:[Large]],0))</f>
        <v>200</v>
      </c>
      <c r="AA35" s="46">
        <f>(PartyCompare_3[[#This Row],[Easy]]-INDEX(PartyCompare_0[Easy], MATCH(PartyCompare_3[[#This Row],[Mob Size]],PartyCompare_0[Mob Size],0)))/INDEX(PartyCompare_0[Easy], MATCH(PartyCompare_3[[#This Row],[Mob Size]],PartyCompare_0[Mob Size],0))</f>
        <v>0.12499999999999992</v>
      </c>
      <c r="AB35" s="33">
        <f>(PartyCompare_3[[#This Row],[Medium]]-INDEX(PartyCompare_0[Medium], MATCH(PartyCompare_3[[#This Row],[Mob Size]],PartyCompare_0[Mob Size],0)))/INDEX(PartyCompare_0[Medium], MATCH(PartyCompare_3[[#This Row],[Mob Size]],PartyCompare_0[Mob Size],0))</f>
        <v>0.12499999999999992</v>
      </c>
      <c r="AC35" s="33">
        <f>(PartyCompare_3[[#This Row],[Hard]]-INDEX(PartyCompare_0[Hard], MATCH(PartyCompare_3[[#This Row],[Mob Size]],PartyCompare_0[Mob Size],0)))/INDEX(PartyCompare_0[Hard], MATCH(PartyCompare_3[[#This Row],[Mob Size]],PartyCompare_0[Mob Size],0))</f>
        <v>0.125</v>
      </c>
      <c r="AD35" s="34">
        <f>(PartyCompare_3[[#This Row],[Deadly]]-INDEX(PartyCompare_0[Deadly], MATCH(PartyCompare_3[[#This Row],[Mob Size]],PartyCompare_0[Mob Size],0)))/INDEX(PartyCompare_0[Deadly], MATCH(PartyCompare_3[[#This Row],[Mob Size]],PartyCompare_0[Mob Size],0))</f>
        <v>0.49999999999999989</v>
      </c>
      <c r="AE35" s="48">
        <f>AVERAGE(PartyCompare_3[[#This Row],[Easy Deviation]:[Deadly Deviation]])</f>
        <v>0.21874999999999994</v>
      </c>
      <c r="AF35" s="36">
        <f>IF(ISNUMBER(PartyCompare_3[[#This Row],[Level]]), PartyCompare_3[[#This Row],[Level]]+1, PartyCompare_3[[#This Row],[Level]])</f>
        <v>0</v>
      </c>
      <c r="AG35" s="36">
        <f>INDEX(Encounter_Diff[Easy], MATCH(PartyCompare_3[[#This Row],[+1 Level]],Encounter_Diff[Player Level],0))</f>
        <v>0</v>
      </c>
      <c r="AH35" s="36">
        <f>INDEX(Encounter_Diff[Medium], MATCH(PartyCompare_3[[#This Row],[+1 Level]],Encounter_Diff[Player Level],0))</f>
        <v>0</v>
      </c>
      <c r="AI35" s="36">
        <f>INDEX(Encounter_Diff[Hard], MATCH(PartyCompare_3[[#This Row],[+1 Level]],Encounter_Diff[Player Level],0))</f>
        <v>0</v>
      </c>
      <c r="AJ35" s="36">
        <f>INDEX(Encounter_Diff[Deadly], MATCH(PartyCompare_3[[#This Row],[+1 Level]],Encounter_Diff[Player Level],0))</f>
        <v>0</v>
      </c>
      <c r="AK35" s="63">
        <f>SUM(PartyCompare_3[+1 (Easy)])/INDEX(Encounter_Mod[[Small]:[Large]], MATCH(PartyCompare_3[[#This Row],[Mob Size]], Encounter_Mod[Type], 0), MATCH(PartyCompare_3[[#This Row],[Party Size]],Encounter_Mod[[#Headers],[Small]:[Large]],0))</f>
        <v>62.5</v>
      </c>
      <c r="AL35" s="38">
        <f>SUM(PartyCompare_3[+1 (Medium)])/INDEX(Encounter_Mod[[Small]:[Large]], MATCH(PartyCompare_3[[#This Row],[Mob Size]], Encounter_Mod[Type], 0), MATCH(PartyCompare_3[[#This Row],[Party Size]],Encounter_Mod[[#Headers],[Small]:[Large]],0))</f>
        <v>125</v>
      </c>
      <c r="AM35" s="38">
        <f>SUM(PartyCompare_3[+1 (Hard)])/INDEX(Encounter_Mod[[Small]:[Large]], MATCH(PartyCompare_3[[#This Row],[Mob Size]], Encounter_Mod[Type], 0), MATCH(PartyCompare_3[[#This Row],[Party Size]],Encounter_Mod[[#Headers],[Small]:[Large]],0))</f>
        <v>187.5</v>
      </c>
      <c r="AN35" s="38">
        <f>SUM(PartyCompare_3[+1 (Deadly)])/INDEX(Encounter_Mod[[Small]:[Large]], MATCH(PartyCompare_3[[#This Row],[Mob Size]], Encounter_Mod[Type], 0), MATCH(PartyCompare_3[[#This Row],[Party Size]],Encounter_Mod[[#Headers],[Small]:[Large]],0))</f>
        <v>250</v>
      </c>
      <c r="AO35" s="46">
        <f>(PartyCompare_3[[#This Row],[+1 Easy]]-INDEX(PartyCompare_0[+1 Easy], MATCH(PartyCompare_3[[#This Row],[Mob Size]],PartyCompare_3[Mob Size],0)))/INDEX(PartyCompare_0[+1 Easy], MATCH(PartyCompare_3[[#This Row],[Mob Size]],PartyCompare_3[Mob Size],0))</f>
        <v>-6.2500000000000069E-2</v>
      </c>
      <c r="AP35" s="39">
        <f>(PartyCompare_3[[#This Row],[+1 Medium]]-INDEX(PartyCompare_0[+1 Medium], MATCH(PartyCompare_3[[#This Row],[Mob Size]],PartyCompare_3[Mob Size],0)))/INDEX(PartyCompare_0[+1 Medium], MATCH(PartyCompare_3[[#This Row],[Mob Size]],PartyCompare_3[Mob Size],0))</f>
        <v>-6.2500000000000069E-2</v>
      </c>
      <c r="AQ35" s="39">
        <f>(PartyCompare_3[[#This Row],[+1 Hard]]-INDEX(PartyCompare_0[+1 Hard], MATCH(PartyCompare_3[[#This Row],[Mob Size]],PartyCompare_3[Mob Size],0)))/INDEX(PartyCompare_0[+1 Hard], MATCH(PartyCompare_3[[#This Row],[Mob Size]],PartyCompare_3[Mob Size],0))</f>
        <v>-6.25E-2</v>
      </c>
      <c r="AR35" s="34">
        <f>(PartyCompare_3[[#This Row],[+1 Deadly]]-INDEX(PartyCompare_0[+1 Deadly], MATCH(PartyCompare_3[[#This Row],[Mob Size]],PartyCompare_3[Mob Size],0)))/INDEX(PartyCompare_0[+1 Deadly], MATCH(PartyCompare_3[[#This Row],[Mob Size]],PartyCompare_3[Mob Size],0))</f>
        <v>-6.2500000000000069E-2</v>
      </c>
      <c r="AS35" s="48">
        <f>AVERAGE(PartyCompare_3[[#This Row],[+1 Easy Deviation]:[+1 Deadly Deviation]])</f>
        <v>-6.2500000000000056E-2</v>
      </c>
      <c r="AT35" s="36">
        <f>IF(ISNUMBER(PartyCompare_3[[#This Row],[Level]]), PartyCompare_3[[#This Row],[Level]]+2, PartyCompare_3[[#This Row],[Level]])</f>
        <v>0</v>
      </c>
      <c r="AU35" s="36">
        <f>INDEX(Encounter_Diff[Easy], MATCH(PartyCompare_3[[#This Row],[+2 Level]],Encounter_Diff[Player Level],0))</f>
        <v>0</v>
      </c>
      <c r="AV35" s="36">
        <f>INDEX(Encounter_Diff[Medium], MATCH(PartyCompare_3[[#This Row],[+2 Level]],Encounter_Diff[Player Level],0))</f>
        <v>0</v>
      </c>
      <c r="AW35" s="36">
        <f>INDEX(Encounter_Diff[Hard], MATCH(PartyCompare_3[[#This Row],[+2 Level]],Encounter_Diff[Player Level],0))</f>
        <v>0</v>
      </c>
      <c r="AX35" s="36">
        <f>INDEX(Encounter_Diff[Deadly], MATCH(PartyCompare_3[[#This Row],[+2 Level]],Encounter_Diff[Player Level],0))</f>
        <v>0</v>
      </c>
      <c r="AY35" s="63">
        <f>SUM(PartyCompare_3[+2 (Easy)])/INDEX(Encounter_Mod[[Small]:[Large]], MATCH(PartyCompare_3[[#This Row],[Mob Size]], Encounter_Mod[Type], 0), MATCH(PartyCompare_3[[#This Row],[Party Size]],Encounter_Mod[[#Headers],[Small]:[Large]],0))</f>
        <v>125</v>
      </c>
      <c r="AZ35" s="38">
        <f>SUM(PartyCompare_3[+2 (Medium)])/INDEX(Encounter_Mod[[Small]:[Large]], MATCH(PartyCompare_3[[#This Row],[Mob Size]], Encounter_Mod[Type], 0), MATCH(PartyCompare_3[[#This Row],[Party Size]],Encounter_Mod[[#Headers],[Small]:[Large]],0))</f>
        <v>250</v>
      </c>
      <c r="BA35" s="38">
        <f>SUM(PartyCompare_3[+2 (Hard)])/INDEX(Encounter_Mod[[Small]:[Large]], MATCH(PartyCompare_3[[#This Row],[Mob Size]], Encounter_Mod[Type], 0), MATCH(PartyCompare_3[[#This Row],[Party Size]],Encounter_Mod[[#Headers],[Small]:[Large]],0))</f>
        <v>375</v>
      </c>
      <c r="BB35" s="38">
        <f>SUM(PartyCompare_3[+2 (Deadly)])/INDEX(Encounter_Mod[[Small]:[Large]], MATCH(PartyCompare_3[[#This Row],[Mob Size]], Encounter_Mod[Type], 0), MATCH(PartyCompare_3[[#This Row],[Party Size]],Encounter_Mod[[#Headers],[Small]:[Large]],0))</f>
        <v>550</v>
      </c>
      <c r="BC35" s="46">
        <f>(PartyCompare_3[[#This Row],[+2 Easy]]-INDEX(PartyCompare_0[+2 Easy], MATCH(PartyCompare_3[[#This Row],[Mob Size]],PartyCompare_3[Mob Size],0)))/INDEX(PartyCompare_0[+2 Easy], MATCH(PartyCompare_3[[#This Row],[Mob Size]],PartyCompare_3[Mob Size],0))</f>
        <v>0.25</v>
      </c>
      <c r="BD35" s="39">
        <f>(PartyCompare_3[[#This Row],[+2 Medium]]-INDEX(PartyCompare_0[+2 Medium], MATCH(PartyCompare_3[[#This Row],[Mob Size]],PartyCompare_3[Mob Size],0)))/INDEX(PartyCompare_0[+2 Medium], MATCH(PartyCompare_3[[#This Row],[Mob Size]],PartyCompare_3[Mob Size],0))</f>
        <v>0.25</v>
      </c>
      <c r="BE35" s="39">
        <f>(PartyCompare_3[[#This Row],[+2 Hard]]-INDEX(PartyCompare_0[+2 Hard], MATCH(PartyCompare_3[[#This Row],[Mob Size]],PartyCompare_3[Mob Size],0)))/INDEX(PartyCompare_0[+2 Hard], MATCH(PartyCompare_3[[#This Row],[Mob Size]],PartyCompare_3[Mob Size],0))</f>
        <v>0.25</v>
      </c>
      <c r="BF35" s="34">
        <f>(PartyCompare_3[[#This Row],[+2 Deadly]]-INDEX(PartyCompare_0[+2 Deadly], MATCH(PartyCompare_3[[#This Row],[Mob Size]],PartyCompare_3[Mob Size],0)))/INDEX(PartyCompare_0[+2 Deadly], MATCH(PartyCompare_3[[#This Row],[Mob Size]],PartyCompare_3[Mob Size],0))</f>
        <v>3.1249999999999927E-2</v>
      </c>
      <c r="BG35" s="48">
        <f>AVERAGE(PartyCompare_3[[#This Row],[+2 Easy Deviation]:[+2 Deadly Deviation]])</f>
        <v>0.19531249999999997</v>
      </c>
      <c r="BH35" s="36">
        <f>IF(ISNUMBER(PartyCompare_3[[#This Row],[Level]]), PartyCompare_3[[#This Row],[Level]]+3, PartyCompare_3[[#This Row],[Level]])</f>
        <v>0</v>
      </c>
      <c r="BI35" s="36">
        <f>INDEX(Encounter_Diff[Easy], MATCH(PartyCompare_3[[#This Row],[+3 Level]],Encounter_Diff[Player Level],0))</f>
        <v>0</v>
      </c>
      <c r="BJ35" s="36">
        <f>INDEX(Encounter_Diff[Medium], MATCH(PartyCompare_3[[#This Row],[+3 Level]],Encounter_Diff[Player Level],0))</f>
        <v>0</v>
      </c>
      <c r="BK35" s="36">
        <f>INDEX(Encounter_Diff[Hard], MATCH(PartyCompare_3[[#This Row],[+3 Level]],Encounter_Diff[Player Level],0))</f>
        <v>0</v>
      </c>
      <c r="BL35" s="36">
        <f>INDEX(Encounter_Diff[Deadly], MATCH(PartyCompare_3[[#This Row],[+3 Level]],Encounter_Diff[Player Level],0))</f>
        <v>0</v>
      </c>
      <c r="BM35" s="63">
        <f>SUM(PartyCompare_3[+3 (Easy)])/INDEX(Encounter_Mod[[Small]:[Large]], MATCH(PartyCompare_3[[#This Row],[Mob Size]], Encounter_Mod[Type], 0), MATCH(PartyCompare_3[[#This Row],[Party Size]],Encounter_Mod[[#Headers],[Small]:[Large]],0))</f>
        <v>150</v>
      </c>
      <c r="BN35" s="38">
        <f>SUM(PartyCompare_3[+3 (Medium)])/INDEX(Encounter_Mod[[Small]:[Large]], MATCH(PartyCompare_3[[#This Row],[Mob Size]], Encounter_Mod[Type], 0), MATCH(PartyCompare_3[[#This Row],[Party Size]],Encounter_Mod[[#Headers],[Small]:[Large]],0))</f>
        <v>300</v>
      </c>
      <c r="BO35" s="38">
        <f>SUM(PartyCompare_3[+3 (Hard)])/INDEX(Encounter_Mod[[Small]:[Large]], MATCH(PartyCompare_3[[#This Row],[Mob Size]], Encounter_Mod[Type], 0), MATCH(PartyCompare_3[[#This Row],[Party Size]],Encounter_Mod[[#Headers],[Small]:[Large]],0))</f>
        <v>450</v>
      </c>
      <c r="BP35" s="38">
        <f>SUM(PartyCompare_3[+3 (Deadly)])/INDEX(Encounter_Mod[[Small]:[Large]], MATCH(PartyCompare_3[[#This Row],[Mob Size]], Encounter_Mod[Type], 0), MATCH(PartyCompare_3[[#This Row],[Party Size]],Encounter_Mod[[#Headers],[Small]:[Large]],0))</f>
        <v>700</v>
      </c>
      <c r="BQ35" s="46">
        <f>(PartyCompare_3[[#This Row],[+3 Easy]]-INDEX(PartyCompare_0[+3 Easy], MATCH(PartyCompare_3[[#This Row],[Mob Size]],PartyCompare_3[Mob Size],0)))/INDEX(PartyCompare_0[+3 Easy], MATCH(PartyCompare_3[[#This Row],[Mob Size]],PartyCompare_3[Mob Size],0))</f>
        <v>-9.999999999999995E-2</v>
      </c>
      <c r="BR35" s="39">
        <f>(PartyCompare_3[[#This Row],[+3 Medium]]-INDEX(PartyCompare_0[+3 Medium], MATCH(PartyCompare_3[[#This Row],[Mob Size]],PartyCompare_3[Mob Size],0)))/INDEX(PartyCompare_0[+3 Medium], MATCH(PartyCompare_3[[#This Row],[Mob Size]],PartyCompare_3[Mob Size],0))</f>
        <v>-9.999999999999995E-2</v>
      </c>
      <c r="BS35" s="39">
        <f>(PartyCompare_3[[#This Row],[+3 Hard]]-INDEX(PartyCompare_0[+3 Hard], MATCH(PartyCompare_3[[#This Row],[Mob Size]],PartyCompare_3[Mob Size],0)))/INDEX(PartyCompare_0[+3 Hard], MATCH(PartyCompare_3[[#This Row],[Mob Size]],PartyCompare_3[Mob Size],0))</f>
        <v>-0.1</v>
      </c>
      <c r="BT35" s="34">
        <f>(PartyCompare_3[[#This Row],[+3 Deadly]]-INDEX(PartyCompare_0[+3 Deadly], MATCH(PartyCompare_3[[#This Row],[Mob Size]],PartyCompare_3[Mob Size],0)))/INDEX(PartyCompare_0[+3 Deadly], MATCH(PartyCompare_3[[#This Row],[Mob Size]],PartyCompare_3[Mob Size],0))</f>
        <v>5.0000000000000058E-2</v>
      </c>
      <c r="BU35" s="48">
        <f>AVERAGE(PartyCompare_3[[#This Row],[+3 Easy Deviation]:[+3 Deadly Deviation]])</f>
        <v>-6.2499999999999972E-2</v>
      </c>
      <c r="BV35" s="36">
        <f>IF(ISNUMBER(PartyCompare_3[[#This Row],[Level]]), PartyCompare_3[[#This Row],[Level]]+4, PartyCompare_3[[#This Row],[Level]])</f>
        <v>0</v>
      </c>
      <c r="BW35" s="36">
        <f>INDEX(Encounter_Diff[Easy], MATCH(PartyCompare_3[[#This Row],[+4 Level]],Encounter_Diff[Player Level],0))</f>
        <v>0</v>
      </c>
      <c r="BX35" s="36">
        <f>INDEX(Encounter_Diff[Medium], MATCH(PartyCompare_3[[#This Row],[+4 Level]],Encounter_Diff[Player Level],0))</f>
        <v>0</v>
      </c>
      <c r="BY35" s="36">
        <f>INDEX(Encounter_Diff[Hard], MATCH(PartyCompare_3[[#This Row],[+4 Level]],Encounter_Diff[Player Level],0))</f>
        <v>0</v>
      </c>
      <c r="BZ35" s="36">
        <f>INDEX(Encounter_Diff[Deadly], MATCH(PartyCompare_3[[#This Row],[+4 Level]],Encounter_Diff[Player Level],0))</f>
        <v>0</v>
      </c>
      <c r="CA35" s="63">
        <f>SUM(PartyCompare_3[+4 (Easy)])/INDEX(Encounter_Mod[[Small]:[Large]], MATCH(PartyCompare_3[[#This Row],[Mob Size]], Encounter_Mod[Type], 0), MATCH(PartyCompare_3[[#This Row],[Party Size]],Encounter_Mod[[#Headers],[Small]:[Large]],0))</f>
        <v>175</v>
      </c>
      <c r="CB35" s="38">
        <f>SUM(PartyCompare_3[+4 (Medium)])/INDEX(Encounter_Mod[[Small]:[Large]], MATCH(PartyCompare_3[[#This Row],[Mob Size]], Encounter_Mod[Type], 0), MATCH(PartyCompare_3[[#This Row],[Party Size]],Encounter_Mod[[#Headers],[Small]:[Large]],0))</f>
        <v>375</v>
      </c>
      <c r="CC35" s="38">
        <f>SUM(PartyCompare_3[+4 (Hard)])/INDEX(Encounter_Mod[[Small]:[Large]], MATCH(PartyCompare_3[[#This Row],[Mob Size]], Encounter_Mod[Type], 0), MATCH(PartyCompare_3[[#This Row],[Party Size]],Encounter_Mod[[#Headers],[Small]:[Large]],0))</f>
        <v>550</v>
      </c>
      <c r="CD35" s="38">
        <f>SUM(PartyCompare_3[+4 (Deadly)])/INDEX(Encounter_Mod[[Small]:[Large]], MATCH(PartyCompare_3[[#This Row],[Mob Size]], Encounter_Mod[Type], 0), MATCH(PartyCompare_3[[#This Row],[Party Size]],Encounter_Mod[[#Headers],[Small]:[Large]],0))</f>
        <v>850</v>
      </c>
      <c r="CE35" s="46">
        <f>(PartyCompare_3[[#This Row],[+4 Easy]]-INDEX(PartyCompare_0[+4 Easy], MATCH(PartyCompare_3[[#This Row],[Mob Size]],PartyCompare_3[Mob Size],0)))/INDEX(PartyCompare_0[+4 Easy], MATCH(PartyCompare_3[[#This Row],[Mob Size]],PartyCompare_3[Mob Size],0))</f>
        <v>-0.47499999999999998</v>
      </c>
      <c r="CF35" s="39">
        <f>(PartyCompare_3[[#This Row],[+4 Medium]]-INDEX(PartyCompare_0[+4 Medium], MATCH(PartyCompare_3[[#This Row],[Mob Size]],PartyCompare_3[Mob Size],0)))/INDEX(PartyCompare_0[+4 Medium], MATCH(PartyCompare_3[[#This Row],[Mob Size]],PartyCompare_3[Mob Size],0))</f>
        <v>-0.43749999999999994</v>
      </c>
      <c r="CG35" s="39">
        <f>(PartyCompare_3[[#This Row],[+4 Hard]]-INDEX(PartyCompare_0[+4 Hard], MATCH(PartyCompare_3[[#This Row],[Mob Size]],PartyCompare_3[Mob Size],0)))/INDEX(PartyCompare_0[+4 Hard], MATCH(PartyCompare_3[[#This Row],[Mob Size]],PartyCompare_3[Mob Size],0))</f>
        <v>-0.45</v>
      </c>
      <c r="CH35" s="34">
        <f>(PartyCompare_3[[#This Row],[+4 Deadly]]-INDEX(PartyCompare_0[+4 Deadly], MATCH(PartyCompare_3[[#This Row],[Mob Size]],PartyCompare_3[Mob Size],0)))/INDEX(PartyCompare_0[+4 Deadly], MATCH(PartyCompare_3[[#This Row],[Mob Size]],PartyCompare_3[Mob Size],0))</f>
        <v>-0.42045454545454547</v>
      </c>
      <c r="CI35" s="48">
        <f>AVERAGE(PartyCompare_3[[#This Row],[+4 Easy Deviation]:[+4 Deadly Deviation]])</f>
        <v>-0.44573863636363631</v>
      </c>
    </row>
    <row r="36" spans="2:87" x14ac:dyDescent="0.2">
      <c r="B36"/>
      <c r="C36"/>
      <c r="D36"/>
      <c r="E36"/>
      <c r="F36"/>
      <c r="G36"/>
      <c r="H36"/>
      <c r="I36"/>
      <c r="J36"/>
      <c r="L36" s="233"/>
      <c r="M36" s="91"/>
      <c r="N36" s="90"/>
      <c r="O36" s="32">
        <f>INDEX(Encounter_Diff[Easy], MATCH(PartyCompare_3[[#This Row],[Level]],Encounter_Diff[Player Level],0))</f>
        <v>0</v>
      </c>
      <c r="P36" s="32">
        <f>INDEX(Encounter_Diff[Medium], MATCH(PartyCompare_3[[#This Row],[Level]],Encounter_Diff[Player Level],0))</f>
        <v>0</v>
      </c>
      <c r="Q36" s="32">
        <f>INDEX(Encounter_Diff[Hard], MATCH(PartyCompare_3[[#This Row],[Level]],Encounter_Diff[Player Level],0))</f>
        <v>0</v>
      </c>
      <c r="R36" s="30">
        <f>INDEX(Encounter_Diff[Deadly], MATCH(PartyCompare_3[[#This Row],[Level]],Encounter_Diff[Player Level],0))</f>
        <v>0</v>
      </c>
      <c r="S36" s="97" t="str">
        <f t="shared" si="3"/>
        <v>3, 3</v>
      </c>
      <c r="T36" s="32" t="str">
        <f>IF(COUNT(PartyCompare_3[Level])&lt;=2,"Small", IF(COUNT(PartyCompare_3[Level])&lt;=5,"Med", IF(COUNT(PartyCompare_3[Level])&lt;=8, "Large", "TOO BIG!")))</f>
        <v>Small</v>
      </c>
      <c r="U36" s="73" t="s">
        <v>112</v>
      </c>
      <c r="V36" s="77" t="str">
        <f>INDEX(Encounter_Mod[Count], MATCH(PartyCompare_3[[#This Row],[Mob Size]], Encounter_Mod[Type],0))</f>
        <v>15+</v>
      </c>
      <c r="W36" s="81">
        <f>SUM(PartyCompare_3[(Easy)])/INDEX(Encounter_Mod[[Small]:[Large]], MATCH(PartyCompare_3[[#This Row],[Mob Size]], Encounter_Mod[Type], 0), MATCH(PartyCompare_3[[#This Row],[Party Size]],Encounter_Mod[[#Headers],[Small]:[Large]],0))</f>
        <v>30</v>
      </c>
      <c r="X36" s="42">
        <f>SUM(PartyCompare_3[(Medium)])/INDEX(Encounter_Mod[[Small]:[Large]], MATCH(PartyCompare_3[[#This Row],[Mob Size]], Encounter_Mod[Type], 0), MATCH(PartyCompare_3[[#This Row],[Party Size]],Encounter_Mod[[#Headers],[Small]:[Large]],0))</f>
        <v>60</v>
      </c>
      <c r="Y36" s="42">
        <f>SUM(PartyCompare_3[(Hard)])/INDEX(Encounter_Mod[[Small]:[Large]], MATCH(PartyCompare_3[[#This Row],[Mob Size]], Encounter_Mod[Type], 0), MATCH(PartyCompare_3[[#This Row],[Party Size]],Encounter_Mod[[#Headers],[Small]:[Large]],0))</f>
        <v>90</v>
      </c>
      <c r="Z36" s="43">
        <f>SUM(PartyCompare_3[(Deadly)])/INDEX(Encounter_Mod[[Small]:[Large]], MATCH(PartyCompare_3[[#This Row],[Mob Size]], Encounter_Mod[Type], 0), MATCH(PartyCompare_3[[#This Row],[Party Size]],Encounter_Mod[[#Headers],[Small]:[Large]],0))</f>
        <v>160</v>
      </c>
      <c r="AA36" s="46">
        <f>(PartyCompare_3[[#This Row],[Easy]]-INDEX(PartyCompare_0[Easy], MATCH(PartyCompare_3[[#This Row],[Mob Size]],PartyCompare_0[Mob Size],0)))/INDEX(PartyCompare_0[Easy], MATCH(PartyCompare_3[[#This Row],[Mob Size]],PartyCompare_0[Mob Size],0))</f>
        <v>0.2</v>
      </c>
      <c r="AB36" s="33">
        <f>(PartyCompare_3[[#This Row],[Medium]]-INDEX(PartyCompare_0[Medium], MATCH(PartyCompare_3[[#This Row],[Mob Size]],PartyCompare_0[Mob Size],0)))/INDEX(PartyCompare_0[Medium], MATCH(PartyCompare_3[[#This Row],[Mob Size]],PartyCompare_0[Mob Size],0))</f>
        <v>0.2</v>
      </c>
      <c r="AC36" s="33">
        <f>(PartyCompare_3[[#This Row],[Hard]]-INDEX(PartyCompare_0[Hard], MATCH(PartyCompare_3[[#This Row],[Mob Size]],PartyCompare_0[Mob Size],0)))/INDEX(PartyCompare_0[Hard], MATCH(PartyCompare_3[[#This Row],[Mob Size]],PartyCompare_0[Mob Size],0))</f>
        <v>0.2</v>
      </c>
      <c r="AD36" s="34">
        <f>(PartyCompare_3[[#This Row],[Deadly]]-INDEX(PartyCompare_0[Deadly], MATCH(PartyCompare_3[[#This Row],[Mob Size]],PartyCompare_0[Mob Size],0)))/INDEX(PartyCompare_0[Deadly], MATCH(PartyCompare_3[[#This Row],[Mob Size]],PartyCompare_0[Mob Size],0))</f>
        <v>0.6</v>
      </c>
      <c r="AE36" s="48">
        <f>AVERAGE(PartyCompare_3[[#This Row],[Easy Deviation]:[Deadly Deviation]])</f>
        <v>0.30000000000000004</v>
      </c>
      <c r="AF36" s="36">
        <f>IF(ISNUMBER(PartyCompare_3[[#This Row],[Level]]), PartyCompare_3[[#This Row],[Level]]+1, PartyCompare_3[[#This Row],[Level]])</f>
        <v>0</v>
      </c>
      <c r="AG36" s="36">
        <f>INDEX(Encounter_Diff[Easy], MATCH(PartyCompare_3[[#This Row],[+1 Level]],Encounter_Diff[Player Level],0))</f>
        <v>0</v>
      </c>
      <c r="AH36" s="36">
        <f>INDEX(Encounter_Diff[Medium], MATCH(PartyCompare_3[[#This Row],[+1 Level]],Encounter_Diff[Player Level],0))</f>
        <v>0</v>
      </c>
      <c r="AI36" s="36">
        <f>INDEX(Encounter_Diff[Hard], MATCH(PartyCompare_3[[#This Row],[+1 Level]],Encounter_Diff[Player Level],0))</f>
        <v>0</v>
      </c>
      <c r="AJ36" s="36">
        <f>INDEX(Encounter_Diff[Deadly], MATCH(PartyCompare_3[[#This Row],[+1 Level]],Encounter_Diff[Player Level],0))</f>
        <v>0</v>
      </c>
      <c r="AK36" s="63">
        <f>SUM(PartyCompare_3[+1 (Easy)])/INDEX(Encounter_Mod[[Small]:[Large]], MATCH(PartyCompare_3[[#This Row],[Mob Size]], Encounter_Mod[Type], 0), MATCH(PartyCompare_3[[#This Row],[Party Size]],Encounter_Mod[[#Headers],[Small]:[Large]],0))</f>
        <v>50</v>
      </c>
      <c r="AL36" s="38">
        <f>SUM(PartyCompare_3[+1 (Medium)])/INDEX(Encounter_Mod[[Small]:[Large]], MATCH(PartyCompare_3[[#This Row],[Mob Size]], Encounter_Mod[Type], 0), MATCH(PartyCompare_3[[#This Row],[Party Size]],Encounter_Mod[[#Headers],[Small]:[Large]],0))</f>
        <v>100</v>
      </c>
      <c r="AM36" s="38">
        <f>SUM(PartyCompare_3[+1 (Hard)])/INDEX(Encounter_Mod[[Small]:[Large]], MATCH(PartyCompare_3[[#This Row],[Mob Size]], Encounter_Mod[Type], 0), MATCH(PartyCompare_3[[#This Row],[Party Size]],Encounter_Mod[[#Headers],[Small]:[Large]],0))</f>
        <v>150</v>
      </c>
      <c r="AN36" s="38">
        <f>SUM(PartyCompare_3[+1 (Deadly)])/INDEX(Encounter_Mod[[Small]:[Large]], MATCH(PartyCompare_3[[#This Row],[Mob Size]], Encounter_Mod[Type], 0), MATCH(PartyCompare_3[[#This Row],[Party Size]],Encounter_Mod[[#Headers],[Small]:[Large]],0))</f>
        <v>200</v>
      </c>
      <c r="AO36" s="46">
        <f>(PartyCompare_3[[#This Row],[+1 Easy]]-INDEX(PartyCompare_0[+1 Easy], MATCH(PartyCompare_3[[#This Row],[Mob Size]],PartyCompare_3[Mob Size],0)))/INDEX(PartyCompare_0[+1 Easy], MATCH(PartyCompare_3[[#This Row],[Mob Size]],PartyCompare_3[Mob Size],0))</f>
        <v>0</v>
      </c>
      <c r="AP36" s="39">
        <f>(PartyCompare_3[[#This Row],[+1 Medium]]-INDEX(PartyCompare_0[+1 Medium], MATCH(PartyCompare_3[[#This Row],[Mob Size]],PartyCompare_3[Mob Size],0)))/INDEX(PartyCompare_0[+1 Medium], MATCH(PartyCompare_3[[#This Row],[Mob Size]],PartyCompare_3[Mob Size],0))</f>
        <v>0</v>
      </c>
      <c r="AQ36" s="39">
        <f>(PartyCompare_3[[#This Row],[+1 Hard]]-INDEX(PartyCompare_0[+1 Hard], MATCH(PartyCompare_3[[#This Row],[Mob Size]],PartyCompare_3[Mob Size],0)))/INDEX(PartyCompare_0[+1 Hard], MATCH(PartyCompare_3[[#This Row],[Mob Size]],PartyCompare_3[Mob Size],0))</f>
        <v>0</v>
      </c>
      <c r="AR36" s="34">
        <f>(PartyCompare_3[[#This Row],[+1 Deadly]]-INDEX(PartyCompare_0[+1 Deadly], MATCH(PartyCompare_3[[#This Row],[Mob Size]],PartyCompare_3[Mob Size],0)))/INDEX(PartyCompare_0[+1 Deadly], MATCH(PartyCompare_3[[#This Row],[Mob Size]],PartyCompare_3[Mob Size],0))</f>
        <v>0</v>
      </c>
      <c r="AS36" s="48">
        <f>AVERAGE(PartyCompare_3[[#This Row],[+1 Easy Deviation]:[+1 Deadly Deviation]])</f>
        <v>0</v>
      </c>
      <c r="AT36" s="36">
        <f>IF(ISNUMBER(PartyCompare_3[[#This Row],[Level]]), PartyCompare_3[[#This Row],[Level]]+2, PartyCompare_3[[#This Row],[Level]])</f>
        <v>0</v>
      </c>
      <c r="AU36" s="36">
        <f>INDEX(Encounter_Diff[Easy], MATCH(PartyCompare_3[[#This Row],[+2 Level]],Encounter_Diff[Player Level],0))</f>
        <v>0</v>
      </c>
      <c r="AV36" s="36">
        <f>INDEX(Encounter_Diff[Medium], MATCH(PartyCompare_3[[#This Row],[+2 Level]],Encounter_Diff[Player Level],0))</f>
        <v>0</v>
      </c>
      <c r="AW36" s="36">
        <f>INDEX(Encounter_Diff[Hard], MATCH(PartyCompare_3[[#This Row],[+2 Level]],Encounter_Diff[Player Level],0))</f>
        <v>0</v>
      </c>
      <c r="AX36" s="36">
        <f>INDEX(Encounter_Diff[Deadly], MATCH(PartyCompare_3[[#This Row],[+2 Level]],Encounter_Diff[Player Level],0))</f>
        <v>0</v>
      </c>
      <c r="AY36" s="63">
        <f>SUM(PartyCompare_3[+2 (Easy)])/INDEX(Encounter_Mod[[Small]:[Large]], MATCH(PartyCompare_3[[#This Row],[Mob Size]], Encounter_Mod[Type], 0), MATCH(PartyCompare_3[[#This Row],[Party Size]],Encounter_Mod[[#Headers],[Small]:[Large]],0))</f>
        <v>100</v>
      </c>
      <c r="AZ36" s="38">
        <f>SUM(PartyCompare_3[+2 (Medium)])/INDEX(Encounter_Mod[[Small]:[Large]], MATCH(PartyCompare_3[[#This Row],[Mob Size]], Encounter_Mod[Type], 0), MATCH(PartyCompare_3[[#This Row],[Party Size]],Encounter_Mod[[#Headers],[Small]:[Large]],0))</f>
        <v>200</v>
      </c>
      <c r="BA36" s="38">
        <f>SUM(PartyCompare_3[+2 (Hard)])/INDEX(Encounter_Mod[[Small]:[Large]], MATCH(PartyCompare_3[[#This Row],[Mob Size]], Encounter_Mod[Type], 0), MATCH(PartyCompare_3[[#This Row],[Party Size]],Encounter_Mod[[#Headers],[Small]:[Large]],0))</f>
        <v>300</v>
      </c>
      <c r="BB36" s="38">
        <f>SUM(PartyCompare_3[+2 (Deadly)])/INDEX(Encounter_Mod[[Small]:[Large]], MATCH(PartyCompare_3[[#This Row],[Mob Size]], Encounter_Mod[Type], 0), MATCH(PartyCompare_3[[#This Row],[Party Size]],Encounter_Mod[[#Headers],[Small]:[Large]],0))</f>
        <v>440</v>
      </c>
      <c r="BC36" s="46">
        <f>(PartyCompare_3[[#This Row],[+2 Easy]]-INDEX(PartyCompare_0[+2 Easy], MATCH(PartyCompare_3[[#This Row],[Mob Size]],PartyCompare_3[Mob Size],0)))/INDEX(PartyCompare_0[+2 Easy], MATCH(PartyCompare_3[[#This Row],[Mob Size]],PartyCompare_3[Mob Size],0))</f>
        <v>0.33333333333333331</v>
      </c>
      <c r="BD36" s="39">
        <f>(PartyCompare_3[[#This Row],[+2 Medium]]-INDEX(PartyCompare_0[+2 Medium], MATCH(PartyCompare_3[[#This Row],[Mob Size]],PartyCompare_3[Mob Size],0)))/INDEX(PartyCompare_0[+2 Medium], MATCH(PartyCompare_3[[#This Row],[Mob Size]],PartyCompare_3[Mob Size],0))</f>
        <v>0.33333333333333331</v>
      </c>
      <c r="BE36" s="39">
        <f>(PartyCompare_3[[#This Row],[+2 Hard]]-INDEX(PartyCompare_0[+2 Hard], MATCH(PartyCompare_3[[#This Row],[Mob Size]],PartyCompare_3[Mob Size],0)))/INDEX(PartyCompare_0[+2 Hard], MATCH(PartyCompare_3[[#This Row],[Mob Size]],PartyCompare_3[Mob Size],0))</f>
        <v>0.33333333333333331</v>
      </c>
      <c r="BF36" s="34">
        <f>(PartyCompare_3[[#This Row],[+2 Deadly]]-INDEX(PartyCompare_0[+2 Deadly], MATCH(PartyCompare_3[[#This Row],[Mob Size]],PartyCompare_3[Mob Size],0)))/INDEX(PartyCompare_0[+2 Deadly], MATCH(PartyCompare_3[[#This Row],[Mob Size]],PartyCompare_3[Mob Size],0))</f>
        <v>0.1</v>
      </c>
      <c r="BG36" s="48">
        <f>AVERAGE(PartyCompare_3[[#This Row],[+2 Easy Deviation]:[+2 Deadly Deviation]])</f>
        <v>0.27500000000000002</v>
      </c>
      <c r="BH36" s="36">
        <f>IF(ISNUMBER(PartyCompare_3[[#This Row],[Level]]), PartyCompare_3[[#This Row],[Level]]+3, PartyCompare_3[[#This Row],[Level]])</f>
        <v>0</v>
      </c>
      <c r="BI36" s="36">
        <f>INDEX(Encounter_Diff[Easy], MATCH(PartyCompare_3[[#This Row],[+3 Level]],Encounter_Diff[Player Level],0))</f>
        <v>0</v>
      </c>
      <c r="BJ36" s="36">
        <f>INDEX(Encounter_Diff[Medium], MATCH(PartyCompare_3[[#This Row],[+3 Level]],Encounter_Diff[Player Level],0))</f>
        <v>0</v>
      </c>
      <c r="BK36" s="36">
        <f>INDEX(Encounter_Diff[Hard], MATCH(PartyCompare_3[[#This Row],[+3 Level]],Encounter_Diff[Player Level],0))</f>
        <v>0</v>
      </c>
      <c r="BL36" s="36">
        <f>INDEX(Encounter_Diff[Deadly], MATCH(PartyCompare_3[[#This Row],[+3 Level]],Encounter_Diff[Player Level],0))</f>
        <v>0</v>
      </c>
      <c r="BM36" s="63">
        <f>SUM(PartyCompare_3[+3 (Easy)])/INDEX(Encounter_Mod[[Small]:[Large]], MATCH(PartyCompare_3[[#This Row],[Mob Size]], Encounter_Mod[Type], 0), MATCH(PartyCompare_3[[#This Row],[Party Size]],Encounter_Mod[[#Headers],[Small]:[Large]],0))</f>
        <v>120</v>
      </c>
      <c r="BN36" s="38">
        <f>SUM(PartyCompare_3[+3 (Medium)])/INDEX(Encounter_Mod[[Small]:[Large]], MATCH(PartyCompare_3[[#This Row],[Mob Size]], Encounter_Mod[Type], 0), MATCH(PartyCompare_3[[#This Row],[Party Size]],Encounter_Mod[[#Headers],[Small]:[Large]],0))</f>
        <v>240</v>
      </c>
      <c r="BO36" s="38">
        <f>SUM(PartyCompare_3[+3 (Hard)])/INDEX(Encounter_Mod[[Small]:[Large]], MATCH(PartyCompare_3[[#This Row],[Mob Size]], Encounter_Mod[Type], 0), MATCH(PartyCompare_3[[#This Row],[Party Size]],Encounter_Mod[[#Headers],[Small]:[Large]],0))</f>
        <v>360</v>
      </c>
      <c r="BP36" s="38">
        <f>SUM(PartyCompare_3[+3 (Deadly)])/INDEX(Encounter_Mod[[Small]:[Large]], MATCH(PartyCompare_3[[#This Row],[Mob Size]], Encounter_Mod[Type], 0), MATCH(PartyCompare_3[[#This Row],[Party Size]],Encounter_Mod[[#Headers],[Small]:[Large]],0))</f>
        <v>560</v>
      </c>
      <c r="BQ36" s="46">
        <f>(PartyCompare_3[[#This Row],[+3 Easy]]-INDEX(PartyCompare_0[+3 Easy], MATCH(PartyCompare_3[[#This Row],[Mob Size]],PartyCompare_3[Mob Size],0)))/INDEX(PartyCompare_0[+3 Easy], MATCH(PartyCompare_3[[#This Row],[Mob Size]],PartyCompare_3[Mob Size],0))</f>
        <v>-0.04</v>
      </c>
      <c r="BR36" s="39">
        <f>(PartyCompare_3[[#This Row],[+3 Medium]]-INDEX(PartyCompare_0[+3 Medium], MATCH(PartyCompare_3[[#This Row],[Mob Size]],PartyCompare_3[Mob Size],0)))/INDEX(PartyCompare_0[+3 Medium], MATCH(PartyCompare_3[[#This Row],[Mob Size]],PartyCompare_3[Mob Size],0))</f>
        <v>-0.04</v>
      </c>
      <c r="BS36" s="39">
        <f>(PartyCompare_3[[#This Row],[+3 Hard]]-INDEX(PartyCompare_0[+3 Hard], MATCH(PartyCompare_3[[#This Row],[Mob Size]],PartyCompare_3[Mob Size],0)))/INDEX(PartyCompare_0[+3 Hard], MATCH(PartyCompare_3[[#This Row],[Mob Size]],PartyCompare_3[Mob Size],0))</f>
        <v>-0.04</v>
      </c>
      <c r="BT36" s="34">
        <f>(PartyCompare_3[[#This Row],[+3 Deadly]]-INDEX(PartyCompare_0[+3 Deadly], MATCH(PartyCompare_3[[#This Row],[Mob Size]],PartyCompare_3[Mob Size],0)))/INDEX(PartyCompare_0[+3 Deadly], MATCH(PartyCompare_3[[#This Row],[Mob Size]],PartyCompare_3[Mob Size],0))</f>
        <v>0.12</v>
      </c>
      <c r="BU36" s="48">
        <f>AVERAGE(PartyCompare_3[[#This Row],[+3 Easy Deviation]:[+3 Deadly Deviation]])</f>
        <v>0</v>
      </c>
      <c r="BV36" s="36">
        <f>IF(ISNUMBER(PartyCompare_3[[#This Row],[Level]]), PartyCompare_3[[#This Row],[Level]]+4, PartyCompare_3[[#This Row],[Level]])</f>
        <v>0</v>
      </c>
      <c r="BW36" s="36">
        <f>INDEX(Encounter_Diff[Easy], MATCH(PartyCompare_3[[#This Row],[+4 Level]],Encounter_Diff[Player Level],0))</f>
        <v>0</v>
      </c>
      <c r="BX36" s="36">
        <f>INDEX(Encounter_Diff[Medium], MATCH(PartyCompare_3[[#This Row],[+4 Level]],Encounter_Diff[Player Level],0))</f>
        <v>0</v>
      </c>
      <c r="BY36" s="36">
        <f>INDEX(Encounter_Diff[Hard], MATCH(PartyCompare_3[[#This Row],[+4 Level]],Encounter_Diff[Player Level],0))</f>
        <v>0</v>
      </c>
      <c r="BZ36" s="36">
        <f>INDEX(Encounter_Diff[Deadly], MATCH(PartyCompare_3[[#This Row],[+4 Level]],Encounter_Diff[Player Level],0))</f>
        <v>0</v>
      </c>
      <c r="CA36" s="63">
        <f>SUM(PartyCompare_3[+4 (Easy)])/INDEX(Encounter_Mod[[Small]:[Large]], MATCH(PartyCompare_3[[#This Row],[Mob Size]], Encounter_Mod[Type], 0), MATCH(PartyCompare_3[[#This Row],[Party Size]],Encounter_Mod[[#Headers],[Small]:[Large]],0))</f>
        <v>140</v>
      </c>
      <c r="CB36" s="38">
        <f>SUM(PartyCompare_3[+4 (Medium)])/INDEX(Encounter_Mod[[Small]:[Large]], MATCH(PartyCompare_3[[#This Row],[Mob Size]], Encounter_Mod[Type], 0), MATCH(PartyCompare_3[[#This Row],[Party Size]],Encounter_Mod[[#Headers],[Small]:[Large]],0))</f>
        <v>300</v>
      </c>
      <c r="CC36" s="38">
        <f>SUM(PartyCompare_3[+4 (Hard)])/INDEX(Encounter_Mod[[Small]:[Large]], MATCH(PartyCompare_3[[#This Row],[Mob Size]], Encounter_Mod[Type], 0), MATCH(PartyCompare_3[[#This Row],[Party Size]],Encounter_Mod[[#Headers],[Small]:[Large]],0))</f>
        <v>440</v>
      </c>
      <c r="CD36" s="38">
        <f>SUM(PartyCompare_3[+4 (Deadly)])/INDEX(Encounter_Mod[[Small]:[Large]], MATCH(PartyCompare_3[[#This Row],[Mob Size]], Encounter_Mod[Type], 0), MATCH(PartyCompare_3[[#This Row],[Party Size]],Encounter_Mod[[#Headers],[Small]:[Large]],0))</f>
        <v>680</v>
      </c>
      <c r="CE36" s="46">
        <f>(PartyCompare_3[[#This Row],[+4 Easy]]-INDEX(PartyCompare_0[+4 Easy], MATCH(PartyCompare_3[[#This Row],[Mob Size]],PartyCompare_3[Mob Size],0)))/INDEX(PartyCompare_0[+4 Easy], MATCH(PartyCompare_3[[#This Row],[Mob Size]],PartyCompare_3[Mob Size],0))</f>
        <v>-0.44</v>
      </c>
      <c r="CF36" s="39">
        <f>(PartyCompare_3[[#This Row],[+4 Medium]]-INDEX(PartyCompare_0[+4 Medium], MATCH(PartyCompare_3[[#This Row],[Mob Size]],PartyCompare_3[Mob Size],0)))/INDEX(PartyCompare_0[+4 Medium], MATCH(PartyCompare_3[[#This Row],[Mob Size]],PartyCompare_3[Mob Size],0))</f>
        <v>-0.4</v>
      </c>
      <c r="CG36" s="39">
        <f>(PartyCompare_3[[#This Row],[+4 Hard]]-INDEX(PartyCompare_0[+4 Hard], MATCH(PartyCompare_3[[#This Row],[Mob Size]],PartyCompare_3[Mob Size],0)))/INDEX(PartyCompare_0[+4 Hard], MATCH(PartyCompare_3[[#This Row],[Mob Size]],PartyCompare_3[Mob Size],0))</f>
        <v>-0.41333333333333333</v>
      </c>
      <c r="CH36" s="34">
        <f>(PartyCompare_3[[#This Row],[+4 Deadly]]-INDEX(PartyCompare_0[+4 Deadly], MATCH(PartyCompare_3[[#This Row],[Mob Size]],PartyCompare_3[Mob Size],0)))/INDEX(PartyCompare_0[+4 Deadly], MATCH(PartyCompare_3[[#This Row],[Mob Size]],PartyCompare_3[Mob Size],0))</f>
        <v>-0.38181818181818183</v>
      </c>
      <c r="CI36" s="48">
        <f>AVERAGE(PartyCompare_3[[#This Row],[+4 Easy Deviation]:[+4 Deadly Deviation]])</f>
        <v>-0.40878787878787881</v>
      </c>
    </row>
    <row r="37" spans="2:87" x14ac:dyDescent="0.2">
      <c r="B37"/>
      <c r="C37"/>
      <c r="D37"/>
      <c r="E37"/>
      <c r="F37"/>
      <c r="G37"/>
      <c r="H37"/>
      <c r="I37"/>
      <c r="J37"/>
      <c r="L37" s="233"/>
      <c r="M37" s="91"/>
      <c r="N37" s="90"/>
      <c r="O37" s="32">
        <f>INDEX(Encounter_Diff[Easy], MATCH(PartyCompare_3[[#This Row],[Level]],Encounter_Diff[Player Level],0))</f>
        <v>0</v>
      </c>
      <c r="P37" s="32">
        <f>INDEX(Encounter_Diff[Medium], MATCH(PartyCompare_3[[#This Row],[Level]],Encounter_Diff[Player Level],0))</f>
        <v>0</v>
      </c>
      <c r="Q37" s="32">
        <f>INDEX(Encounter_Diff[Hard], MATCH(PartyCompare_3[[#This Row],[Level]],Encounter_Diff[Player Level],0))</f>
        <v>0</v>
      </c>
      <c r="R37" s="30">
        <f>INDEX(Encounter_Diff[Deadly], MATCH(PartyCompare_3[[#This Row],[Level]],Encounter_Diff[Player Level],0))</f>
        <v>0</v>
      </c>
      <c r="S37" s="97" t="str">
        <f t="shared" si="3"/>
        <v>3, 3</v>
      </c>
      <c r="T37" s="45" t="s">
        <v>139</v>
      </c>
      <c r="U37" s="74" t="s">
        <v>139</v>
      </c>
      <c r="V37" s="78" t="s">
        <v>139</v>
      </c>
      <c r="W37" s="82" t="s">
        <v>139</v>
      </c>
      <c r="X37" s="45" t="s">
        <v>139</v>
      </c>
      <c r="Y37" s="45" t="s">
        <v>139</v>
      </c>
      <c r="Z37" s="41" t="s">
        <v>139</v>
      </c>
      <c r="AA37" s="44" t="s">
        <v>139</v>
      </c>
      <c r="AB37" s="45" t="s">
        <v>139</v>
      </c>
      <c r="AC37" s="45" t="s">
        <v>139</v>
      </c>
      <c r="AD37" s="41" t="s">
        <v>139</v>
      </c>
      <c r="AE37" s="49" t="s">
        <v>139</v>
      </c>
      <c r="AF37" s="36">
        <f>IF(ISNUMBER(PartyCompare_3[[#This Row],[Level]]), PartyCompare_3[[#This Row],[Level]]+1, PartyCompare_3[[#This Row],[Level]])</f>
        <v>0</v>
      </c>
      <c r="AG37" s="36">
        <f>INDEX(Encounter_Diff[Easy], MATCH(PartyCompare_3[[#This Row],[+1 Level]],Encounter_Diff[Player Level],0))</f>
        <v>0</v>
      </c>
      <c r="AH37" s="36">
        <f>INDEX(Encounter_Diff[Medium], MATCH(PartyCompare_3[[#This Row],[+1 Level]],Encounter_Diff[Player Level],0))</f>
        <v>0</v>
      </c>
      <c r="AI37" s="36">
        <f>INDEX(Encounter_Diff[Hard], MATCH(PartyCompare_3[[#This Row],[+1 Level]],Encounter_Diff[Player Level],0))</f>
        <v>0</v>
      </c>
      <c r="AJ37" s="36">
        <f>INDEX(Encounter_Diff[Deadly], MATCH(PartyCompare_3[[#This Row],[+1 Level]],Encounter_Diff[Player Level],0))</f>
        <v>0</v>
      </c>
      <c r="AK37" s="44" t="s">
        <v>139</v>
      </c>
      <c r="AL37" s="37" t="s">
        <v>139</v>
      </c>
      <c r="AM37" s="37" t="s">
        <v>139</v>
      </c>
      <c r="AN37" s="45" t="s">
        <v>139</v>
      </c>
      <c r="AO37" s="44" t="s">
        <v>139</v>
      </c>
      <c r="AP37" s="37" t="s">
        <v>139</v>
      </c>
      <c r="AQ37" s="37" t="s">
        <v>139</v>
      </c>
      <c r="AR37" s="41" t="s">
        <v>139</v>
      </c>
      <c r="AS37" s="49" t="s">
        <v>139</v>
      </c>
      <c r="AT37" s="36">
        <f>IF(ISNUMBER(PartyCompare_3[[#This Row],[Level]]), PartyCompare_3[[#This Row],[Level]]+2, PartyCompare_3[[#This Row],[Level]])</f>
        <v>0</v>
      </c>
      <c r="AU37" s="36">
        <f>INDEX(Encounter_Diff[Easy], MATCH(PartyCompare_3[[#This Row],[+2 Level]],Encounter_Diff[Player Level],0))</f>
        <v>0</v>
      </c>
      <c r="AV37" s="36">
        <f>INDEX(Encounter_Diff[Medium], MATCH(PartyCompare_3[[#This Row],[+2 Level]],Encounter_Diff[Player Level],0))</f>
        <v>0</v>
      </c>
      <c r="AW37" s="36">
        <f>INDEX(Encounter_Diff[Hard], MATCH(PartyCompare_3[[#This Row],[+2 Level]],Encounter_Diff[Player Level],0))</f>
        <v>0</v>
      </c>
      <c r="AX37" s="36">
        <f>INDEX(Encounter_Diff[Deadly], MATCH(PartyCompare_3[[#This Row],[+2 Level]],Encounter_Diff[Player Level],0))</f>
        <v>0</v>
      </c>
      <c r="AY37" s="44" t="s">
        <v>139</v>
      </c>
      <c r="AZ37" s="37" t="s">
        <v>139</v>
      </c>
      <c r="BA37" s="37" t="s">
        <v>139</v>
      </c>
      <c r="BB37" s="45" t="s">
        <v>139</v>
      </c>
      <c r="BC37" s="44" t="s">
        <v>139</v>
      </c>
      <c r="BD37" s="37" t="s">
        <v>139</v>
      </c>
      <c r="BE37" s="37" t="s">
        <v>139</v>
      </c>
      <c r="BF37" s="41" t="s">
        <v>139</v>
      </c>
      <c r="BG37" s="49" t="s">
        <v>139</v>
      </c>
      <c r="BH37" s="36">
        <f>IF(ISNUMBER(PartyCompare_3[[#This Row],[Level]]), PartyCompare_3[[#This Row],[Level]]+3, PartyCompare_3[[#This Row],[Level]])</f>
        <v>0</v>
      </c>
      <c r="BI37" s="36">
        <f>INDEX(Encounter_Diff[Easy], MATCH(PartyCompare_3[[#This Row],[+3 Level]],Encounter_Diff[Player Level],0))</f>
        <v>0</v>
      </c>
      <c r="BJ37" s="36">
        <f>INDEX(Encounter_Diff[Medium], MATCH(PartyCompare_3[[#This Row],[+3 Level]],Encounter_Diff[Player Level],0))</f>
        <v>0</v>
      </c>
      <c r="BK37" s="36">
        <f>INDEX(Encounter_Diff[Hard], MATCH(PartyCompare_3[[#This Row],[+3 Level]],Encounter_Diff[Player Level],0))</f>
        <v>0</v>
      </c>
      <c r="BL37" s="36">
        <f>INDEX(Encounter_Diff[Deadly], MATCH(PartyCompare_3[[#This Row],[+3 Level]],Encounter_Diff[Player Level],0))</f>
        <v>0</v>
      </c>
      <c r="BM37" s="44" t="s">
        <v>139</v>
      </c>
      <c r="BN37" s="37" t="s">
        <v>139</v>
      </c>
      <c r="BO37" s="37" t="s">
        <v>139</v>
      </c>
      <c r="BP37" s="45" t="s">
        <v>139</v>
      </c>
      <c r="BQ37" s="44" t="s">
        <v>139</v>
      </c>
      <c r="BR37" s="37" t="s">
        <v>139</v>
      </c>
      <c r="BS37" s="37" t="s">
        <v>139</v>
      </c>
      <c r="BT37" s="41" t="s">
        <v>139</v>
      </c>
      <c r="BU37" s="49" t="s">
        <v>139</v>
      </c>
      <c r="BV37" s="36">
        <f>IF(ISNUMBER(PartyCompare_3[[#This Row],[Level]]), PartyCompare_3[[#This Row],[Level]]+4, PartyCompare_3[[#This Row],[Level]])</f>
        <v>0</v>
      </c>
      <c r="BW37" s="36">
        <f>INDEX(Encounter_Diff[Easy], MATCH(PartyCompare_3[[#This Row],[+4 Level]],Encounter_Diff[Player Level],0))</f>
        <v>0</v>
      </c>
      <c r="BX37" s="36">
        <f>INDEX(Encounter_Diff[Medium], MATCH(PartyCompare_3[[#This Row],[+4 Level]],Encounter_Diff[Player Level],0))</f>
        <v>0</v>
      </c>
      <c r="BY37" s="36">
        <f>INDEX(Encounter_Diff[Hard], MATCH(PartyCompare_3[[#This Row],[+4 Level]],Encounter_Diff[Player Level],0))</f>
        <v>0</v>
      </c>
      <c r="BZ37" s="36">
        <f>INDEX(Encounter_Diff[Deadly], MATCH(PartyCompare_3[[#This Row],[+4 Level]],Encounter_Diff[Player Level],0))</f>
        <v>0</v>
      </c>
      <c r="CA37" s="44" t="s">
        <v>139</v>
      </c>
      <c r="CB37" s="37" t="s">
        <v>139</v>
      </c>
      <c r="CC37" s="37" t="s">
        <v>139</v>
      </c>
      <c r="CD37" s="45" t="s">
        <v>139</v>
      </c>
      <c r="CE37" s="44" t="s">
        <v>139</v>
      </c>
      <c r="CF37" s="37" t="s">
        <v>139</v>
      </c>
      <c r="CG37" s="37" t="s">
        <v>139</v>
      </c>
      <c r="CH37" s="41" t="s">
        <v>139</v>
      </c>
      <c r="CI37" s="49" t="s">
        <v>139</v>
      </c>
    </row>
    <row r="38" spans="2:87" ht="15.75" thickBot="1" x14ac:dyDescent="0.25">
      <c r="B38"/>
      <c r="C38"/>
      <c r="D38"/>
      <c r="E38"/>
      <c r="F38"/>
      <c r="G38"/>
      <c r="H38"/>
      <c r="I38"/>
      <c r="J38"/>
      <c r="L38" s="234"/>
      <c r="M38" s="91"/>
      <c r="N38" s="90"/>
      <c r="O38" s="32">
        <f>INDEX(Encounter_Diff[Easy], MATCH(PartyCompare_3[[#This Row],[Level]],Encounter_Diff[Player Level],0))</f>
        <v>0</v>
      </c>
      <c r="P38" s="32">
        <f>INDEX(Encounter_Diff[Medium], MATCH(PartyCompare_3[[#This Row],[Level]],Encounter_Diff[Player Level],0))</f>
        <v>0</v>
      </c>
      <c r="Q38" s="32">
        <f>INDEX(Encounter_Diff[Hard], MATCH(PartyCompare_3[[#This Row],[Level]],Encounter_Diff[Player Level],0))</f>
        <v>0</v>
      </c>
      <c r="R38" s="30">
        <f>INDEX(Encounter_Diff[Deadly], MATCH(PartyCompare_3[[#This Row],[Level]],Encounter_Diff[Player Level],0))</f>
        <v>0</v>
      </c>
      <c r="S38" s="98" t="str">
        <f t="shared" si="3"/>
        <v>3, 3</v>
      </c>
      <c r="T38" s="45" t="s">
        <v>139</v>
      </c>
      <c r="U38" s="74" t="s">
        <v>139</v>
      </c>
      <c r="V38" s="80" t="s">
        <v>139</v>
      </c>
      <c r="W38" s="82" t="s">
        <v>139</v>
      </c>
      <c r="X38" s="45" t="s">
        <v>139</v>
      </c>
      <c r="Y38" s="45" t="s">
        <v>139</v>
      </c>
      <c r="Z38" s="41" t="s">
        <v>139</v>
      </c>
      <c r="AA38" s="44" t="s">
        <v>139</v>
      </c>
      <c r="AB38" s="45" t="s">
        <v>139</v>
      </c>
      <c r="AC38" s="45" t="s">
        <v>139</v>
      </c>
      <c r="AD38" s="41" t="s">
        <v>139</v>
      </c>
      <c r="AE38" s="49" t="s">
        <v>139</v>
      </c>
      <c r="AF38" s="36">
        <f>IF(ISNUMBER(PartyCompare_3[[#This Row],[Level]]), PartyCompare_3[[#This Row],[Level]]+1, PartyCompare_3[[#This Row],[Level]])</f>
        <v>0</v>
      </c>
      <c r="AG38" s="36">
        <f>INDEX(Encounter_Diff[Easy], MATCH(PartyCompare_3[[#This Row],[+1 Level]],Encounter_Diff[Player Level],0))</f>
        <v>0</v>
      </c>
      <c r="AH38" s="36">
        <f>INDEX(Encounter_Diff[Medium], MATCH(PartyCompare_3[[#This Row],[+1 Level]],Encounter_Diff[Player Level],0))</f>
        <v>0</v>
      </c>
      <c r="AI38" s="36">
        <f>INDEX(Encounter_Diff[Hard], MATCH(PartyCompare_3[[#This Row],[+1 Level]],Encounter_Diff[Player Level],0))</f>
        <v>0</v>
      </c>
      <c r="AJ38" s="36">
        <f>INDEX(Encounter_Diff[Deadly], MATCH(PartyCompare_3[[#This Row],[+1 Level]],Encounter_Diff[Player Level],0))</f>
        <v>0</v>
      </c>
      <c r="AK38" s="44" t="s">
        <v>139</v>
      </c>
      <c r="AL38" s="37" t="s">
        <v>139</v>
      </c>
      <c r="AM38" s="37" t="s">
        <v>139</v>
      </c>
      <c r="AN38" s="45" t="s">
        <v>139</v>
      </c>
      <c r="AO38" s="44" t="s">
        <v>139</v>
      </c>
      <c r="AP38" s="37" t="s">
        <v>139</v>
      </c>
      <c r="AQ38" s="37" t="s">
        <v>139</v>
      </c>
      <c r="AR38" s="41" t="s">
        <v>139</v>
      </c>
      <c r="AS38" s="49" t="s">
        <v>139</v>
      </c>
      <c r="AT38" s="53">
        <f>IF(ISNUMBER(PartyCompare_3[[#This Row],[Level]]), PartyCompare_3[[#This Row],[Level]]+2, PartyCompare_3[[#This Row],[Level]])</f>
        <v>0</v>
      </c>
      <c r="AU38" s="53">
        <f>INDEX(Encounter_Diff[Easy], MATCH(PartyCompare_3[[#This Row],[+2 Level]],Encounter_Diff[Player Level],0))</f>
        <v>0</v>
      </c>
      <c r="AV38" s="53">
        <f>INDEX(Encounter_Diff[Medium], MATCH(PartyCompare_3[[#This Row],[+2 Level]],Encounter_Diff[Player Level],0))</f>
        <v>0</v>
      </c>
      <c r="AW38" s="53">
        <f>INDEX(Encounter_Diff[Hard], MATCH(PartyCompare_3[[#This Row],[+2 Level]],Encounter_Diff[Player Level],0))</f>
        <v>0</v>
      </c>
      <c r="AX38" s="53">
        <f>INDEX(Encounter_Diff[Deadly], MATCH(PartyCompare_3[[#This Row],[+2 Level]],Encounter_Diff[Player Level],0))</f>
        <v>0</v>
      </c>
      <c r="AY38" s="61" t="s">
        <v>139</v>
      </c>
      <c r="AZ38" s="54" t="s">
        <v>139</v>
      </c>
      <c r="BA38" s="54" t="s">
        <v>139</v>
      </c>
      <c r="BB38" s="54" t="s">
        <v>139</v>
      </c>
      <c r="BC38" s="61" t="s">
        <v>139</v>
      </c>
      <c r="BD38" s="54" t="s">
        <v>139</v>
      </c>
      <c r="BE38" s="54" t="s">
        <v>139</v>
      </c>
      <c r="BF38" s="55" t="s">
        <v>139</v>
      </c>
      <c r="BG38" s="56" t="s">
        <v>139</v>
      </c>
      <c r="BH38" s="53">
        <f>IF(ISNUMBER(PartyCompare_3[[#This Row],[Level]]), PartyCompare_3[[#This Row],[Level]]+3, PartyCompare_3[[#This Row],[Level]])</f>
        <v>0</v>
      </c>
      <c r="BI38" s="53">
        <f>INDEX(Encounter_Diff[Easy], MATCH(PartyCompare_3[[#This Row],[+3 Level]],Encounter_Diff[Player Level],0))</f>
        <v>0</v>
      </c>
      <c r="BJ38" s="53">
        <f>INDEX(Encounter_Diff[Medium], MATCH(PartyCompare_3[[#This Row],[+3 Level]],Encounter_Diff[Player Level],0))</f>
        <v>0</v>
      </c>
      <c r="BK38" s="53">
        <f>INDEX(Encounter_Diff[Hard], MATCH(PartyCompare_3[[#This Row],[+3 Level]],Encounter_Diff[Player Level],0))</f>
        <v>0</v>
      </c>
      <c r="BL38" s="53">
        <f>INDEX(Encounter_Diff[Deadly], MATCH(PartyCompare_3[[#This Row],[+3 Level]],Encounter_Diff[Player Level],0))</f>
        <v>0</v>
      </c>
      <c r="BM38" s="61" t="s">
        <v>139</v>
      </c>
      <c r="BN38" s="54" t="s">
        <v>139</v>
      </c>
      <c r="BO38" s="54" t="s">
        <v>139</v>
      </c>
      <c r="BP38" s="54" t="s">
        <v>139</v>
      </c>
      <c r="BQ38" s="61" t="s">
        <v>139</v>
      </c>
      <c r="BR38" s="54" t="s">
        <v>139</v>
      </c>
      <c r="BS38" s="54" t="s">
        <v>139</v>
      </c>
      <c r="BT38" s="55" t="s">
        <v>139</v>
      </c>
      <c r="BU38" s="56" t="s">
        <v>139</v>
      </c>
      <c r="BV38" s="53">
        <f>IF(ISNUMBER(PartyCompare_3[[#This Row],[Level]]), PartyCompare_3[[#This Row],[Level]]+4, PartyCompare_3[[#This Row],[Level]])</f>
        <v>0</v>
      </c>
      <c r="BW38" s="53">
        <f>INDEX(Encounter_Diff[Easy], MATCH(PartyCompare_3[[#This Row],[+4 Level]],Encounter_Diff[Player Level],0))</f>
        <v>0</v>
      </c>
      <c r="BX38" s="53">
        <f>INDEX(Encounter_Diff[Medium], MATCH(PartyCompare_3[[#This Row],[+4 Level]],Encounter_Diff[Player Level],0))</f>
        <v>0</v>
      </c>
      <c r="BY38" s="53">
        <f>INDEX(Encounter_Diff[Hard], MATCH(PartyCompare_3[[#This Row],[+4 Level]],Encounter_Diff[Player Level],0))</f>
        <v>0</v>
      </c>
      <c r="BZ38" s="53">
        <f>INDEX(Encounter_Diff[Deadly], MATCH(PartyCompare_3[[#This Row],[+4 Level]],Encounter_Diff[Player Level],0))</f>
        <v>0</v>
      </c>
      <c r="CA38" s="61" t="s">
        <v>139</v>
      </c>
      <c r="CB38" s="54" t="s">
        <v>139</v>
      </c>
      <c r="CC38" s="54" t="s">
        <v>139</v>
      </c>
      <c r="CD38" s="54" t="s">
        <v>139</v>
      </c>
      <c r="CE38" s="61" t="s">
        <v>139</v>
      </c>
      <c r="CF38" s="54" t="s">
        <v>139</v>
      </c>
      <c r="CG38" s="54" t="s">
        <v>139</v>
      </c>
      <c r="CH38" s="55" t="s">
        <v>139</v>
      </c>
      <c r="CI38" s="56" t="s">
        <v>139</v>
      </c>
    </row>
    <row r="39" spans="2:87" ht="15.75" x14ac:dyDescent="0.2">
      <c r="B39"/>
      <c r="C39"/>
      <c r="D39"/>
      <c r="E39"/>
      <c r="F39"/>
      <c r="G39"/>
      <c r="H39"/>
      <c r="I39"/>
      <c r="J39"/>
      <c r="L39" s="40" t="s">
        <v>144</v>
      </c>
      <c r="M39" s="29" t="s">
        <v>134</v>
      </c>
      <c r="N39" s="72" t="s">
        <v>33</v>
      </c>
      <c r="O39" s="32" t="s">
        <v>140</v>
      </c>
      <c r="P39" s="32" t="s">
        <v>141</v>
      </c>
      <c r="Q39" s="32" t="s">
        <v>142</v>
      </c>
      <c r="R39" s="30" t="s">
        <v>143</v>
      </c>
      <c r="S39" s="96" t="s">
        <v>144</v>
      </c>
      <c r="T39" s="32" t="s">
        <v>119</v>
      </c>
      <c r="U39" s="73" t="s">
        <v>120</v>
      </c>
      <c r="V39" s="79" t="s">
        <v>224</v>
      </c>
      <c r="W39" s="29" t="s">
        <v>36</v>
      </c>
      <c r="X39" s="32" t="s">
        <v>37</v>
      </c>
      <c r="Y39" s="32" t="s">
        <v>38</v>
      </c>
      <c r="Z39" s="30" t="s">
        <v>40</v>
      </c>
      <c r="AA39" s="31" t="s">
        <v>129</v>
      </c>
      <c r="AB39" s="32" t="s">
        <v>130</v>
      </c>
      <c r="AC39" s="32" t="s">
        <v>131</v>
      </c>
      <c r="AD39" s="30" t="s">
        <v>132</v>
      </c>
      <c r="AE39" s="47" t="s">
        <v>133</v>
      </c>
      <c r="AF39" s="41" t="s">
        <v>154</v>
      </c>
      <c r="AG39" s="37" t="s">
        <v>155</v>
      </c>
      <c r="AH39" s="37" t="s">
        <v>156</v>
      </c>
      <c r="AI39" s="37" t="s">
        <v>157</v>
      </c>
      <c r="AJ39" s="37" t="s">
        <v>158</v>
      </c>
      <c r="AK39" s="44" t="s">
        <v>159</v>
      </c>
      <c r="AL39" s="37" t="s">
        <v>160</v>
      </c>
      <c r="AM39" s="37" t="s">
        <v>161</v>
      </c>
      <c r="AN39" s="41" t="s">
        <v>162</v>
      </c>
      <c r="AO39" s="37" t="s">
        <v>163</v>
      </c>
      <c r="AP39" s="37" t="s">
        <v>164</v>
      </c>
      <c r="AQ39" s="37" t="s">
        <v>165</v>
      </c>
      <c r="AR39" s="41" t="s">
        <v>166</v>
      </c>
      <c r="AS39" s="49" t="s">
        <v>167</v>
      </c>
      <c r="AT39" s="57" t="s">
        <v>196</v>
      </c>
      <c r="AU39" s="58" t="s">
        <v>197</v>
      </c>
      <c r="AV39" s="58" t="s">
        <v>198</v>
      </c>
      <c r="AW39" s="58" t="s">
        <v>199</v>
      </c>
      <c r="AX39" s="58" t="s">
        <v>200</v>
      </c>
      <c r="AY39" s="65" t="s">
        <v>201</v>
      </c>
      <c r="AZ39" s="58" t="s">
        <v>202</v>
      </c>
      <c r="BA39" s="58" t="s">
        <v>203</v>
      </c>
      <c r="BB39" s="58" t="s">
        <v>204</v>
      </c>
      <c r="BC39" s="65" t="s">
        <v>205</v>
      </c>
      <c r="BD39" s="58" t="s">
        <v>206</v>
      </c>
      <c r="BE39" s="58" t="s">
        <v>207</v>
      </c>
      <c r="BF39" s="57" t="s">
        <v>208</v>
      </c>
      <c r="BG39" s="59" t="s">
        <v>209</v>
      </c>
      <c r="BH39" s="57" t="s">
        <v>168</v>
      </c>
      <c r="BI39" s="58" t="s">
        <v>169</v>
      </c>
      <c r="BJ39" s="58" t="s">
        <v>170</v>
      </c>
      <c r="BK39" s="58" t="s">
        <v>171</v>
      </c>
      <c r="BL39" s="58" t="s">
        <v>172</v>
      </c>
      <c r="BM39" s="65" t="s">
        <v>173</v>
      </c>
      <c r="BN39" s="58" t="s">
        <v>174</v>
      </c>
      <c r="BO39" s="58" t="s">
        <v>175</v>
      </c>
      <c r="BP39" s="58" t="s">
        <v>176</v>
      </c>
      <c r="BQ39" s="65" t="s">
        <v>177</v>
      </c>
      <c r="BR39" s="58" t="s">
        <v>178</v>
      </c>
      <c r="BS39" s="58" t="s">
        <v>179</v>
      </c>
      <c r="BT39" s="58" t="s">
        <v>180</v>
      </c>
      <c r="BU39" s="59" t="s">
        <v>181</v>
      </c>
      <c r="BV39" s="58" t="s">
        <v>182</v>
      </c>
      <c r="BW39" s="65" t="s">
        <v>183</v>
      </c>
      <c r="BX39" s="58" t="s">
        <v>184</v>
      </c>
      <c r="BY39" s="58" t="s">
        <v>185</v>
      </c>
      <c r="BZ39" s="58" t="s">
        <v>186</v>
      </c>
      <c r="CA39" s="65" t="s">
        <v>187</v>
      </c>
      <c r="CB39" s="58" t="s">
        <v>188</v>
      </c>
      <c r="CC39" s="58" t="s">
        <v>189</v>
      </c>
      <c r="CD39" s="58" t="s">
        <v>190</v>
      </c>
      <c r="CE39" s="65" t="s">
        <v>191</v>
      </c>
      <c r="CF39" s="58" t="s">
        <v>192</v>
      </c>
      <c r="CG39" s="58" t="s">
        <v>193</v>
      </c>
      <c r="CH39" s="58" t="s">
        <v>194</v>
      </c>
      <c r="CI39" s="59" t="s">
        <v>195</v>
      </c>
    </row>
    <row r="40" spans="2:87" x14ac:dyDescent="0.2">
      <c r="B40"/>
      <c r="C40"/>
      <c r="D40"/>
      <c r="E40"/>
      <c r="F40"/>
      <c r="G40"/>
      <c r="H40"/>
      <c r="I40"/>
      <c r="J40"/>
      <c r="L40" s="232" t="s">
        <v>229</v>
      </c>
      <c r="M40" s="91">
        <v>1</v>
      </c>
      <c r="N40" s="90">
        <v>2</v>
      </c>
      <c r="O40" s="32">
        <f>INDEX(Encounter_Diff[Easy], MATCH(PartyCompare_4[[#This Row],[Level]],Encounter_Diff[Player Level],0))</f>
        <v>50</v>
      </c>
      <c r="P40" s="32">
        <f>INDEX(Encounter_Diff[Medium], MATCH(PartyCompare_4[[#This Row],[Level]],Encounter_Diff[Player Level],0))</f>
        <v>100</v>
      </c>
      <c r="Q40" s="32">
        <f>INDEX(Encounter_Diff[Hard], MATCH(PartyCompare_4[[#This Row],[Level]],Encounter_Diff[Player Level],0))</f>
        <v>150</v>
      </c>
      <c r="R40" s="30">
        <f>INDEX(Encounter_Diff[Deadly], MATCH(PartyCompare_4[[#This Row],[Level]],Encounter_Diff[Player Level],0))</f>
        <v>200</v>
      </c>
      <c r="S40" s="97" t="str">
        <f>L40</f>
        <v>2, 2, 2</v>
      </c>
      <c r="T40" s="32" t="str">
        <f>IF(COUNT(PartyCompare_4[Level])&lt;=2,"Small", IF(COUNT(PartyCompare_4[Level])&lt;=5,"Med", IF(COUNT(PartyCompare_4[Level])&lt;=8, "Large", "TOO BIG!")))</f>
        <v>Med</v>
      </c>
      <c r="U40" s="73" t="s">
        <v>107</v>
      </c>
      <c r="V40" s="77" t="str">
        <f>INDEX(Encounter_Mod[Count], MATCH(PartyCompare_4[[#This Row],[Mob Size]], Encounter_Mod[Type],0))</f>
        <v>1</v>
      </c>
      <c r="W40" s="81">
        <f>SUM(PartyCompare_4[(Easy)])/INDEX(Encounter_Mod[[Small]:[Large]], MATCH(PartyCompare_4[[#This Row],[Mob Size]], Encounter_Mod[Type], 0), MATCH(PartyCompare_4[[#This Row],[Party Size]],Encounter_Mod[[#Headers],[Small]:[Large]],0))</f>
        <v>150</v>
      </c>
      <c r="X40" s="42">
        <f>SUM(PartyCompare_4[(Medium)])/INDEX(Encounter_Mod[[Small]:[Large]], MATCH(PartyCompare_4[[#This Row],[Mob Size]], Encounter_Mod[Type], 0), MATCH(PartyCompare_4[[#This Row],[Party Size]],Encounter_Mod[[#Headers],[Small]:[Large]],0))</f>
        <v>300</v>
      </c>
      <c r="Y40" s="42">
        <f>SUM(PartyCompare_4[(Hard)])/INDEX(Encounter_Mod[[Small]:[Large]], MATCH(PartyCompare_4[[#This Row],[Mob Size]], Encounter_Mod[Type], 0), MATCH(PartyCompare_4[[#This Row],[Party Size]],Encounter_Mod[[#Headers],[Small]:[Large]],0))</f>
        <v>450</v>
      </c>
      <c r="Z40" s="43">
        <f>SUM(PartyCompare_4[(Deadly)])/INDEX(Encounter_Mod[[Small]:[Large]], MATCH(PartyCompare_4[[#This Row],[Mob Size]], Encounter_Mod[Type], 0), MATCH(PartyCompare_4[[#This Row],[Party Size]],Encounter_Mod[[#Headers],[Small]:[Large]],0))</f>
        <v>600</v>
      </c>
      <c r="AA40" s="46">
        <f>(PartyCompare_4[[#This Row],[Easy]]-INDEX(PartyCompare_0[Easy], MATCH(PartyCompare_4[[#This Row],[Mob Size]],PartyCompare_0[Mob Size],0)))/INDEX(PartyCompare_0[Easy], MATCH(PartyCompare_4[[#This Row],[Mob Size]],PartyCompare_0[Mob Size],0))</f>
        <v>0.5</v>
      </c>
      <c r="AB40" s="33">
        <f>(PartyCompare_4[[#This Row],[Medium]]-INDEX(PartyCompare_0[Medium], MATCH(PartyCompare_4[[#This Row],[Mob Size]],PartyCompare_0[Mob Size],0)))/INDEX(PartyCompare_0[Medium], MATCH(PartyCompare_4[[#This Row],[Mob Size]],PartyCompare_0[Mob Size],0))</f>
        <v>0.5</v>
      </c>
      <c r="AC40" s="33">
        <f>(PartyCompare_4[[#This Row],[Hard]]-INDEX(PartyCompare_0[Hard], MATCH(PartyCompare_4[[#This Row],[Mob Size]],PartyCompare_0[Mob Size],0)))/INDEX(PartyCompare_0[Hard], MATCH(PartyCompare_4[[#This Row],[Mob Size]],PartyCompare_0[Mob Size],0))</f>
        <v>0.5</v>
      </c>
      <c r="AD40" s="34">
        <f>(PartyCompare_4[[#This Row],[Deadly]]-INDEX(PartyCompare_0[Deadly], MATCH(PartyCompare_4[[#This Row],[Mob Size]],PartyCompare_0[Mob Size],0)))/INDEX(PartyCompare_0[Deadly], MATCH(PartyCompare_4[[#This Row],[Mob Size]],PartyCompare_0[Mob Size],0))</f>
        <v>0.5</v>
      </c>
      <c r="AE40" s="48">
        <f>AVERAGE(PartyCompare_4[[#This Row],[Easy Deviation]:[Deadly Deviation]])</f>
        <v>0.5</v>
      </c>
      <c r="AF40" s="36">
        <f>IF(ISNUMBER(PartyCompare_4[[#This Row],[Level]]), PartyCompare_4[[#This Row],[Level]]+1, PartyCompare_4[[#This Row],[Level]])</f>
        <v>3</v>
      </c>
      <c r="AG40" s="36">
        <f>INDEX(Encounter_Diff[Easy], MATCH(PartyCompare_4[[#This Row],[+1 Level]],Encounter_Diff[Player Level],0))</f>
        <v>75</v>
      </c>
      <c r="AH40" s="36">
        <f>INDEX(Encounter_Diff[Medium], MATCH(PartyCompare_4[[#This Row],[+1 Level]],Encounter_Diff[Player Level],0))</f>
        <v>150</v>
      </c>
      <c r="AI40" s="36">
        <f>INDEX(Encounter_Diff[Hard], MATCH(PartyCompare_4[[#This Row],[+1 Level]],Encounter_Diff[Player Level],0))</f>
        <v>225</v>
      </c>
      <c r="AJ40" s="36">
        <f>INDEX(Encounter_Diff[Deadly], MATCH(PartyCompare_4[[#This Row],[+1 Level]],Encounter_Diff[Player Level],0))</f>
        <v>400</v>
      </c>
      <c r="AK40" s="63">
        <f>SUM(PartyCompare_4[+1 (Easy)])/INDEX(Encounter_Mod[[Small]:[Large]], MATCH(PartyCompare_4[[#This Row],[Mob Size]], Encounter_Mod[Type], 0), MATCH(PartyCompare_4[[#This Row],[Party Size]],Encounter_Mod[[#Headers],[Small]:[Large]],0))</f>
        <v>225</v>
      </c>
      <c r="AL40" s="38">
        <f>SUM(PartyCompare_4[+1 (Medium)])/INDEX(Encounter_Mod[[Small]:[Large]], MATCH(PartyCompare_4[[#This Row],[Mob Size]], Encounter_Mod[Type], 0), MATCH(PartyCompare_4[[#This Row],[Party Size]],Encounter_Mod[[#Headers],[Small]:[Large]],0))</f>
        <v>450</v>
      </c>
      <c r="AM40" s="38">
        <f>SUM(PartyCompare_4[+1 (Hard)])/INDEX(Encounter_Mod[[Small]:[Large]], MATCH(PartyCompare_4[[#This Row],[Mob Size]], Encounter_Mod[Type], 0), MATCH(PartyCompare_4[[#This Row],[Party Size]],Encounter_Mod[[#Headers],[Small]:[Large]],0))</f>
        <v>675</v>
      </c>
      <c r="AN40" s="38">
        <f>SUM(PartyCompare_4[+1 (Deadly)])/INDEX(Encounter_Mod[[Small]:[Large]], MATCH(PartyCompare_4[[#This Row],[Mob Size]], Encounter_Mod[Type], 0), MATCH(PartyCompare_4[[#This Row],[Party Size]],Encounter_Mod[[#Headers],[Small]:[Large]],0))</f>
        <v>1200</v>
      </c>
      <c r="AO40" s="46">
        <f>(PartyCompare_4[[#This Row],[+1 Easy]]-INDEX(PartyCompare_0[+1 Easy], MATCH(PartyCompare_4[[#This Row],[Mob Size]],PartyCompare_4[Mob Size],0)))/INDEX(PartyCompare_0[+1 Easy], MATCH(PartyCompare_4[[#This Row],[Mob Size]],PartyCompare_4[Mob Size],0))</f>
        <v>0.125</v>
      </c>
      <c r="AP40" s="39">
        <f>(PartyCompare_4[[#This Row],[+1 Medium]]-INDEX(PartyCompare_0[+1 Medium], MATCH(PartyCompare_4[[#This Row],[Mob Size]],PartyCompare_4[Mob Size],0)))/INDEX(PartyCompare_0[+1 Medium], MATCH(PartyCompare_4[[#This Row],[Mob Size]],PartyCompare_4[Mob Size],0))</f>
        <v>0.125</v>
      </c>
      <c r="AQ40" s="39">
        <f>(PartyCompare_4[[#This Row],[+1 Hard]]-INDEX(PartyCompare_0[+1 Hard], MATCH(PartyCompare_4[[#This Row],[Mob Size]],PartyCompare_4[Mob Size],0)))/INDEX(PartyCompare_0[+1 Hard], MATCH(PartyCompare_4[[#This Row],[Mob Size]],PartyCompare_4[Mob Size],0))</f>
        <v>0.125</v>
      </c>
      <c r="AR40" s="34">
        <f>(PartyCompare_4[[#This Row],[+1 Deadly]]-INDEX(PartyCompare_0[+1 Deadly], MATCH(PartyCompare_4[[#This Row],[Mob Size]],PartyCompare_4[Mob Size],0)))/INDEX(PartyCompare_0[+1 Deadly], MATCH(PartyCompare_4[[#This Row],[Mob Size]],PartyCompare_4[Mob Size],0))</f>
        <v>0.5</v>
      </c>
      <c r="AS40" s="48">
        <f>AVERAGE(PartyCompare_4[[#This Row],[+1 Easy Deviation]:[+1 Deadly Deviation]])</f>
        <v>0.21875</v>
      </c>
      <c r="AT40" s="36">
        <f>IF(ISNUMBER(PartyCompare_4[[#This Row],[Level]]), PartyCompare_4[[#This Row],[Level]]+2, PartyCompare_4[[#This Row],[Level]])</f>
        <v>4</v>
      </c>
      <c r="AU40" s="36">
        <f>INDEX(Encounter_Diff[Easy], MATCH(PartyCompare_4[[#This Row],[+2 Level]],Encounter_Diff[Player Level],0))</f>
        <v>125</v>
      </c>
      <c r="AV40" s="36">
        <f>INDEX(Encounter_Diff[Medium], MATCH(PartyCompare_4[[#This Row],[+2 Level]],Encounter_Diff[Player Level],0))</f>
        <v>250</v>
      </c>
      <c r="AW40" s="36">
        <f>INDEX(Encounter_Diff[Hard], MATCH(PartyCompare_4[[#This Row],[+2 Level]],Encounter_Diff[Player Level],0))</f>
        <v>375</v>
      </c>
      <c r="AX40" s="36">
        <f>INDEX(Encounter_Diff[Deadly], MATCH(PartyCompare_4[[#This Row],[+2 Level]],Encounter_Diff[Player Level],0))</f>
        <v>500</v>
      </c>
      <c r="AY40" s="63">
        <f>SUM(PartyCompare_4[+2 (Easy)])/INDEX(Encounter_Mod[[Small]:[Large]], MATCH(PartyCompare_4[[#This Row],[Mob Size]], Encounter_Mod[Type], 0), MATCH(PartyCompare_4[[#This Row],[Party Size]],Encounter_Mod[[#Headers],[Small]:[Large]],0))</f>
        <v>375</v>
      </c>
      <c r="AZ40" s="38">
        <f>SUM(PartyCompare_4[+2 (Medium)])/INDEX(Encounter_Mod[[Small]:[Large]], MATCH(PartyCompare_4[[#This Row],[Mob Size]], Encounter_Mod[Type], 0), MATCH(PartyCompare_4[[#This Row],[Party Size]],Encounter_Mod[[#Headers],[Small]:[Large]],0))</f>
        <v>750</v>
      </c>
      <c r="BA40" s="38">
        <f>SUM(PartyCompare_4[+2 (Hard)])/INDEX(Encounter_Mod[[Small]:[Large]], MATCH(PartyCompare_4[[#This Row],[Mob Size]], Encounter_Mod[Type], 0), MATCH(PartyCompare_4[[#This Row],[Party Size]],Encounter_Mod[[#Headers],[Small]:[Large]],0))</f>
        <v>1125</v>
      </c>
      <c r="BB40" s="38">
        <f>SUM(PartyCompare_4[+2 (Deadly)])/INDEX(Encounter_Mod[[Small]:[Large]], MATCH(PartyCompare_4[[#This Row],[Mob Size]], Encounter_Mod[Type], 0), MATCH(PartyCompare_4[[#This Row],[Party Size]],Encounter_Mod[[#Headers],[Small]:[Large]],0))</f>
        <v>1500</v>
      </c>
      <c r="BC40" s="60">
        <f>(PartyCompare_4[[#This Row],[+2 Easy]]-INDEX(PartyCompare_0[+2 Easy], MATCH(PartyCompare_4[[#This Row],[Mob Size]],PartyCompare_4[Mob Size],0)))/INDEX(PartyCompare_0[+2 Easy], MATCH(PartyCompare_4[[#This Row],[Mob Size]],PartyCompare_4[Mob Size],0))</f>
        <v>0.25</v>
      </c>
      <c r="BD40" s="39">
        <f>(PartyCompare_4[[#This Row],[+2 Medium]]-INDEX(PartyCompare_0[+2 Medium], MATCH(PartyCompare_4[[#This Row],[Mob Size]],PartyCompare_4[Mob Size],0)))/INDEX(PartyCompare_0[+2 Medium], MATCH(PartyCompare_4[[#This Row],[Mob Size]],PartyCompare_4[Mob Size],0))</f>
        <v>0.25</v>
      </c>
      <c r="BE40" s="39">
        <f>(PartyCompare_4[[#This Row],[+2 Hard]]-INDEX(PartyCompare_0[+2 Hard], MATCH(PartyCompare_4[[#This Row],[Mob Size]],PartyCompare_4[Mob Size],0)))/INDEX(PartyCompare_0[+2 Hard], MATCH(PartyCompare_4[[#This Row],[Mob Size]],PartyCompare_4[Mob Size],0))</f>
        <v>0.25</v>
      </c>
      <c r="BF40" s="34">
        <f>(PartyCompare_4[[#This Row],[+2 Deadly]]-INDEX(PartyCompare_0[+2 Deadly], MATCH(PartyCompare_4[[#This Row],[Mob Size]],PartyCompare_4[Mob Size],0)))/INDEX(PartyCompare_0[+2 Deadly], MATCH(PartyCompare_4[[#This Row],[Mob Size]],PartyCompare_4[Mob Size],0))</f>
        <v>-6.25E-2</v>
      </c>
      <c r="BG40" s="48">
        <f>AVERAGE(PartyCompare_4[[#This Row],[+2 Easy Deviation]:[+2 Deadly Deviation]])</f>
        <v>0.171875</v>
      </c>
      <c r="BH40" s="36">
        <f>IF(ISNUMBER(PartyCompare_4[[#This Row],[Level]]), PartyCompare_4[[#This Row],[Level]]+3, PartyCompare_4[[#This Row],[Level]])</f>
        <v>5</v>
      </c>
      <c r="BI40" s="36">
        <f>INDEX(Encounter_Diff[Easy], MATCH(PartyCompare_4[[#This Row],[+3 Level]],Encounter_Diff[Player Level],0))</f>
        <v>250</v>
      </c>
      <c r="BJ40" s="36">
        <f>INDEX(Encounter_Diff[Medium], MATCH(PartyCompare_4[[#This Row],[+3 Level]],Encounter_Diff[Player Level],0))</f>
        <v>500</v>
      </c>
      <c r="BK40" s="36">
        <f>INDEX(Encounter_Diff[Hard], MATCH(PartyCompare_4[[#This Row],[+3 Level]],Encounter_Diff[Player Level],0))</f>
        <v>750</v>
      </c>
      <c r="BL40" s="36">
        <f>INDEX(Encounter_Diff[Deadly], MATCH(PartyCompare_4[[#This Row],[+3 Level]],Encounter_Diff[Player Level],0))</f>
        <v>1100</v>
      </c>
      <c r="BM40" s="63">
        <f>SUM(PartyCompare_4[+3 (Easy)])/INDEX(Encounter_Mod[[Small]:[Large]], MATCH(PartyCompare_4[[#This Row],[Mob Size]], Encounter_Mod[Type], 0), MATCH(PartyCompare_4[[#This Row],[Party Size]],Encounter_Mod[[#Headers],[Small]:[Large]],0))</f>
        <v>750</v>
      </c>
      <c r="BN40" s="38">
        <f>SUM(PartyCompare_4[+3 (Medium)])/INDEX(Encounter_Mod[[Small]:[Large]], MATCH(PartyCompare_4[[#This Row],[Mob Size]], Encounter_Mod[Type], 0), MATCH(PartyCompare_4[[#This Row],[Party Size]],Encounter_Mod[[#Headers],[Small]:[Large]],0))</f>
        <v>1500</v>
      </c>
      <c r="BO40" s="38">
        <f>SUM(PartyCompare_4[+3 (Hard)])/INDEX(Encounter_Mod[[Small]:[Large]], MATCH(PartyCompare_4[[#This Row],[Mob Size]], Encounter_Mod[Type], 0), MATCH(PartyCompare_4[[#This Row],[Party Size]],Encounter_Mod[[#Headers],[Small]:[Large]],0))</f>
        <v>2250</v>
      </c>
      <c r="BP40" s="38">
        <f>SUM(PartyCompare_4[+3 (Deadly)])/INDEX(Encounter_Mod[[Small]:[Large]], MATCH(PartyCompare_4[[#This Row],[Mob Size]], Encounter_Mod[Type], 0), MATCH(PartyCompare_4[[#This Row],[Party Size]],Encounter_Mod[[#Headers],[Small]:[Large]],0))</f>
        <v>3300</v>
      </c>
      <c r="BQ40" s="60">
        <f>(PartyCompare_4[[#This Row],[+3 Easy]]-INDEX(PartyCompare_0[+3 Easy], MATCH(PartyCompare_4[[#This Row],[Mob Size]],PartyCompare_4[Mob Size],0)))/INDEX(PartyCompare_0[+3 Easy], MATCH(PartyCompare_4[[#This Row],[Mob Size]],PartyCompare_4[Mob Size],0))</f>
        <v>0.5</v>
      </c>
      <c r="BR40" s="39">
        <f>(PartyCompare_4[[#This Row],[+3 Medium]]-INDEX(PartyCompare_0[+3 Medium], MATCH(PartyCompare_4[[#This Row],[Mob Size]],PartyCompare_4[Mob Size],0)))/INDEX(PartyCompare_0[+3 Medium], MATCH(PartyCompare_4[[#This Row],[Mob Size]],PartyCompare_4[Mob Size],0))</f>
        <v>0.5</v>
      </c>
      <c r="BS40" s="39">
        <f>(PartyCompare_4[[#This Row],[+3 Hard]]-INDEX(PartyCompare_0[+3 Hard], MATCH(PartyCompare_4[[#This Row],[Mob Size]],PartyCompare_4[Mob Size],0)))/INDEX(PartyCompare_0[+3 Hard], MATCH(PartyCompare_4[[#This Row],[Mob Size]],PartyCompare_4[Mob Size],0))</f>
        <v>0.5</v>
      </c>
      <c r="BT40" s="34">
        <f>(PartyCompare_4[[#This Row],[+3 Deadly]]-INDEX(PartyCompare_0[+3 Deadly], MATCH(PartyCompare_4[[#This Row],[Mob Size]],PartyCompare_4[Mob Size],0)))/INDEX(PartyCompare_0[+3 Deadly], MATCH(PartyCompare_4[[#This Row],[Mob Size]],PartyCompare_4[Mob Size],0))</f>
        <v>0.65</v>
      </c>
      <c r="BU40" s="48">
        <f>AVERAGE(PartyCompare_4[[#This Row],[+3 Easy Deviation]:[+3 Deadly Deviation]])</f>
        <v>0.53749999999999998</v>
      </c>
      <c r="BV40" s="36">
        <f>IF(ISNUMBER(PartyCompare_4[[#This Row],[Level]]), PartyCompare_4[[#This Row],[Level]]+4, PartyCompare_4[[#This Row],[Level]])</f>
        <v>6</v>
      </c>
      <c r="BW40" s="36">
        <f>INDEX(Encounter_Diff[Easy], MATCH(PartyCompare_4[[#This Row],[+4 Level]],Encounter_Diff[Player Level],0))</f>
        <v>300</v>
      </c>
      <c r="BX40" s="36">
        <f>INDEX(Encounter_Diff[Medium], MATCH(PartyCompare_4[[#This Row],[+4 Level]],Encounter_Diff[Player Level],0))</f>
        <v>600</v>
      </c>
      <c r="BY40" s="36">
        <f>INDEX(Encounter_Diff[Hard], MATCH(PartyCompare_4[[#This Row],[+4 Level]],Encounter_Diff[Player Level],0))</f>
        <v>900</v>
      </c>
      <c r="BZ40" s="36">
        <f>INDEX(Encounter_Diff[Deadly], MATCH(PartyCompare_4[[#This Row],[+4 Level]],Encounter_Diff[Player Level],0))</f>
        <v>1400</v>
      </c>
      <c r="CA40" s="63">
        <f>SUM(PartyCompare_4[+4 (Easy)])/INDEX(Encounter_Mod[[Small]:[Large]], MATCH(PartyCompare_4[[#This Row],[Mob Size]], Encounter_Mod[Type], 0), MATCH(PartyCompare_4[[#This Row],[Party Size]],Encounter_Mod[[#Headers],[Small]:[Large]],0))</f>
        <v>900</v>
      </c>
      <c r="CB40" s="38">
        <f>SUM(PartyCompare_4[+4 (Medium)])/INDEX(Encounter_Mod[[Small]:[Large]], MATCH(PartyCompare_4[[#This Row],[Mob Size]], Encounter_Mod[Type], 0), MATCH(PartyCompare_4[[#This Row],[Party Size]],Encounter_Mod[[#Headers],[Small]:[Large]],0))</f>
        <v>1800</v>
      </c>
      <c r="CC40" s="38">
        <f>SUM(PartyCompare_4[+4 (Hard)])/INDEX(Encounter_Mod[[Small]:[Large]], MATCH(PartyCompare_4[[#This Row],[Mob Size]], Encounter_Mod[Type], 0), MATCH(PartyCompare_4[[#This Row],[Party Size]],Encounter_Mod[[#Headers],[Small]:[Large]],0))</f>
        <v>2700</v>
      </c>
      <c r="CD40" s="38">
        <f>SUM(PartyCompare_4[+4 (Deadly)])/INDEX(Encounter_Mod[[Small]:[Large]], MATCH(PartyCompare_4[[#This Row],[Mob Size]], Encounter_Mod[Type], 0), MATCH(PartyCompare_4[[#This Row],[Party Size]],Encounter_Mod[[#Headers],[Small]:[Large]],0))</f>
        <v>4200</v>
      </c>
      <c r="CE40" s="60">
        <f>(PartyCompare_4[[#This Row],[+4 Easy]]-INDEX(PartyCompare_0[+4 Easy], MATCH(PartyCompare_4[[#This Row],[Mob Size]],PartyCompare_4[Mob Size],0)))/INDEX(PartyCompare_0[+4 Easy], MATCH(PartyCompare_4[[#This Row],[Mob Size]],PartyCompare_4[Mob Size],0))</f>
        <v>-0.1</v>
      </c>
      <c r="CF40" s="39">
        <f>(PartyCompare_4[[#This Row],[+4 Medium]]-INDEX(PartyCompare_0[+4 Medium], MATCH(PartyCompare_4[[#This Row],[Mob Size]],PartyCompare_4[Mob Size],0)))/INDEX(PartyCompare_0[+4 Medium], MATCH(PartyCompare_4[[#This Row],[Mob Size]],PartyCompare_4[Mob Size],0))</f>
        <v>-0.1</v>
      </c>
      <c r="CG40" s="39">
        <f>(PartyCompare_4[[#This Row],[+4 Hard]]-INDEX(PartyCompare_0[+4 Hard], MATCH(PartyCompare_4[[#This Row],[Mob Size]],PartyCompare_4[Mob Size],0)))/INDEX(PartyCompare_0[+4 Hard], MATCH(PartyCompare_4[[#This Row],[Mob Size]],PartyCompare_4[Mob Size],0))</f>
        <v>-0.1</v>
      </c>
      <c r="CH40" s="34">
        <f>(PartyCompare_4[[#This Row],[+4 Deadly]]-INDEX(PartyCompare_0[+4 Deadly], MATCH(PartyCompare_4[[#This Row],[Mob Size]],PartyCompare_4[Mob Size],0)))/INDEX(PartyCompare_0[+4 Deadly], MATCH(PartyCompare_4[[#This Row],[Mob Size]],PartyCompare_4[Mob Size],0))</f>
        <v>-4.5454545454545456E-2</v>
      </c>
      <c r="CI40" s="48">
        <f>AVERAGE(PartyCompare_4[[#This Row],[+4 Easy Deviation]:[+4 Deadly Deviation]])</f>
        <v>-8.6363636363636379E-2</v>
      </c>
    </row>
    <row r="41" spans="2:87" x14ac:dyDescent="0.2">
      <c r="B41"/>
      <c r="C41"/>
      <c r="D41"/>
      <c r="E41"/>
      <c r="F41"/>
      <c r="G41"/>
      <c r="H41"/>
      <c r="I41"/>
      <c r="J41"/>
      <c r="L41" s="233"/>
      <c r="M41" s="91">
        <v>2</v>
      </c>
      <c r="N41" s="90">
        <v>2</v>
      </c>
      <c r="O41" s="32">
        <f>INDEX(Encounter_Diff[Easy], MATCH(PartyCompare_4[[#This Row],[Level]],Encounter_Diff[Player Level],0))</f>
        <v>50</v>
      </c>
      <c r="P41" s="32">
        <f>INDEX(Encounter_Diff[Medium], MATCH(PartyCompare_4[[#This Row],[Level]],Encounter_Diff[Player Level],0))</f>
        <v>100</v>
      </c>
      <c r="Q41" s="32">
        <f>INDEX(Encounter_Diff[Hard], MATCH(PartyCompare_4[[#This Row],[Level]],Encounter_Diff[Player Level],0))</f>
        <v>150</v>
      </c>
      <c r="R41" s="30">
        <f>INDEX(Encounter_Diff[Deadly], MATCH(PartyCompare_4[[#This Row],[Level]],Encounter_Diff[Player Level],0))</f>
        <v>200</v>
      </c>
      <c r="S41" s="97" t="str">
        <f>S40</f>
        <v>2, 2, 2</v>
      </c>
      <c r="T41" s="32" t="str">
        <f>IF(COUNT(PartyCompare_4[Level])&lt;=2,"Small", IF(COUNT(PartyCompare_4[Level])&lt;=5,"Med", IF(COUNT(PartyCompare_4[Level])&lt;=8, "Large", "TOO BIG!")))</f>
        <v>Med</v>
      </c>
      <c r="U41" s="73" t="s">
        <v>108</v>
      </c>
      <c r="V41" s="77" t="str">
        <f>INDEX(Encounter_Mod[Count], MATCH(PartyCompare_4[[#This Row],[Mob Size]], Encounter_Mod[Type],0))</f>
        <v>2</v>
      </c>
      <c r="W41" s="81">
        <f>SUM(PartyCompare_4[(Easy)])/INDEX(Encounter_Mod[[Small]:[Large]], MATCH(PartyCompare_4[[#This Row],[Mob Size]], Encounter_Mod[Type], 0), MATCH(PartyCompare_4[[#This Row],[Party Size]],Encounter_Mod[[#Headers],[Small]:[Large]],0))</f>
        <v>100</v>
      </c>
      <c r="X41" s="42">
        <f>SUM(PartyCompare_4[(Medium)])/INDEX(Encounter_Mod[[Small]:[Large]], MATCH(PartyCompare_4[[#This Row],[Mob Size]], Encounter_Mod[Type], 0), MATCH(PartyCompare_4[[#This Row],[Party Size]],Encounter_Mod[[#Headers],[Small]:[Large]],0))</f>
        <v>200</v>
      </c>
      <c r="Y41" s="42">
        <f>SUM(PartyCompare_4[(Hard)])/INDEX(Encounter_Mod[[Small]:[Large]], MATCH(PartyCompare_4[[#This Row],[Mob Size]], Encounter_Mod[Type], 0), MATCH(PartyCompare_4[[#This Row],[Party Size]],Encounter_Mod[[#Headers],[Small]:[Large]],0))</f>
        <v>300</v>
      </c>
      <c r="Z41" s="43">
        <f>SUM(PartyCompare_4[(Deadly)])/INDEX(Encounter_Mod[[Small]:[Large]], MATCH(PartyCompare_4[[#This Row],[Mob Size]], Encounter_Mod[Type], 0), MATCH(PartyCompare_4[[#This Row],[Party Size]],Encounter_Mod[[#Headers],[Small]:[Large]],0))</f>
        <v>400</v>
      </c>
      <c r="AA41" s="46">
        <f>(PartyCompare_4[[#This Row],[Easy]]-INDEX(PartyCompare_0[Easy], MATCH(PartyCompare_4[[#This Row],[Mob Size]],PartyCompare_0[Mob Size],0)))/INDEX(PartyCompare_0[Easy], MATCH(PartyCompare_4[[#This Row],[Mob Size]],PartyCompare_0[Mob Size],0))</f>
        <v>0.49999999999999989</v>
      </c>
      <c r="AB41" s="33">
        <f>(PartyCompare_4[[#This Row],[Medium]]-INDEX(PartyCompare_0[Medium], MATCH(PartyCompare_4[[#This Row],[Mob Size]],PartyCompare_0[Mob Size],0)))/INDEX(PartyCompare_0[Medium], MATCH(PartyCompare_4[[#This Row],[Mob Size]],PartyCompare_0[Mob Size],0))</f>
        <v>0.49999999999999989</v>
      </c>
      <c r="AC41" s="33">
        <f>(PartyCompare_4[[#This Row],[Hard]]-INDEX(PartyCompare_0[Hard], MATCH(PartyCompare_4[[#This Row],[Mob Size]],PartyCompare_0[Mob Size],0)))/INDEX(PartyCompare_0[Hard], MATCH(PartyCompare_4[[#This Row],[Mob Size]],PartyCompare_0[Mob Size],0))</f>
        <v>0.5</v>
      </c>
      <c r="AD41" s="34">
        <f>(PartyCompare_4[[#This Row],[Deadly]]-INDEX(PartyCompare_0[Deadly], MATCH(PartyCompare_4[[#This Row],[Mob Size]],PartyCompare_0[Mob Size],0)))/INDEX(PartyCompare_0[Deadly], MATCH(PartyCompare_4[[#This Row],[Mob Size]],PartyCompare_0[Mob Size],0))</f>
        <v>0.49999999999999989</v>
      </c>
      <c r="AE41" s="48">
        <f>AVERAGE(PartyCompare_4[[#This Row],[Easy Deviation]:[Deadly Deviation]])</f>
        <v>0.49999999999999989</v>
      </c>
      <c r="AF41" s="36">
        <f>IF(ISNUMBER(PartyCompare_4[[#This Row],[Level]]), PartyCompare_4[[#This Row],[Level]]+1, PartyCompare_4[[#This Row],[Level]])</f>
        <v>3</v>
      </c>
      <c r="AG41" s="36">
        <f>INDEX(Encounter_Diff[Easy], MATCH(PartyCompare_4[[#This Row],[+1 Level]],Encounter_Diff[Player Level],0))</f>
        <v>75</v>
      </c>
      <c r="AH41" s="36">
        <f>INDEX(Encounter_Diff[Medium], MATCH(PartyCompare_4[[#This Row],[+1 Level]],Encounter_Diff[Player Level],0))</f>
        <v>150</v>
      </c>
      <c r="AI41" s="36">
        <f>INDEX(Encounter_Diff[Hard], MATCH(PartyCompare_4[[#This Row],[+1 Level]],Encounter_Diff[Player Level],0))</f>
        <v>225</v>
      </c>
      <c r="AJ41" s="36">
        <f>INDEX(Encounter_Diff[Deadly], MATCH(PartyCompare_4[[#This Row],[+1 Level]],Encounter_Diff[Player Level],0))</f>
        <v>400</v>
      </c>
      <c r="AK41" s="63">
        <f>SUM(PartyCompare_4[+1 (Easy)])/INDEX(Encounter_Mod[[Small]:[Large]], MATCH(PartyCompare_4[[#This Row],[Mob Size]], Encounter_Mod[Type], 0), MATCH(PartyCompare_4[[#This Row],[Party Size]],Encounter_Mod[[#Headers],[Small]:[Large]],0))</f>
        <v>150</v>
      </c>
      <c r="AL41" s="38">
        <f>SUM(PartyCompare_4[+1 (Medium)])/INDEX(Encounter_Mod[[Small]:[Large]], MATCH(PartyCompare_4[[#This Row],[Mob Size]], Encounter_Mod[Type], 0), MATCH(PartyCompare_4[[#This Row],[Party Size]],Encounter_Mod[[#Headers],[Small]:[Large]],0))</f>
        <v>300</v>
      </c>
      <c r="AM41" s="38">
        <f>SUM(PartyCompare_4[+1 (Hard)])/INDEX(Encounter_Mod[[Small]:[Large]], MATCH(PartyCompare_4[[#This Row],[Mob Size]], Encounter_Mod[Type], 0), MATCH(PartyCompare_4[[#This Row],[Party Size]],Encounter_Mod[[#Headers],[Small]:[Large]],0))</f>
        <v>450</v>
      </c>
      <c r="AN41" s="38">
        <f>SUM(PartyCompare_4[+1 (Deadly)])/INDEX(Encounter_Mod[[Small]:[Large]], MATCH(PartyCompare_4[[#This Row],[Mob Size]], Encounter_Mod[Type], 0), MATCH(PartyCompare_4[[#This Row],[Party Size]],Encounter_Mod[[#Headers],[Small]:[Large]],0))</f>
        <v>800</v>
      </c>
      <c r="AO41" s="46">
        <f>(PartyCompare_4[[#This Row],[+1 Easy]]-INDEX(PartyCompare_0[+1 Easy], MATCH(PartyCompare_4[[#This Row],[Mob Size]],PartyCompare_4[Mob Size],0)))/INDEX(PartyCompare_0[+1 Easy], MATCH(PartyCompare_4[[#This Row],[Mob Size]],PartyCompare_4[Mob Size],0))</f>
        <v>0.12499999999999992</v>
      </c>
      <c r="AP41" s="39">
        <f>(PartyCompare_4[[#This Row],[+1 Medium]]-INDEX(PartyCompare_0[+1 Medium], MATCH(PartyCompare_4[[#This Row],[Mob Size]],PartyCompare_4[Mob Size],0)))/INDEX(PartyCompare_0[+1 Medium], MATCH(PartyCompare_4[[#This Row],[Mob Size]],PartyCompare_4[Mob Size],0))</f>
        <v>0.12499999999999992</v>
      </c>
      <c r="AQ41" s="39">
        <f>(PartyCompare_4[[#This Row],[+1 Hard]]-INDEX(PartyCompare_0[+1 Hard], MATCH(PartyCompare_4[[#This Row],[Mob Size]],PartyCompare_4[Mob Size],0)))/INDEX(PartyCompare_0[+1 Hard], MATCH(PartyCompare_4[[#This Row],[Mob Size]],PartyCompare_4[Mob Size],0))</f>
        <v>0.125</v>
      </c>
      <c r="AR41" s="34">
        <f>(PartyCompare_4[[#This Row],[+1 Deadly]]-INDEX(PartyCompare_0[+1 Deadly], MATCH(PartyCompare_4[[#This Row],[Mob Size]],PartyCompare_4[Mob Size],0)))/INDEX(PartyCompare_0[+1 Deadly], MATCH(PartyCompare_4[[#This Row],[Mob Size]],PartyCompare_4[Mob Size],0))</f>
        <v>0.49999999999999989</v>
      </c>
      <c r="AS41" s="48">
        <f>AVERAGE(PartyCompare_4[[#This Row],[+1 Easy Deviation]:[+1 Deadly Deviation]])</f>
        <v>0.21874999999999994</v>
      </c>
      <c r="AT41" s="36">
        <f>IF(ISNUMBER(PartyCompare_4[[#This Row],[Level]]), PartyCompare_4[[#This Row],[Level]]+2, PartyCompare_4[[#This Row],[Level]])</f>
        <v>4</v>
      </c>
      <c r="AU41" s="36">
        <f>INDEX(Encounter_Diff[Easy], MATCH(PartyCompare_4[[#This Row],[+2 Level]],Encounter_Diff[Player Level],0))</f>
        <v>125</v>
      </c>
      <c r="AV41" s="36">
        <f>INDEX(Encounter_Diff[Medium], MATCH(PartyCompare_4[[#This Row],[+2 Level]],Encounter_Diff[Player Level],0))</f>
        <v>250</v>
      </c>
      <c r="AW41" s="36">
        <f>INDEX(Encounter_Diff[Hard], MATCH(PartyCompare_4[[#This Row],[+2 Level]],Encounter_Diff[Player Level],0))</f>
        <v>375</v>
      </c>
      <c r="AX41" s="36">
        <f>INDEX(Encounter_Diff[Deadly], MATCH(PartyCompare_4[[#This Row],[+2 Level]],Encounter_Diff[Player Level],0))</f>
        <v>500</v>
      </c>
      <c r="AY41" s="63">
        <f>SUM(PartyCompare_4[+2 (Easy)])/INDEX(Encounter_Mod[[Small]:[Large]], MATCH(PartyCompare_4[[#This Row],[Mob Size]], Encounter_Mod[Type], 0), MATCH(PartyCompare_4[[#This Row],[Party Size]],Encounter_Mod[[#Headers],[Small]:[Large]],0))</f>
        <v>250</v>
      </c>
      <c r="AZ41" s="38">
        <f>SUM(PartyCompare_4[+2 (Medium)])/INDEX(Encounter_Mod[[Small]:[Large]], MATCH(PartyCompare_4[[#This Row],[Mob Size]], Encounter_Mod[Type], 0), MATCH(PartyCompare_4[[#This Row],[Party Size]],Encounter_Mod[[#Headers],[Small]:[Large]],0))</f>
        <v>500</v>
      </c>
      <c r="BA41" s="38">
        <f>SUM(PartyCompare_4[+2 (Hard)])/INDEX(Encounter_Mod[[Small]:[Large]], MATCH(PartyCompare_4[[#This Row],[Mob Size]], Encounter_Mod[Type], 0), MATCH(PartyCompare_4[[#This Row],[Party Size]],Encounter_Mod[[#Headers],[Small]:[Large]],0))</f>
        <v>750</v>
      </c>
      <c r="BB41" s="38">
        <f>SUM(PartyCompare_4[+2 (Deadly)])/INDEX(Encounter_Mod[[Small]:[Large]], MATCH(PartyCompare_4[[#This Row],[Mob Size]], Encounter_Mod[Type], 0), MATCH(PartyCompare_4[[#This Row],[Party Size]],Encounter_Mod[[#Headers],[Small]:[Large]],0))</f>
        <v>1000</v>
      </c>
      <c r="BC41" s="46">
        <f>(PartyCompare_4[[#This Row],[+2 Easy]]-INDEX(PartyCompare_0[+2 Easy], MATCH(PartyCompare_4[[#This Row],[Mob Size]],PartyCompare_4[Mob Size],0)))/INDEX(PartyCompare_0[+2 Easy], MATCH(PartyCompare_4[[#This Row],[Mob Size]],PartyCompare_4[Mob Size],0))</f>
        <v>0.25</v>
      </c>
      <c r="BD41" s="39">
        <f>(PartyCompare_4[[#This Row],[+2 Medium]]-INDEX(PartyCompare_0[+2 Medium], MATCH(PartyCompare_4[[#This Row],[Mob Size]],PartyCompare_4[Mob Size],0)))/INDEX(PartyCompare_0[+2 Medium], MATCH(PartyCompare_4[[#This Row],[Mob Size]],PartyCompare_4[Mob Size],0))</f>
        <v>0.25</v>
      </c>
      <c r="BE41" s="39">
        <f>(PartyCompare_4[[#This Row],[+2 Hard]]-INDEX(PartyCompare_0[+2 Hard], MATCH(PartyCompare_4[[#This Row],[Mob Size]],PartyCompare_4[Mob Size],0)))/INDEX(PartyCompare_0[+2 Hard], MATCH(PartyCompare_4[[#This Row],[Mob Size]],PartyCompare_4[Mob Size],0))</f>
        <v>0.25</v>
      </c>
      <c r="BF41" s="34">
        <f>(PartyCompare_4[[#This Row],[+2 Deadly]]-INDEX(PartyCompare_0[+2 Deadly], MATCH(PartyCompare_4[[#This Row],[Mob Size]],PartyCompare_4[Mob Size],0)))/INDEX(PartyCompare_0[+2 Deadly], MATCH(PartyCompare_4[[#This Row],[Mob Size]],PartyCompare_4[Mob Size],0))</f>
        <v>-6.2500000000000069E-2</v>
      </c>
      <c r="BG41" s="48">
        <f>AVERAGE(PartyCompare_4[[#This Row],[+2 Easy Deviation]:[+2 Deadly Deviation]])</f>
        <v>0.17187499999999997</v>
      </c>
      <c r="BH41" s="36">
        <f>IF(ISNUMBER(PartyCompare_4[[#This Row],[Level]]), PartyCompare_4[[#This Row],[Level]]+3, PartyCompare_4[[#This Row],[Level]])</f>
        <v>5</v>
      </c>
      <c r="BI41" s="36">
        <f>INDEX(Encounter_Diff[Easy], MATCH(PartyCompare_4[[#This Row],[+3 Level]],Encounter_Diff[Player Level],0))</f>
        <v>250</v>
      </c>
      <c r="BJ41" s="36">
        <f>INDEX(Encounter_Diff[Medium], MATCH(PartyCompare_4[[#This Row],[+3 Level]],Encounter_Diff[Player Level],0))</f>
        <v>500</v>
      </c>
      <c r="BK41" s="36">
        <f>INDEX(Encounter_Diff[Hard], MATCH(PartyCompare_4[[#This Row],[+3 Level]],Encounter_Diff[Player Level],0))</f>
        <v>750</v>
      </c>
      <c r="BL41" s="36">
        <f>INDEX(Encounter_Diff[Deadly], MATCH(PartyCompare_4[[#This Row],[+3 Level]],Encounter_Diff[Player Level],0))</f>
        <v>1100</v>
      </c>
      <c r="BM41" s="63">
        <f>SUM(PartyCompare_4[+3 (Easy)])/INDEX(Encounter_Mod[[Small]:[Large]], MATCH(PartyCompare_4[[#This Row],[Mob Size]], Encounter_Mod[Type], 0), MATCH(PartyCompare_4[[#This Row],[Party Size]],Encounter_Mod[[#Headers],[Small]:[Large]],0))</f>
        <v>500</v>
      </c>
      <c r="BN41" s="38">
        <f>SUM(PartyCompare_4[+3 (Medium)])/INDEX(Encounter_Mod[[Small]:[Large]], MATCH(PartyCompare_4[[#This Row],[Mob Size]], Encounter_Mod[Type], 0), MATCH(PartyCompare_4[[#This Row],[Party Size]],Encounter_Mod[[#Headers],[Small]:[Large]],0))</f>
        <v>1000</v>
      </c>
      <c r="BO41" s="38">
        <f>SUM(PartyCompare_4[+3 (Hard)])/INDEX(Encounter_Mod[[Small]:[Large]], MATCH(PartyCompare_4[[#This Row],[Mob Size]], Encounter_Mod[Type], 0), MATCH(PartyCompare_4[[#This Row],[Party Size]],Encounter_Mod[[#Headers],[Small]:[Large]],0))</f>
        <v>1500</v>
      </c>
      <c r="BP41" s="38">
        <f>SUM(PartyCompare_4[+3 (Deadly)])/INDEX(Encounter_Mod[[Small]:[Large]], MATCH(PartyCompare_4[[#This Row],[Mob Size]], Encounter_Mod[Type], 0), MATCH(PartyCompare_4[[#This Row],[Party Size]],Encounter_Mod[[#Headers],[Small]:[Large]],0))</f>
        <v>2200</v>
      </c>
      <c r="BQ41" s="46">
        <f>(PartyCompare_4[[#This Row],[+3 Easy]]-INDEX(PartyCompare_0[+3 Easy], MATCH(PartyCompare_4[[#This Row],[Mob Size]],PartyCompare_4[Mob Size],0)))/INDEX(PartyCompare_0[+3 Easy], MATCH(PartyCompare_4[[#This Row],[Mob Size]],PartyCompare_4[Mob Size],0))</f>
        <v>0.50000000000000011</v>
      </c>
      <c r="BR41" s="39">
        <f>(PartyCompare_4[[#This Row],[+3 Medium]]-INDEX(PartyCompare_0[+3 Medium], MATCH(PartyCompare_4[[#This Row],[Mob Size]],PartyCompare_4[Mob Size],0)))/INDEX(PartyCompare_0[+3 Medium], MATCH(PartyCompare_4[[#This Row],[Mob Size]],PartyCompare_4[Mob Size],0))</f>
        <v>0.50000000000000011</v>
      </c>
      <c r="BS41" s="39">
        <f>(PartyCompare_4[[#This Row],[+3 Hard]]-INDEX(PartyCompare_0[+3 Hard], MATCH(PartyCompare_4[[#This Row],[Mob Size]],PartyCompare_4[Mob Size],0)))/INDEX(PartyCompare_0[+3 Hard], MATCH(PartyCompare_4[[#This Row],[Mob Size]],PartyCompare_4[Mob Size],0))</f>
        <v>0.5</v>
      </c>
      <c r="BT41" s="34">
        <f>(PartyCompare_4[[#This Row],[+3 Deadly]]-INDEX(PartyCompare_0[+3 Deadly], MATCH(PartyCompare_4[[#This Row],[Mob Size]],PartyCompare_4[Mob Size],0)))/INDEX(PartyCompare_0[+3 Deadly], MATCH(PartyCompare_4[[#This Row],[Mob Size]],PartyCompare_4[Mob Size],0))</f>
        <v>0.65000000000000013</v>
      </c>
      <c r="BU41" s="48">
        <f>AVERAGE(PartyCompare_4[[#This Row],[+3 Easy Deviation]:[+3 Deadly Deviation]])</f>
        <v>0.53750000000000009</v>
      </c>
      <c r="BV41" s="36">
        <f>IF(ISNUMBER(PartyCompare_4[[#This Row],[Level]]), PartyCompare_4[[#This Row],[Level]]+4, PartyCompare_4[[#This Row],[Level]])</f>
        <v>6</v>
      </c>
      <c r="BW41" s="36">
        <f>INDEX(Encounter_Diff[Easy], MATCH(PartyCompare_4[[#This Row],[+4 Level]],Encounter_Diff[Player Level],0))</f>
        <v>300</v>
      </c>
      <c r="BX41" s="36">
        <f>INDEX(Encounter_Diff[Medium], MATCH(PartyCompare_4[[#This Row],[+4 Level]],Encounter_Diff[Player Level],0))</f>
        <v>600</v>
      </c>
      <c r="BY41" s="36">
        <f>INDEX(Encounter_Diff[Hard], MATCH(PartyCompare_4[[#This Row],[+4 Level]],Encounter_Diff[Player Level],0))</f>
        <v>900</v>
      </c>
      <c r="BZ41" s="36">
        <f>INDEX(Encounter_Diff[Deadly], MATCH(PartyCompare_4[[#This Row],[+4 Level]],Encounter_Diff[Player Level],0))</f>
        <v>1400</v>
      </c>
      <c r="CA41" s="63">
        <f>SUM(PartyCompare_4[+4 (Easy)])/INDEX(Encounter_Mod[[Small]:[Large]], MATCH(PartyCompare_4[[#This Row],[Mob Size]], Encounter_Mod[Type], 0), MATCH(PartyCompare_4[[#This Row],[Party Size]],Encounter_Mod[[#Headers],[Small]:[Large]],0))</f>
        <v>600</v>
      </c>
      <c r="CB41" s="38">
        <f>SUM(PartyCompare_4[+4 (Medium)])/INDEX(Encounter_Mod[[Small]:[Large]], MATCH(PartyCompare_4[[#This Row],[Mob Size]], Encounter_Mod[Type], 0), MATCH(PartyCompare_4[[#This Row],[Party Size]],Encounter_Mod[[#Headers],[Small]:[Large]],0))</f>
        <v>1200</v>
      </c>
      <c r="CC41" s="38">
        <f>SUM(PartyCompare_4[+4 (Hard)])/INDEX(Encounter_Mod[[Small]:[Large]], MATCH(PartyCompare_4[[#This Row],[Mob Size]], Encounter_Mod[Type], 0), MATCH(PartyCompare_4[[#This Row],[Party Size]],Encounter_Mod[[#Headers],[Small]:[Large]],0))</f>
        <v>1800</v>
      </c>
      <c r="CD41" s="38">
        <f>SUM(PartyCompare_4[+4 (Deadly)])/INDEX(Encounter_Mod[[Small]:[Large]], MATCH(PartyCompare_4[[#This Row],[Mob Size]], Encounter_Mod[Type], 0), MATCH(PartyCompare_4[[#This Row],[Party Size]],Encounter_Mod[[#Headers],[Small]:[Large]],0))</f>
        <v>2800</v>
      </c>
      <c r="CE41" s="46">
        <f>(PartyCompare_4[[#This Row],[+4 Easy]]-INDEX(PartyCompare_0[+4 Easy], MATCH(PartyCompare_4[[#This Row],[Mob Size]],PartyCompare_4[Mob Size],0)))/INDEX(PartyCompare_0[+4 Easy], MATCH(PartyCompare_4[[#This Row],[Mob Size]],PartyCompare_4[Mob Size],0))</f>
        <v>-9.999999999999995E-2</v>
      </c>
      <c r="CF41" s="39">
        <f>(PartyCompare_4[[#This Row],[+4 Medium]]-INDEX(PartyCompare_0[+4 Medium], MATCH(PartyCompare_4[[#This Row],[Mob Size]],PartyCompare_4[Mob Size],0)))/INDEX(PartyCompare_0[+4 Medium], MATCH(PartyCompare_4[[#This Row],[Mob Size]],PartyCompare_4[Mob Size],0))</f>
        <v>-9.999999999999995E-2</v>
      </c>
      <c r="CG41" s="39">
        <f>(PartyCompare_4[[#This Row],[+4 Hard]]-INDEX(PartyCompare_0[+4 Hard], MATCH(PartyCompare_4[[#This Row],[Mob Size]],PartyCompare_4[Mob Size],0)))/INDEX(PartyCompare_0[+4 Hard], MATCH(PartyCompare_4[[#This Row],[Mob Size]],PartyCompare_4[Mob Size],0))</f>
        <v>-0.1</v>
      </c>
      <c r="CH41" s="34">
        <f>(PartyCompare_4[[#This Row],[+4 Deadly]]-INDEX(PartyCompare_0[+4 Deadly], MATCH(PartyCompare_4[[#This Row],[Mob Size]],PartyCompare_4[Mob Size],0)))/INDEX(PartyCompare_0[+4 Deadly], MATCH(PartyCompare_4[[#This Row],[Mob Size]],PartyCompare_4[Mob Size],0))</f>
        <v>-4.5454545454545504E-2</v>
      </c>
      <c r="CI41" s="48">
        <f>AVERAGE(PartyCompare_4[[#This Row],[+4 Easy Deviation]:[+4 Deadly Deviation]])</f>
        <v>-8.6363636363636365E-2</v>
      </c>
    </row>
    <row r="42" spans="2:87" x14ac:dyDescent="0.2">
      <c r="B42"/>
      <c r="C42"/>
      <c r="D42"/>
      <c r="E42"/>
      <c r="F42"/>
      <c r="G42"/>
      <c r="H42"/>
      <c r="I42"/>
      <c r="J42"/>
      <c r="L42" s="233"/>
      <c r="M42" s="91">
        <v>3</v>
      </c>
      <c r="N42" s="90">
        <v>2</v>
      </c>
      <c r="O42" s="32">
        <f>INDEX(Encounter_Diff[Easy], MATCH(PartyCompare_4[[#This Row],[Level]],Encounter_Diff[Player Level],0))</f>
        <v>50</v>
      </c>
      <c r="P42" s="32">
        <f>INDEX(Encounter_Diff[Medium], MATCH(PartyCompare_4[[#This Row],[Level]],Encounter_Diff[Player Level],0))</f>
        <v>100</v>
      </c>
      <c r="Q42" s="32">
        <f>INDEX(Encounter_Diff[Hard], MATCH(PartyCompare_4[[#This Row],[Level]],Encounter_Diff[Player Level],0))</f>
        <v>150</v>
      </c>
      <c r="R42" s="30">
        <f>INDEX(Encounter_Diff[Deadly], MATCH(PartyCompare_4[[#This Row],[Level]],Encounter_Diff[Player Level],0))</f>
        <v>200</v>
      </c>
      <c r="S42" s="97" t="str">
        <f t="shared" ref="S42:S47" si="4">S41</f>
        <v>2, 2, 2</v>
      </c>
      <c r="T42" s="32" t="str">
        <f>IF(COUNT(PartyCompare_4[Level])&lt;=2,"Small", IF(COUNT(PartyCompare_4[Level])&lt;=5,"Med", IF(COUNT(PartyCompare_4[Level])&lt;=8, "Large", "TOO BIG!")))</f>
        <v>Med</v>
      </c>
      <c r="U42" s="73" t="s">
        <v>109</v>
      </c>
      <c r="V42" s="77" t="str">
        <f>INDEX(Encounter_Mod[Count], MATCH(PartyCompare_4[[#This Row],[Mob Size]], Encounter_Mod[Type],0))</f>
        <v>3-6</v>
      </c>
      <c r="W42" s="81">
        <f>SUM(PartyCompare_4[(Easy)])/INDEX(Encounter_Mod[[Small]:[Large]], MATCH(PartyCompare_4[[#This Row],[Mob Size]], Encounter_Mod[Type], 0), MATCH(PartyCompare_4[[#This Row],[Party Size]],Encounter_Mod[[#Headers],[Small]:[Large]],0))</f>
        <v>75</v>
      </c>
      <c r="X42" s="42">
        <f>SUM(PartyCompare_4[(Medium)])/INDEX(Encounter_Mod[[Small]:[Large]], MATCH(PartyCompare_4[[#This Row],[Mob Size]], Encounter_Mod[Type], 0), MATCH(PartyCompare_4[[#This Row],[Party Size]],Encounter_Mod[[#Headers],[Small]:[Large]],0))</f>
        <v>150</v>
      </c>
      <c r="Y42" s="42">
        <f>SUM(PartyCompare_4[(Hard)])/INDEX(Encounter_Mod[[Small]:[Large]], MATCH(PartyCompare_4[[#This Row],[Mob Size]], Encounter_Mod[Type], 0), MATCH(PartyCompare_4[[#This Row],[Party Size]],Encounter_Mod[[#Headers],[Small]:[Large]],0))</f>
        <v>225</v>
      </c>
      <c r="Z42" s="43">
        <f>SUM(PartyCompare_4[(Deadly)])/INDEX(Encounter_Mod[[Small]:[Large]], MATCH(PartyCompare_4[[#This Row],[Mob Size]], Encounter_Mod[Type], 0), MATCH(PartyCompare_4[[#This Row],[Party Size]],Encounter_Mod[[#Headers],[Small]:[Large]],0))</f>
        <v>300</v>
      </c>
      <c r="AA42" s="46">
        <f>(PartyCompare_4[[#This Row],[Easy]]-INDEX(PartyCompare_0[Easy], MATCH(PartyCompare_4[[#This Row],[Mob Size]],PartyCompare_0[Mob Size],0)))/INDEX(PartyCompare_0[Easy], MATCH(PartyCompare_4[[#This Row],[Mob Size]],PartyCompare_0[Mob Size],0))</f>
        <v>0.5</v>
      </c>
      <c r="AB42" s="33">
        <f>(PartyCompare_4[[#This Row],[Medium]]-INDEX(PartyCompare_0[Medium], MATCH(PartyCompare_4[[#This Row],[Mob Size]],PartyCompare_0[Mob Size],0)))/INDEX(PartyCompare_0[Medium], MATCH(PartyCompare_4[[#This Row],[Mob Size]],PartyCompare_0[Mob Size],0))</f>
        <v>0.5</v>
      </c>
      <c r="AC42" s="33">
        <f>(PartyCompare_4[[#This Row],[Hard]]-INDEX(PartyCompare_0[Hard], MATCH(PartyCompare_4[[#This Row],[Mob Size]],PartyCompare_0[Mob Size],0)))/INDEX(PartyCompare_0[Hard], MATCH(PartyCompare_4[[#This Row],[Mob Size]],PartyCompare_0[Mob Size],0))</f>
        <v>0.5</v>
      </c>
      <c r="AD42" s="34">
        <f>(PartyCompare_4[[#This Row],[Deadly]]-INDEX(PartyCompare_0[Deadly], MATCH(PartyCompare_4[[#This Row],[Mob Size]],PartyCompare_0[Mob Size],0)))/INDEX(PartyCompare_0[Deadly], MATCH(PartyCompare_4[[#This Row],[Mob Size]],PartyCompare_0[Mob Size],0))</f>
        <v>0.5</v>
      </c>
      <c r="AE42" s="48">
        <f>AVERAGE(PartyCompare_4[[#This Row],[Easy Deviation]:[Deadly Deviation]])</f>
        <v>0.5</v>
      </c>
      <c r="AF42" s="36">
        <f>IF(ISNUMBER(PartyCompare_4[[#This Row],[Level]]), PartyCompare_4[[#This Row],[Level]]+1, PartyCompare_4[[#This Row],[Level]])</f>
        <v>3</v>
      </c>
      <c r="AG42" s="36">
        <f>INDEX(Encounter_Diff[Easy], MATCH(PartyCompare_4[[#This Row],[+1 Level]],Encounter_Diff[Player Level],0))</f>
        <v>75</v>
      </c>
      <c r="AH42" s="36">
        <f>INDEX(Encounter_Diff[Medium], MATCH(PartyCompare_4[[#This Row],[+1 Level]],Encounter_Diff[Player Level],0))</f>
        <v>150</v>
      </c>
      <c r="AI42" s="36">
        <f>INDEX(Encounter_Diff[Hard], MATCH(PartyCompare_4[[#This Row],[+1 Level]],Encounter_Diff[Player Level],0))</f>
        <v>225</v>
      </c>
      <c r="AJ42" s="36">
        <f>INDEX(Encounter_Diff[Deadly], MATCH(PartyCompare_4[[#This Row],[+1 Level]],Encounter_Diff[Player Level],0))</f>
        <v>400</v>
      </c>
      <c r="AK42" s="63">
        <f>SUM(PartyCompare_4[+1 (Easy)])/INDEX(Encounter_Mod[[Small]:[Large]], MATCH(PartyCompare_4[[#This Row],[Mob Size]], Encounter_Mod[Type], 0), MATCH(PartyCompare_4[[#This Row],[Party Size]],Encounter_Mod[[#Headers],[Small]:[Large]],0))</f>
        <v>112.5</v>
      </c>
      <c r="AL42" s="38">
        <f>SUM(PartyCompare_4[+1 (Medium)])/INDEX(Encounter_Mod[[Small]:[Large]], MATCH(PartyCompare_4[[#This Row],[Mob Size]], Encounter_Mod[Type], 0), MATCH(PartyCompare_4[[#This Row],[Party Size]],Encounter_Mod[[#Headers],[Small]:[Large]],0))</f>
        <v>225</v>
      </c>
      <c r="AM42" s="38">
        <f>SUM(PartyCompare_4[+1 (Hard)])/INDEX(Encounter_Mod[[Small]:[Large]], MATCH(PartyCompare_4[[#This Row],[Mob Size]], Encounter_Mod[Type], 0), MATCH(PartyCompare_4[[#This Row],[Party Size]],Encounter_Mod[[#Headers],[Small]:[Large]],0))</f>
        <v>337.5</v>
      </c>
      <c r="AN42" s="38">
        <f>SUM(PartyCompare_4[+1 (Deadly)])/INDEX(Encounter_Mod[[Small]:[Large]], MATCH(PartyCompare_4[[#This Row],[Mob Size]], Encounter_Mod[Type], 0), MATCH(PartyCompare_4[[#This Row],[Party Size]],Encounter_Mod[[#Headers],[Small]:[Large]],0))</f>
        <v>600</v>
      </c>
      <c r="AO42" s="46">
        <f>(PartyCompare_4[[#This Row],[+1 Easy]]-INDEX(PartyCompare_0[+1 Easy], MATCH(PartyCompare_4[[#This Row],[Mob Size]],PartyCompare_4[Mob Size],0)))/INDEX(PartyCompare_0[+1 Easy], MATCH(PartyCompare_4[[#This Row],[Mob Size]],PartyCompare_4[Mob Size],0))</f>
        <v>0.125</v>
      </c>
      <c r="AP42" s="39">
        <f>(PartyCompare_4[[#This Row],[+1 Medium]]-INDEX(PartyCompare_0[+1 Medium], MATCH(PartyCompare_4[[#This Row],[Mob Size]],PartyCompare_4[Mob Size],0)))/INDEX(PartyCompare_0[+1 Medium], MATCH(PartyCompare_4[[#This Row],[Mob Size]],PartyCompare_4[Mob Size],0))</f>
        <v>0.125</v>
      </c>
      <c r="AQ42" s="39">
        <f>(PartyCompare_4[[#This Row],[+1 Hard]]-INDEX(PartyCompare_0[+1 Hard], MATCH(PartyCompare_4[[#This Row],[Mob Size]],PartyCompare_4[Mob Size],0)))/INDEX(PartyCompare_0[+1 Hard], MATCH(PartyCompare_4[[#This Row],[Mob Size]],PartyCompare_4[Mob Size],0))</f>
        <v>0.125</v>
      </c>
      <c r="AR42" s="34">
        <f>(PartyCompare_4[[#This Row],[+1 Deadly]]-INDEX(PartyCompare_0[+1 Deadly], MATCH(PartyCompare_4[[#This Row],[Mob Size]],PartyCompare_4[Mob Size],0)))/INDEX(PartyCompare_0[+1 Deadly], MATCH(PartyCompare_4[[#This Row],[Mob Size]],PartyCompare_4[Mob Size],0))</f>
        <v>0.5</v>
      </c>
      <c r="AS42" s="48">
        <f>AVERAGE(PartyCompare_4[[#This Row],[+1 Easy Deviation]:[+1 Deadly Deviation]])</f>
        <v>0.21875</v>
      </c>
      <c r="AT42" s="36">
        <f>IF(ISNUMBER(PartyCompare_4[[#This Row],[Level]]), PartyCompare_4[[#This Row],[Level]]+2, PartyCompare_4[[#This Row],[Level]])</f>
        <v>4</v>
      </c>
      <c r="AU42" s="36">
        <f>INDEX(Encounter_Diff[Easy], MATCH(PartyCompare_4[[#This Row],[+2 Level]],Encounter_Diff[Player Level],0))</f>
        <v>125</v>
      </c>
      <c r="AV42" s="36">
        <f>INDEX(Encounter_Diff[Medium], MATCH(PartyCompare_4[[#This Row],[+2 Level]],Encounter_Diff[Player Level],0))</f>
        <v>250</v>
      </c>
      <c r="AW42" s="36">
        <f>INDEX(Encounter_Diff[Hard], MATCH(PartyCompare_4[[#This Row],[+2 Level]],Encounter_Diff[Player Level],0))</f>
        <v>375</v>
      </c>
      <c r="AX42" s="36">
        <f>INDEX(Encounter_Diff[Deadly], MATCH(PartyCompare_4[[#This Row],[+2 Level]],Encounter_Diff[Player Level],0))</f>
        <v>500</v>
      </c>
      <c r="AY42" s="63">
        <f>SUM(PartyCompare_4[+2 (Easy)])/INDEX(Encounter_Mod[[Small]:[Large]], MATCH(PartyCompare_4[[#This Row],[Mob Size]], Encounter_Mod[Type], 0), MATCH(PartyCompare_4[[#This Row],[Party Size]],Encounter_Mod[[#Headers],[Small]:[Large]],0))</f>
        <v>187.5</v>
      </c>
      <c r="AZ42" s="38">
        <f>SUM(PartyCompare_4[+2 (Medium)])/INDEX(Encounter_Mod[[Small]:[Large]], MATCH(PartyCompare_4[[#This Row],[Mob Size]], Encounter_Mod[Type], 0), MATCH(PartyCompare_4[[#This Row],[Party Size]],Encounter_Mod[[#Headers],[Small]:[Large]],0))</f>
        <v>375</v>
      </c>
      <c r="BA42" s="38">
        <f>SUM(PartyCompare_4[+2 (Hard)])/INDEX(Encounter_Mod[[Small]:[Large]], MATCH(PartyCompare_4[[#This Row],[Mob Size]], Encounter_Mod[Type], 0), MATCH(PartyCompare_4[[#This Row],[Party Size]],Encounter_Mod[[#Headers],[Small]:[Large]],0))</f>
        <v>562.5</v>
      </c>
      <c r="BB42" s="38">
        <f>SUM(PartyCompare_4[+2 (Deadly)])/INDEX(Encounter_Mod[[Small]:[Large]], MATCH(PartyCompare_4[[#This Row],[Mob Size]], Encounter_Mod[Type], 0), MATCH(PartyCompare_4[[#This Row],[Party Size]],Encounter_Mod[[#Headers],[Small]:[Large]],0))</f>
        <v>750</v>
      </c>
      <c r="BC42" s="46">
        <f>(PartyCompare_4[[#This Row],[+2 Easy]]-INDEX(PartyCompare_0[+2 Easy], MATCH(PartyCompare_4[[#This Row],[Mob Size]],PartyCompare_4[Mob Size],0)))/INDEX(PartyCompare_0[+2 Easy], MATCH(PartyCompare_4[[#This Row],[Mob Size]],PartyCompare_4[Mob Size],0))</f>
        <v>0.25</v>
      </c>
      <c r="BD42" s="39">
        <f>(PartyCompare_4[[#This Row],[+2 Medium]]-INDEX(PartyCompare_0[+2 Medium], MATCH(PartyCompare_4[[#This Row],[Mob Size]],PartyCompare_4[Mob Size],0)))/INDEX(PartyCompare_0[+2 Medium], MATCH(PartyCompare_4[[#This Row],[Mob Size]],PartyCompare_4[Mob Size],0))</f>
        <v>0.25</v>
      </c>
      <c r="BE42" s="39">
        <f>(PartyCompare_4[[#This Row],[+2 Hard]]-INDEX(PartyCompare_0[+2 Hard], MATCH(PartyCompare_4[[#This Row],[Mob Size]],PartyCompare_4[Mob Size],0)))/INDEX(PartyCompare_0[+2 Hard], MATCH(PartyCompare_4[[#This Row],[Mob Size]],PartyCompare_4[Mob Size],0))</f>
        <v>0.25</v>
      </c>
      <c r="BF42" s="34">
        <f>(PartyCompare_4[[#This Row],[+2 Deadly]]-INDEX(PartyCompare_0[+2 Deadly], MATCH(PartyCompare_4[[#This Row],[Mob Size]],PartyCompare_4[Mob Size],0)))/INDEX(PartyCompare_0[+2 Deadly], MATCH(PartyCompare_4[[#This Row],[Mob Size]],PartyCompare_4[Mob Size],0))</f>
        <v>-6.25E-2</v>
      </c>
      <c r="BG42" s="48">
        <f>AVERAGE(PartyCompare_4[[#This Row],[+2 Easy Deviation]:[+2 Deadly Deviation]])</f>
        <v>0.171875</v>
      </c>
      <c r="BH42" s="36">
        <f>IF(ISNUMBER(PartyCompare_4[[#This Row],[Level]]), PartyCompare_4[[#This Row],[Level]]+3, PartyCompare_4[[#This Row],[Level]])</f>
        <v>5</v>
      </c>
      <c r="BI42" s="36">
        <f>INDEX(Encounter_Diff[Easy], MATCH(PartyCompare_4[[#This Row],[+3 Level]],Encounter_Diff[Player Level],0))</f>
        <v>250</v>
      </c>
      <c r="BJ42" s="36">
        <f>INDEX(Encounter_Diff[Medium], MATCH(PartyCompare_4[[#This Row],[+3 Level]],Encounter_Diff[Player Level],0))</f>
        <v>500</v>
      </c>
      <c r="BK42" s="36">
        <f>INDEX(Encounter_Diff[Hard], MATCH(PartyCompare_4[[#This Row],[+3 Level]],Encounter_Diff[Player Level],0))</f>
        <v>750</v>
      </c>
      <c r="BL42" s="36">
        <f>INDEX(Encounter_Diff[Deadly], MATCH(PartyCompare_4[[#This Row],[+3 Level]],Encounter_Diff[Player Level],0))</f>
        <v>1100</v>
      </c>
      <c r="BM42" s="63">
        <f>SUM(PartyCompare_4[+3 (Easy)])/INDEX(Encounter_Mod[[Small]:[Large]], MATCH(PartyCompare_4[[#This Row],[Mob Size]], Encounter_Mod[Type], 0), MATCH(PartyCompare_4[[#This Row],[Party Size]],Encounter_Mod[[#Headers],[Small]:[Large]],0))</f>
        <v>375</v>
      </c>
      <c r="BN42" s="38">
        <f>SUM(PartyCompare_4[+3 (Medium)])/INDEX(Encounter_Mod[[Small]:[Large]], MATCH(PartyCompare_4[[#This Row],[Mob Size]], Encounter_Mod[Type], 0), MATCH(PartyCompare_4[[#This Row],[Party Size]],Encounter_Mod[[#Headers],[Small]:[Large]],0))</f>
        <v>750</v>
      </c>
      <c r="BO42" s="38">
        <f>SUM(PartyCompare_4[+3 (Hard)])/INDEX(Encounter_Mod[[Small]:[Large]], MATCH(PartyCompare_4[[#This Row],[Mob Size]], Encounter_Mod[Type], 0), MATCH(PartyCompare_4[[#This Row],[Party Size]],Encounter_Mod[[#Headers],[Small]:[Large]],0))</f>
        <v>1125</v>
      </c>
      <c r="BP42" s="38">
        <f>SUM(PartyCompare_4[+3 (Deadly)])/INDEX(Encounter_Mod[[Small]:[Large]], MATCH(PartyCompare_4[[#This Row],[Mob Size]], Encounter_Mod[Type], 0), MATCH(PartyCompare_4[[#This Row],[Party Size]],Encounter_Mod[[#Headers],[Small]:[Large]],0))</f>
        <v>1650</v>
      </c>
      <c r="BQ42" s="46">
        <f>(PartyCompare_4[[#This Row],[+3 Easy]]-INDEX(PartyCompare_0[+3 Easy], MATCH(PartyCompare_4[[#This Row],[Mob Size]],PartyCompare_4[Mob Size],0)))/INDEX(PartyCompare_0[+3 Easy], MATCH(PartyCompare_4[[#This Row],[Mob Size]],PartyCompare_4[Mob Size],0))</f>
        <v>0.5</v>
      </c>
      <c r="BR42" s="39">
        <f>(PartyCompare_4[[#This Row],[+3 Medium]]-INDEX(PartyCompare_0[+3 Medium], MATCH(PartyCompare_4[[#This Row],[Mob Size]],PartyCompare_4[Mob Size],0)))/INDEX(PartyCompare_0[+3 Medium], MATCH(PartyCompare_4[[#This Row],[Mob Size]],PartyCompare_4[Mob Size],0))</f>
        <v>0.5</v>
      </c>
      <c r="BS42" s="39">
        <f>(PartyCompare_4[[#This Row],[+3 Hard]]-INDEX(PartyCompare_0[+3 Hard], MATCH(PartyCompare_4[[#This Row],[Mob Size]],PartyCompare_4[Mob Size],0)))/INDEX(PartyCompare_0[+3 Hard], MATCH(PartyCompare_4[[#This Row],[Mob Size]],PartyCompare_4[Mob Size],0))</f>
        <v>0.5</v>
      </c>
      <c r="BT42" s="34">
        <f>(PartyCompare_4[[#This Row],[+3 Deadly]]-INDEX(PartyCompare_0[+3 Deadly], MATCH(PartyCompare_4[[#This Row],[Mob Size]],PartyCompare_4[Mob Size],0)))/INDEX(PartyCompare_0[+3 Deadly], MATCH(PartyCompare_4[[#This Row],[Mob Size]],PartyCompare_4[Mob Size],0))</f>
        <v>0.65</v>
      </c>
      <c r="BU42" s="48">
        <f>AVERAGE(PartyCompare_4[[#This Row],[+3 Easy Deviation]:[+3 Deadly Deviation]])</f>
        <v>0.53749999999999998</v>
      </c>
      <c r="BV42" s="36">
        <f>IF(ISNUMBER(PartyCompare_4[[#This Row],[Level]]), PartyCompare_4[[#This Row],[Level]]+4, PartyCompare_4[[#This Row],[Level]])</f>
        <v>6</v>
      </c>
      <c r="BW42" s="36">
        <f>INDEX(Encounter_Diff[Easy], MATCH(PartyCompare_4[[#This Row],[+4 Level]],Encounter_Diff[Player Level],0))</f>
        <v>300</v>
      </c>
      <c r="BX42" s="36">
        <f>INDEX(Encounter_Diff[Medium], MATCH(PartyCompare_4[[#This Row],[+4 Level]],Encounter_Diff[Player Level],0))</f>
        <v>600</v>
      </c>
      <c r="BY42" s="36">
        <f>INDEX(Encounter_Diff[Hard], MATCH(PartyCompare_4[[#This Row],[+4 Level]],Encounter_Diff[Player Level],0))</f>
        <v>900</v>
      </c>
      <c r="BZ42" s="36">
        <f>INDEX(Encounter_Diff[Deadly], MATCH(PartyCompare_4[[#This Row],[+4 Level]],Encounter_Diff[Player Level],0))</f>
        <v>1400</v>
      </c>
      <c r="CA42" s="63">
        <f>SUM(PartyCompare_4[+4 (Easy)])/INDEX(Encounter_Mod[[Small]:[Large]], MATCH(PartyCompare_4[[#This Row],[Mob Size]], Encounter_Mod[Type], 0), MATCH(PartyCompare_4[[#This Row],[Party Size]],Encounter_Mod[[#Headers],[Small]:[Large]],0))</f>
        <v>450</v>
      </c>
      <c r="CB42" s="38">
        <f>SUM(PartyCompare_4[+4 (Medium)])/INDEX(Encounter_Mod[[Small]:[Large]], MATCH(PartyCompare_4[[#This Row],[Mob Size]], Encounter_Mod[Type], 0), MATCH(PartyCompare_4[[#This Row],[Party Size]],Encounter_Mod[[#Headers],[Small]:[Large]],0))</f>
        <v>900</v>
      </c>
      <c r="CC42" s="38">
        <f>SUM(PartyCompare_4[+4 (Hard)])/INDEX(Encounter_Mod[[Small]:[Large]], MATCH(PartyCompare_4[[#This Row],[Mob Size]], Encounter_Mod[Type], 0), MATCH(PartyCompare_4[[#This Row],[Party Size]],Encounter_Mod[[#Headers],[Small]:[Large]],0))</f>
        <v>1350</v>
      </c>
      <c r="CD42" s="38">
        <f>SUM(PartyCompare_4[+4 (Deadly)])/INDEX(Encounter_Mod[[Small]:[Large]], MATCH(PartyCompare_4[[#This Row],[Mob Size]], Encounter_Mod[Type], 0), MATCH(PartyCompare_4[[#This Row],[Party Size]],Encounter_Mod[[#Headers],[Small]:[Large]],0))</f>
        <v>2100</v>
      </c>
      <c r="CE42" s="46">
        <f>(PartyCompare_4[[#This Row],[+4 Easy]]-INDEX(PartyCompare_0[+4 Easy], MATCH(PartyCompare_4[[#This Row],[Mob Size]],PartyCompare_4[Mob Size],0)))/INDEX(PartyCompare_0[+4 Easy], MATCH(PartyCompare_4[[#This Row],[Mob Size]],PartyCompare_4[Mob Size],0))</f>
        <v>-0.1</v>
      </c>
      <c r="CF42" s="39">
        <f>(PartyCompare_4[[#This Row],[+4 Medium]]-INDEX(PartyCompare_0[+4 Medium], MATCH(PartyCompare_4[[#This Row],[Mob Size]],PartyCompare_4[Mob Size],0)))/INDEX(PartyCompare_0[+4 Medium], MATCH(PartyCompare_4[[#This Row],[Mob Size]],PartyCompare_4[Mob Size],0))</f>
        <v>-0.1</v>
      </c>
      <c r="CG42" s="39">
        <f>(PartyCompare_4[[#This Row],[+4 Hard]]-INDEX(PartyCompare_0[+4 Hard], MATCH(PartyCompare_4[[#This Row],[Mob Size]],PartyCompare_4[Mob Size],0)))/INDEX(PartyCompare_0[+4 Hard], MATCH(PartyCompare_4[[#This Row],[Mob Size]],PartyCompare_4[Mob Size],0))</f>
        <v>-0.1</v>
      </c>
      <c r="CH42" s="34">
        <f>(PartyCompare_4[[#This Row],[+4 Deadly]]-INDEX(PartyCompare_0[+4 Deadly], MATCH(PartyCompare_4[[#This Row],[Mob Size]],PartyCompare_4[Mob Size],0)))/INDEX(PartyCompare_0[+4 Deadly], MATCH(PartyCompare_4[[#This Row],[Mob Size]],PartyCompare_4[Mob Size],0))</f>
        <v>-4.5454545454545456E-2</v>
      </c>
      <c r="CI42" s="48">
        <f>AVERAGE(PartyCompare_4[[#This Row],[+4 Easy Deviation]:[+4 Deadly Deviation]])</f>
        <v>-8.6363636363636379E-2</v>
      </c>
    </row>
    <row r="43" spans="2:87" x14ac:dyDescent="0.2">
      <c r="B43"/>
      <c r="C43"/>
      <c r="D43"/>
      <c r="E43"/>
      <c r="F43"/>
      <c r="G43"/>
      <c r="H43"/>
      <c r="I43"/>
      <c r="J43"/>
      <c r="L43" s="233"/>
      <c r="M43" s="91"/>
      <c r="N43" s="90"/>
      <c r="O43" s="32">
        <f>INDEX(Encounter_Diff[Easy], MATCH(PartyCompare_4[[#This Row],[Level]],Encounter_Diff[Player Level],0))</f>
        <v>0</v>
      </c>
      <c r="P43" s="32">
        <f>INDEX(Encounter_Diff[Medium], MATCH(PartyCompare_4[[#This Row],[Level]],Encounter_Diff[Player Level],0))</f>
        <v>0</v>
      </c>
      <c r="Q43" s="32">
        <f>INDEX(Encounter_Diff[Hard], MATCH(PartyCompare_4[[#This Row],[Level]],Encounter_Diff[Player Level],0))</f>
        <v>0</v>
      </c>
      <c r="R43" s="30">
        <f>INDEX(Encounter_Diff[Deadly], MATCH(PartyCompare_4[[#This Row],[Level]],Encounter_Diff[Player Level],0))</f>
        <v>0</v>
      </c>
      <c r="S43" s="97" t="str">
        <f t="shared" si="4"/>
        <v>2, 2, 2</v>
      </c>
      <c r="T43" s="32" t="str">
        <f>IF(COUNT(PartyCompare_4[Level])&lt;=2,"Small", IF(COUNT(PartyCompare_4[Level])&lt;=5,"Med", IF(COUNT(PartyCompare_4[Level])&lt;=8, "Large", "TOO BIG!")))</f>
        <v>Med</v>
      </c>
      <c r="U43" s="73" t="s">
        <v>110</v>
      </c>
      <c r="V43" s="77" t="str">
        <f>INDEX(Encounter_Mod[Count], MATCH(PartyCompare_4[[#This Row],[Mob Size]], Encounter_Mod[Type],0))</f>
        <v>7-10</v>
      </c>
      <c r="W43" s="81">
        <f>SUM(PartyCompare_4[(Easy)])/INDEX(Encounter_Mod[[Small]:[Large]], MATCH(PartyCompare_4[[#This Row],[Mob Size]], Encounter_Mod[Type], 0), MATCH(PartyCompare_4[[#This Row],[Party Size]],Encounter_Mod[[#Headers],[Small]:[Large]],0))</f>
        <v>60</v>
      </c>
      <c r="X43" s="42">
        <f>SUM(PartyCompare_4[(Medium)])/INDEX(Encounter_Mod[[Small]:[Large]], MATCH(PartyCompare_4[[#This Row],[Mob Size]], Encounter_Mod[Type], 0), MATCH(PartyCompare_4[[#This Row],[Party Size]],Encounter_Mod[[#Headers],[Small]:[Large]],0))</f>
        <v>120</v>
      </c>
      <c r="Y43" s="42">
        <f>SUM(PartyCompare_4[(Hard)])/INDEX(Encounter_Mod[[Small]:[Large]], MATCH(PartyCompare_4[[#This Row],[Mob Size]], Encounter_Mod[Type], 0), MATCH(PartyCompare_4[[#This Row],[Party Size]],Encounter_Mod[[#Headers],[Small]:[Large]],0))</f>
        <v>180</v>
      </c>
      <c r="Z43" s="43">
        <f>SUM(PartyCompare_4[(Deadly)])/INDEX(Encounter_Mod[[Small]:[Large]], MATCH(PartyCompare_4[[#This Row],[Mob Size]], Encounter_Mod[Type], 0), MATCH(PartyCompare_4[[#This Row],[Party Size]],Encounter_Mod[[#Headers],[Small]:[Large]],0))</f>
        <v>240</v>
      </c>
      <c r="AA43" s="46">
        <f>(PartyCompare_4[[#This Row],[Easy]]-INDEX(PartyCompare_0[Easy], MATCH(PartyCompare_4[[#This Row],[Mob Size]],PartyCompare_0[Mob Size],0)))/INDEX(PartyCompare_0[Easy], MATCH(PartyCompare_4[[#This Row],[Mob Size]],PartyCompare_0[Mob Size],0))</f>
        <v>0.5</v>
      </c>
      <c r="AB43" s="33">
        <f>(PartyCompare_4[[#This Row],[Medium]]-INDEX(PartyCompare_0[Medium], MATCH(PartyCompare_4[[#This Row],[Mob Size]],PartyCompare_0[Mob Size],0)))/INDEX(PartyCompare_0[Medium], MATCH(PartyCompare_4[[#This Row],[Mob Size]],PartyCompare_0[Mob Size],0))</f>
        <v>0.5</v>
      </c>
      <c r="AC43" s="33">
        <f>(PartyCompare_4[[#This Row],[Hard]]-INDEX(PartyCompare_0[Hard], MATCH(PartyCompare_4[[#This Row],[Mob Size]],PartyCompare_0[Mob Size],0)))/INDEX(PartyCompare_0[Hard], MATCH(PartyCompare_4[[#This Row],[Mob Size]],PartyCompare_0[Mob Size],0))</f>
        <v>0.5</v>
      </c>
      <c r="AD43" s="34">
        <f>(PartyCompare_4[[#This Row],[Deadly]]-INDEX(PartyCompare_0[Deadly], MATCH(PartyCompare_4[[#This Row],[Mob Size]],PartyCompare_0[Mob Size],0)))/INDEX(PartyCompare_0[Deadly], MATCH(PartyCompare_4[[#This Row],[Mob Size]],PartyCompare_0[Mob Size],0))</f>
        <v>0.5</v>
      </c>
      <c r="AE43" s="48">
        <f>AVERAGE(PartyCompare_4[[#This Row],[Easy Deviation]:[Deadly Deviation]])</f>
        <v>0.5</v>
      </c>
      <c r="AF43" s="36">
        <f>IF(ISNUMBER(PartyCompare_4[[#This Row],[Level]]), PartyCompare_4[[#This Row],[Level]]+1, PartyCompare_4[[#This Row],[Level]])</f>
        <v>0</v>
      </c>
      <c r="AG43" s="36">
        <f>INDEX(Encounter_Diff[Easy], MATCH(PartyCompare_4[[#This Row],[+1 Level]],Encounter_Diff[Player Level],0))</f>
        <v>0</v>
      </c>
      <c r="AH43" s="36">
        <f>INDEX(Encounter_Diff[Medium], MATCH(PartyCompare_4[[#This Row],[+1 Level]],Encounter_Diff[Player Level],0))</f>
        <v>0</v>
      </c>
      <c r="AI43" s="36">
        <f>INDEX(Encounter_Diff[Hard], MATCH(PartyCompare_4[[#This Row],[+1 Level]],Encounter_Diff[Player Level],0))</f>
        <v>0</v>
      </c>
      <c r="AJ43" s="36">
        <f>INDEX(Encounter_Diff[Deadly], MATCH(PartyCompare_4[[#This Row],[+1 Level]],Encounter_Diff[Player Level],0))</f>
        <v>0</v>
      </c>
      <c r="AK43" s="63">
        <f>SUM(PartyCompare_4[+1 (Easy)])/INDEX(Encounter_Mod[[Small]:[Large]], MATCH(PartyCompare_4[[#This Row],[Mob Size]], Encounter_Mod[Type], 0), MATCH(PartyCompare_4[[#This Row],[Party Size]],Encounter_Mod[[#Headers],[Small]:[Large]],0))</f>
        <v>90</v>
      </c>
      <c r="AL43" s="38">
        <f>SUM(PartyCompare_4[+1 (Medium)])/INDEX(Encounter_Mod[[Small]:[Large]], MATCH(PartyCompare_4[[#This Row],[Mob Size]], Encounter_Mod[Type], 0), MATCH(PartyCompare_4[[#This Row],[Party Size]],Encounter_Mod[[#Headers],[Small]:[Large]],0))</f>
        <v>180</v>
      </c>
      <c r="AM43" s="38">
        <f>SUM(PartyCompare_4[+1 (Hard)])/INDEX(Encounter_Mod[[Small]:[Large]], MATCH(PartyCompare_4[[#This Row],[Mob Size]], Encounter_Mod[Type], 0), MATCH(PartyCompare_4[[#This Row],[Party Size]],Encounter_Mod[[#Headers],[Small]:[Large]],0))</f>
        <v>270</v>
      </c>
      <c r="AN43" s="38">
        <f>SUM(PartyCompare_4[+1 (Deadly)])/INDEX(Encounter_Mod[[Small]:[Large]], MATCH(PartyCompare_4[[#This Row],[Mob Size]], Encounter_Mod[Type], 0), MATCH(PartyCompare_4[[#This Row],[Party Size]],Encounter_Mod[[#Headers],[Small]:[Large]],0))</f>
        <v>480</v>
      </c>
      <c r="AO43" s="46">
        <f>(PartyCompare_4[[#This Row],[+1 Easy]]-INDEX(PartyCompare_0[+1 Easy], MATCH(PartyCompare_4[[#This Row],[Mob Size]],PartyCompare_4[Mob Size],0)))/INDEX(PartyCompare_0[+1 Easy], MATCH(PartyCompare_4[[#This Row],[Mob Size]],PartyCompare_4[Mob Size],0))</f>
        <v>0.125</v>
      </c>
      <c r="AP43" s="39">
        <f>(PartyCompare_4[[#This Row],[+1 Medium]]-INDEX(PartyCompare_0[+1 Medium], MATCH(PartyCompare_4[[#This Row],[Mob Size]],PartyCompare_4[Mob Size],0)))/INDEX(PartyCompare_0[+1 Medium], MATCH(PartyCompare_4[[#This Row],[Mob Size]],PartyCompare_4[Mob Size],0))</f>
        <v>0.125</v>
      </c>
      <c r="AQ43" s="39">
        <f>(PartyCompare_4[[#This Row],[+1 Hard]]-INDEX(PartyCompare_0[+1 Hard], MATCH(PartyCompare_4[[#This Row],[Mob Size]],PartyCompare_4[Mob Size],0)))/INDEX(PartyCompare_0[+1 Hard], MATCH(PartyCompare_4[[#This Row],[Mob Size]],PartyCompare_4[Mob Size],0))</f>
        <v>0.125</v>
      </c>
      <c r="AR43" s="34">
        <f>(PartyCompare_4[[#This Row],[+1 Deadly]]-INDEX(PartyCompare_0[+1 Deadly], MATCH(PartyCompare_4[[#This Row],[Mob Size]],PartyCompare_4[Mob Size],0)))/INDEX(PartyCompare_0[+1 Deadly], MATCH(PartyCompare_4[[#This Row],[Mob Size]],PartyCompare_4[Mob Size],0))</f>
        <v>0.5</v>
      </c>
      <c r="AS43" s="48">
        <f>AVERAGE(PartyCompare_4[[#This Row],[+1 Easy Deviation]:[+1 Deadly Deviation]])</f>
        <v>0.21875</v>
      </c>
      <c r="AT43" s="36">
        <f>IF(ISNUMBER(PartyCompare_4[[#This Row],[Level]]), PartyCompare_4[[#This Row],[Level]]+2, PartyCompare_4[[#This Row],[Level]])</f>
        <v>0</v>
      </c>
      <c r="AU43" s="36">
        <f>INDEX(Encounter_Diff[Easy], MATCH(PartyCompare_4[[#This Row],[+2 Level]],Encounter_Diff[Player Level],0))</f>
        <v>0</v>
      </c>
      <c r="AV43" s="36">
        <f>INDEX(Encounter_Diff[Medium], MATCH(PartyCompare_4[[#This Row],[+2 Level]],Encounter_Diff[Player Level],0))</f>
        <v>0</v>
      </c>
      <c r="AW43" s="36">
        <f>INDEX(Encounter_Diff[Hard], MATCH(PartyCompare_4[[#This Row],[+2 Level]],Encounter_Diff[Player Level],0))</f>
        <v>0</v>
      </c>
      <c r="AX43" s="36">
        <f>INDEX(Encounter_Diff[Deadly], MATCH(PartyCompare_4[[#This Row],[+2 Level]],Encounter_Diff[Player Level],0))</f>
        <v>0</v>
      </c>
      <c r="AY43" s="63">
        <f>SUM(PartyCompare_4[+2 (Easy)])/INDEX(Encounter_Mod[[Small]:[Large]], MATCH(PartyCompare_4[[#This Row],[Mob Size]], Encounter_Mod[Type], 0), MATCH(PartyCompare_4[[#This Row],[Party Size]],Encounter_Mod[[#Headers],[Small]:[Large]],0))</f>
        <v>150</v>
      </c>
      <c r="AZ43" s="38">
        <f>SUM(PartyCompare_4[+2 (Medium)])/INDEX(Encounter_Mod[[Small]:[Large]], MATCH(PartyCompare_4[[#This Row],[Mob Size]], Encounter_Mod[Type], 0), MATCH(PartyCompare_4[[#This Row],[Party Size]],Encounter_Mod[[#Headers],[Small]:[Large]],0))</f>
        <v>300</v>
      </c>
      <c r="BA43" s="38">
        <f>SUM(PartyCompare_4[+2 (Hard)])/INDEX(Encounter_Mod[[Small]:[Large]], MATCH(PartyCompare_4[[#This Row],[Mob Size]], Encounter_Mod[Type], 0), MATCH(PartyCompare_4[[#This Row],[Party Size]],Encounter_Mod[[#Headers],[Small]:[Large]],0))</f>
        <v>450</v>
      </c>
      <c r="BB43" s="38">
        <f>SUM(PartyCompare_4[+2 (Deadly)])/INDEX(Encounter_Mod[[Small]:[Large]], MATCH(PartyCompare_4[[#This Row],[Mob Size]], Encounter_Mod[Type], 0), MATCH(PartyCompare_4[[#This Row],[Party Size]],Encounter_Mod[[#Headers],[Small]:[Large]],0))</f>
        <v>600</v>
      </c>
      <c r="BC43" s="46">
        <f>(PartyCompare_4[[#This Row],[+2 Easy]]-INDEX(PartyCompare_0[+2 Easy], MATCH(PartyCompare_4[[#This Row],[Mob Size]],PartyCompare_4[Mob Size],0)))/INDEX(PartyCompare_0[+2 Easy], MATCH(PartyCompare_4[[#This Row],[Mob Size]],PartyCompare_4[Mob Size],0))</f>
        <v>0.25</v>
      </c>
      <c r="BD43" s="39">
        <f>(PartyCompare_4[[#This Row],[+2 Medium]]-INDEX(PartyCompare_0[+2 Medium], MATCH(PartyCompare_4[[#This Row],[Mob Size]],PartyCompare_4[Mob Size],0)))/INDEX(PartyCompare_0[+2 Medium], MATCH(PartyCompare_4[[#This Row],[Mob Size]],PartyCompare_4[Mob Size],0))</f>
        <v>0.25</v>
      </c>
      <c r="BE43" s="39">
        <f>(PartyCompare_4[[#This Row],[+2 Hard]]-INDEX(PartyCompare_0[+2 Hard], MATCH(PartyCompare_4[[#This Row],[Mob Size]],PartyCompare_4[Mob Size],0)))/INDEX(PartyCompare_0[+2 Hard], MATCH(PartyCompare_4[[#This Row],[Mob Size]],PartyCompare_4[Mob Size],0))</f>
        <v>0.25</v>
      </c>
      <c r="BF43" s="34">
        <f>(PartyCompare_4[[#This Row],[+2 Deadly]]-INDEX(PartyCompare_0[+2 Deadly], MATCH(PartyCompare_4[[#This Row],[Mob Size]],PartyCompare_4[Mob Size],0)))/INDEX(PartyCompare_0[+2 Deadly], MATCH(PartyCompare_4[[#This Row],[Mob Size]],PartyCompare_4[Mob Size],0))</f>
        <v>-6.25E-2</v>
      </c>
      <c r="BG43" s="48">
        <f>AVERAGE(PartyCompare_4[[#This Row],[+2 Easy Deviation]:[+2 Deadly Deviation]])</f>
        <v>0.171875</v>
      </c>
      <c r="BH43" s="36">
        <f>IF(ISNUMBER(PartyCompare_4[[#This Row],[Level]]), PartyCompare_4[[#This Row],[Level]]+3, PartyCompare_4[[#This Row],[Level]])</f>
        <v>0</v>
      </c>
      <c r="BI43" s="36">
        <f>INDEX(Encounter_Diff[Easy], MATCH(PartyCompare_4[[#This Row],[+3 Level]],Encounter_Diff[Player Level],0))</f>
        <v>0</v>
      </c>
      <c r="BJ43" s="36">
        <f>INDEX(Encounter_Diff[Medium], MATCH(PartyCompare_4[[#This Row],[+3 Level]],Encounter_Diff[Player Level],0))</f>
        <v>0</v>
      </c>
      <c r="BK43" s="36">
        <f>INDEX(Encounter_Diff[Hard], MATCH(PartyCompare_4[[#This Row],[+3 Level]],Encounter_Diff[Player Level],0))</f>
        <v>0</v>
      </c>
      <c r="BL43" s="36">
        <f>INDEX(Encounter_Diff[Deadly], MATCH(PartyCompare_4[[#This Row],[+3 Level]],Encounter_Diff[Player Level],0))</f>
        <v>0</v>
      </c>
      <c r="BM43" s="63">
        <f>SUM(PartyCompare_4[+3 (Easy)])/INDEX(Encounter_Mod[[Small]:[Large]], MATCH(PartyCompare_4[[#This Row],[Mob Size]], Encounter_Mod[Type], 0), MATCH(PartyCompare_4[[#This Row],[Party Size]],Encounter_Mod[[#Headers],[Small]:[Large]],0))</f>
        <v>300</v>
      </c>
      <c r="BN43" s="38">
        <f>SUM(PartyCompare_4[+3 (Medium)])/INDEX(Encounter_Mod[[Small]:[Large]], MATCH(PartyCompare_4[[#This Row],[Mob Size]], Encounter_Mod[Type], 0), MATCH(PartyCompare_4[[#This Row],[Party Size]],Encounter_Mod[[#Headers],[Small]:[Large]],0))</f>
        <v>600</v>
      </c>
      <c r="BO43" s="38">
        <f>SUM(PartyCompare_4[+3 (Hard)])/INDEX(Encounter_Mod[[Small]:[Large]], MATCH(PartyCompare_4[[#This Row],[Mob Size]], Encounter_Mod[Type], 0), MATCH(PartyCompare_4[[#This Row],[Party Size]],Encounter_Mod[[#Headers],[Small]:[Large]],0))</f>
        <v>900</v>
      </c>
      <c r="BP43" s="38">
        <f>SUM(PartyCompare_4[+3 (Deadly)])/INDEX(Encounter_Mod[[Small]:[Large]], MATCH(PartyCompare_4[[#This Row],[Mob Size]], Encounter_Mod[Type], 0), MATCH(PartyCompare_4[[#This Row],[Party Size]],Encounter_Mod[[#Headers],[Small]:[Large]],0))</f>
        <v>1320</v>
      </c>
      <c r="BQ43" s="46">
        <f>(PartyCompare_4[[#This Row],[+3 Easy]]-INDEX(PartyCompare_0[+3 Easy], MATCH(PartyCompare_4[[#This Row],[Mob Size]],PartyCompare_4[Mob Size],0)))/INDEX(PartyCompare_0[+3 Easy], MATCH(PartyCompare_4[[#This Row],[Mob Size]],PartyCompare_4[Mob Size],0))</f>
        <v>0.5</v>
      </c>
      <c r="BR43" s="39">
        <f>(PartyCompare_4[[#This Row],[+3 Medium]]-INDEX(PartyCompare_0[+3 Medium], MATCH(PartyCompare_4[[#This Row],[Mob Size]],PartyCompare_4[Mob Size],0)))/INDEX(PartyCompare_0[+3 Medium], MATCH(PartyCompare_4[[#This Row],[Mob Size]],PartyCompare_4[Mob Size],0))</f>
        <v>0.5</v>
      </c>
      <c r="BS43" s="39">
        <f>(PartyCompare_4[[#This Row],[+3 Hard]]-INDEX(PartyCompare_0[+3 Hard], MATCH(PartyCompare_4[[#This Row],[Mob Size]],PartyCompare_4[Mob Size],0)))/INDEX(PartyCompare_0[+3 Hard], MATCH(PartyCompare_4[[#This Row],[Mob Size]],PartyCompare_4[Mob Size],0))</f>
        <v>0.5</v>
      </c>
      <c r="BT43" s="34">
        <f>(PartyCompare_4[[#This Row],[+3 Deadly]]-INDEX(PartyCompare_0[+3 Deadly], MATCH(PartyCompare_4[[#This Row],[Mob Size]],PartyCompare_4[Mob Size],0)))/INDEX(PartyCompare_0[+3 Deadly], MATCH(PartyCompare_4[[#This Row],[Mob Size]],PartyCompare_4[Mob Size],0))</f>
        <v>0.65</v>
      </c>
      <c r="BU43" s="48">
        <f>AVERAGE(PartyCompare_4[[#This Row],[+3 Easy Deviation]:[+3 Deadly Deviation]])</f>
        <v>0.53749999999999998</v>
      </c>
      <c r="BV43" s="36">
        <f>IF(ISNUMBER(PartyCompare_4[[#This Row],[Level]]), PartyCompare_4[[#This Row],[Level]]+4, PartyCompare_4[[#This Row],[Level]])</f>
        <v>0</v>
      </c>
      <c r="BW43" s="36">
        <f>INDEX(Encounter_Diff[Easy], MATCH(PartyCompare_4[[#This Row],[+4 Level]],Encounter_Diff[Player Level],0))</f>
        <v>0</v>
      </c>
      <c r="BX43" s="36">
        <f>INDEX(Encounter_Diff[Medium], MATCH(PartyCompare_4[[#This Row],[+4 Level]],Encounter_Diff[Player Level],0))</f>
        <v>0</v>
      </c>
      <c r="BY43" s="36">
        <f>INDEX(Encounter_Diff[Hard], MATCH(PartyCompare_4[[#This Row],[+4 Level]],Encounter_Diff[Player Level],0))</f>
        <v>0</v>
      </c>
      <c r="BZ43" s="36">
        <f>INDEX(Encounter_Diff[Deadly], MATCH(PartyCompare_4[[#This Row],[+4 Level]],Encounter_Diff[Player Level],0))</f>
        <v>0</v>
      </c>
      <c r="CA43" s="63">
        <f>SUM(PartyCompare_4[+4 (Easy)])/INDEX(Encounter_Mod[[Small]:[Large]], MATCH(PartyCompare_4[[#This Row],[Mob Size]], Encounter_Mod[Type], 0), MATCH(PartyCompare_4[[#This Row],[Party Size]],Encounter_Mod[[#Headers],[Small]:[Large]],0))</f>
        <v>360</v>
      </c>
      <c r="CB43" s="38">
        <f>SUM(PartyCompare_4[+4 (Medium)])/INDEX(Encounter_Mod[[Small]:[Large]], MATCH(PartyCompare_4[[#This Row],[Mob Size]], Encounter_Mod[Type], 0), MATCH(PartyCompare_4[[#This Row],[Party Size]],Encounter_Mod[[#Headers],[Small]:[Large]],0))</f>
        <v>720</v>
      </c>
      <c r="CC43" s="38">
        <f>SUM(PartyCompare_4[+4 (Hard)])/INDEX(Encounter_Mod[[Small]:[Large]], MATCH(PartyCompare_4[[#This Row],[Mob Size]], Encounter_Mod[Type], 0), MATCH(PartyCompare_4[[#This Row],[Party Size]],Encounter_Mod[[#Headers],[Small]:[Large]],0))</f>
        <v>1080</v>
      </c>
      <c r="CD43" s="38">
        <f>SUM(PartyCompare_4[+4 (Deadly)])/INDEX(Encounter_Mod[[Small]:[Large]], MATCH(PartyCompare_4[[#This Row],[Mob Size]], Encounter_Mod[Type], 0), MATCH(PartyCompare_4[[#This Row],[Party Size]],Encounter_Mod[[#Headers],[Small]:[Large]],0))</f>
        <v>1680</v>
      </c>
      <c r="CE43" s="46">
        <f>(PartyCompare_4[[#This Row],[+4 Easy]]-INDEX(PartyCompare_0[+4 Easy], MATCH(PartyCompare_4[[#This Row],[Mob Size]],PartyCompare_4[Mob Size],0)))/INDEX(PartyCompare_0[+4 Easy], MATCH(PartyCompare_4[[#This Row],[Mob Size]],PartyCompare_4[Mob Size],0))</f>
        <v>-0.1</v>
      </c>
      <c r="CF43" s="39">
        <f>(PartyCompare_4[[#This Row],[+4 Medium]]-INDEX(PartyCompare_0[+4 Medium], MATCH(PartyCompare_4[[#This Row],[Mob Size]],PartyCompare_4[Mob Size],0)))/INDEX(PartyCompare_0[+4 Medium], MATCH(PartyCompare_4[[#This Row],[Mob Size]],PartyCompare_4[Mob Size],0))</f>
        <v>-0.1</v>
      </c>
      <c r="CG43" s="39">
        <f>(PartyCompare_4[[#This Row],[+4 Hard]]-INDEX(PartyCompare_0[+4 Hard], MATCH(PartyCompare_4[[#This Row],[Mob Size]],PartyCompare_4[Mob Size],0)))/INDEX(PartyCompare_0[+4 Hard], MATCH(PartyCompare_4[[#This Row],[Mob Size]],PartyCompare_4[Mob Size],0))</f>
        <v>-0.1</v>
      </c>
      <c r="CH43" s="34">
        <f>(PartyCompare_4[[#This Row],[+4 Deadly]]-INDEX(PartyCompare_0[+4 Deadly], MATCH(PartyCompare_4[[#This Row],[Mob Size]],PartyCompare_4[Mob Size],0)))/INDEX(PartyCompare_0[+4 Deadly], MATCH(PartyCompare_4[[#This Row],[Mob Size]],PartyCompare_4[Mob Size],0))</f>
        <v>-4.5454545454545456E-2</v>
      </c>
      <c r="CI43" s="48">
        <f>AVERAGE(PartyCompare_4[[#This Row],[+4 Easy Deviation]:[+4 Deadly Deviation]])</f>
        <v>-8.6363636363636379E-2</v>
      </c>
    </row>
    <row r="44" spans="2:87" x14ac:dyDescent="0.2">
      <c r="B44"/>
      <c r="C44"/>
      <c r="D44"/>
      <c r="E44"/>
      <c r="F44"/>
      <c r="G44"/>
      <c r="H44"/>
      <c r="I44"/>
      <c r="J44"/>
      <c r="L44" s="233"/>
      <c r="M44" s="91"/>
      <c r="N44" s="90"/>
      <c r="O44" s="32">
        <f>INDEX(Encounter_Diff[Easy], MATCH(PartyCompare_4[[#This Row],[Level]],Encounter_Diff[Player Level],0))</f>
        <v>0</v>
      </c>
      <c r="P44" s="32">
        <f>INDEX(Encounter_Diff[Medium], MATCH(PartyCompare_4[[#This Row],[Level]],Encounter_Diff[Player Level],0))</f>
        <v>0</v>
      </c>
      <c r="Q44" s="32">
        <f>INDEX(Encounter_Diff[Hard], MATCH(PartyCompare_4[[#This Row],[Level]],Encounter_Diff[Player Level],0))</f>
        <v>0</v>
      </c>
      <c r="R44" s="30">
        <f>INDEX(Encounter_Diff[Deadly], MATCH(PartyCompare_4[[#This Row],[Level]],Encounter_Diff[Player Level],0))</f>
        <v>0</v>
      </c>
      <c r="S44" s="97" t="str">
        <f t="shared" si="4"/>
        <v>2, 2, 2</v>
      </c>
      <c r="T44" s="32" t="str">
        <f>IF(COUNT(PartyCompare_4[Level])&lt;=2,"Small", IF(COUNT(PartyCompare_4[Level])&lt;=5,"Med", IF(COUNT(PartyCompare_4[Level])&lt;=8, "Large", "TOO BIG!")))</f>
        <v>Med</v>
      </c>
      <c r="U44" s="73" t="s">
        <v>111</v>
      </c>
      <c r="V44" s="77" t="str">
        <f>INDEX(Encounter_Mod[Count], MATCH(PartyCompare_4[[#This Row],[Mob Size]], Encounter_Mod[Type],0))</f>
        <v>11-14</v>
      </c>
      <c r="W44" s="81">
        <f>SUM(PartyCompare_4[(Easy)])/INDEX(Encounter_Mod[[Small]:[Large]], MATCH(PartyCompare_4[[#This Row],[Mob Size]], Encounter_Mod[Type], 0), MATCH(PartyCompare_4[[#This Row],[Party Size]],Encounter_Mod[[#Headers],[Small]:[Large]],0))</f>
        <v>50</v>
      </c>
      <c r="X44" s="42">
        <f>SUM(PartyCompare_4[(Medium)])/INDEX(Encounter_Mod[[Small]:[Large]], MATCH(PartyCompare_4[[#This Row],[Mob Size]], Encounter_Mod[Type], 0), MATCH(PartyCompare_4[[#This Row],[Party Size]],Encounter_Mod[[#Headers],[Small]:[Large]],0))</f>
        <v>100</v>
      </c>
      <c r="Y44" s="42">
        <f>SUM(PartyCompare_4[(Hard)])/INDEX(Encounter_Mod[[Small]:[Large]], MATCH(PartyCompare_4[[#This Row],[Mob Size]], Encounter_Mod[Type], 0), MATCH(PartyCompare_4[[#This Row],[Party Size]],Encounter_Mod[[#Headers],[Small]:[Large]],0))</f>
        <v>150</v>
      </c>
      <c r="Z44" s="43">
        <f>SUM(PartyCompare_4[(Deadly)])/INDEX(Encounter_Mod[[Small]:[Large]], MATCH(PartyCompare_4[[#This Row],[Mob Size]], Encounter_Mod[Type], 0), MATCH(PartyCompare_4[[#This Row],[Party Size]],Encounter_Mod[[#Headers],[Small]:[Large]],0))</f>
        <v>200</v>
      </c>
      <c r="AA44" s="46">
        <f>(PartyCompare_4[[#This Row],[Easy]]-INDEX(PartyCompare_0[Easy], MATCH(PartyCompare_4[[#This Row],[Mob Size]],PartyCompare_0[Mob Size],0)))/INDEX(PartyCompare_0[Easy], MATCH(PartyCompare_4[[#This Row],[Mob Size]],PartyCompare_0[Mob Size],0))</f>
        <v>0.49999999999999989</v>
      </c>
      <c r="AB44" s="33">
        <f>(PartyCompare_4[[#This Row],[Medium]]-INDEX(PartyCompare_0[Medium], MATCH(PartyCompare_4[[#This Row],[Mob Size]],PartyCompare_0[Mob Size],0)))/INDEX(PartyCompare_0[Medium], MATCH(PartyCompare_4[[#This Row],[Mob Size]],PartyCompare_0[Mob Size],0))</f>
        <v>0.49999999999999989</v>
      </c>
      <c r="AC44" s="33">
        <f>(PartyCompare_4[[#This Row],[Hard]]-INDEX(PartyCompare_0[Hard], MATCH(PartyCompare_4[[#This Row],[Mob Size]],PartyCompare_0[Mob Size],0)))/INDEX(PartyCompare_0[Hard], MATCH(PartyCompare_4[[#This Row],[Mob Size]],PartyCompare_0[Mob Size],0))</f>
        <v>0.5</v>
      </c>
      <c r="AD44" s="34">
        <f>(PartyCompare_4[[#This Row],[Deadly]]-INDEX(PartyCompare_0[Deadly], MATCH(PartyCompare_4[[#This Row],[Mob Size]],PartyCompare_0[Mob Size],0)))/INDEX(PartyCompare_0[Deadly], MATCH(PartyCompare_4[[#This Row],[Mob Size]],PartyCompare_0[Mob Size],0))</f>
        <v>0.49999999999999989</v>
      </c>
      <c r="AE44" s="48">
        <f>AVERAGE(PartyCompare_4[[#This Row],[Easy Deviation]:[Deadly Deviation]])</f>
        <v>0.49999999999999989</v>
      </c>
      <c r="AF44" s="36">
        <f>IF(ISNUMBER(PartyCompare_4[[#This Row],[Level]]), PartyCompare_4[[#This Row],[Level]]+1, PartyCompare_4[[#This Row],[Level]])</f>
        <v>0</v>
      </c>
      <c r="AG44" s="36">
        <f>INDEX(Encounter_Diff[Easy], MATCH(PartyCompare_4[[#This Row],[+1 Level]],Encounter_Diff[Player Level],0))</f>
        <v>0</v>
      </c>
      <c r="AH44" s="36">
        <f>INDEX(Encounter_Diff[Medium], MATCH(PartyCompare_4[[#This Row],[+1 Level]],Encounter_Diff[Player Level],0))</f>
        <v>0</v>
      </c>
      <c r="AI44" s="36">
        <f>INDEX(Encounter_Diff[Hard], MATCH(PartyCompare_4[[#This Row],[+1 Level]],Encounter_Diff[Player Level],0))</f>
        <v>0</v>
      </c>
      <c r="AJ44" s="36">
        <f>INDEX(Encounter_Diff[Deadly], MATCH(PartyCompare_4[[#This Row],[+1 Level]],Encounter_Diff[Player Level],0))</f>
        <v>0</v>
      </c>
      <c r="AK44" s="63">
        <f>SUM(PartyCompare_4[+1 (Easy)])/INDEX(Encounter_Mod[[Small]:[Large]], MATCH(PartyCompare_4[[#This Row],[Mob Size]], Encounter_Mod[Type], 0), MATCH(PartyCompare_4[[#This Row],[Party Size]],Encounter_Mod[[#Headers],[Small]:[Large]],0))</f>
        <v>75</v>
      </c>
      <c r="AL44" s="38">
        <f>SUM(PartyCompare_4[+1 (Medium)])/INDEX(Encounter_Mod[[Small]:[Large]], MATCH(PartyCompare_4[[#This Row],[Mob Size]], Encounter_Mod[Type], 0), MATCH(PartyCompare_4[[#This Row],[Party Size]],Encounter_Mod[[#Headers],[Small]:[Large]],0))</f>
        <v>150</v>
      </c>
      <c r="AM44" s="38">
        <f>SUM(PartyCompare_4[+1 (Hard)])/INDEX(Encounter_Mod[[Small]:[Large]], MATCH(PartyCompare_4[[#This Row],[Mob Size]], Encounter_Mod[Type], 0), MATCH(PartyCompare_4[[#This Row],[Party Size]],Encounter_Mod[[#Headers],[Small]:[Large]],0))</f>
        <v>225</v>
      </c>
      <c r="AN44" s="38">
        <f>SUM(PartyCompare_4[+1 (Deadly)])/INDEX(Encounter_Mod[[Small]:[Large]], MATCH(PartyCompare_4[[#This Row],[Mob Size]], Encounter_Mod[Type], 0), MATCH(PartyCompare_4[[#This Row],[Party Size]],Encounter_Mod[[#Headers],[Small]:[Large]],0))</f>
        <v>400</v>
      </c>
      <c r="AO44" s="46">
        <f>(PartyCompare_4[[#This Row],[+1 Easy]]-INDEX(PartyCompare_0[+1 Easy], MATCH(PartyCompare_4[[#This Row],[Mob Size]],PartyCompare_4[Mob Size],0)))/INDEX(PartyCompare_0[+1 Easy], MATCH(PartyCompare_4[[#This Row],[Mob Size]],PartyCompare_4[Mob Size],0))</f>
        <v>0.12499999999999992</v>
      </c>
      <c r="AP44" s="39">
        <f>(PartyCompare_4[[#This Row],[+1 Medium]]-INDEX(PartyCompare_0[+1 Medium], MATCH(PartyCompare_4[[#This Row],[Mob Size]],PartyCompare_4[Mob Size],0)))/INDEX(PartyCompare_0[+1 Medium], MATCH(PartyCompare_4[[#This Row],[Mob Size]],PartyCompare_4[Mob Size],0))</f>
        <v>0.12499999999999992</v>
      </c>
      <c r="AQ44" s="39">
        <f>(PartyCompare_4[[#This Row],[+1 Hard]]-INDEX(PartyCompare_0[+1 Hard], MATCH(PartyCompare_4[[#This Row],[Mob Size]],PartyCompare_4[Mob Size],0)))/INDEX(PartyCompare_0[+1 Hard], MATCH(PartyCompare_4[[#This Row],[Mob Size]],PartyCompare_4[Mob Size],0))</f>
        <v>0.125</v>
      </c>
      <c r="AR44" s="34">
        <f>(PartyCompare_4[[#This Row],[+1 Deadly]]-INDEX(PartyCompare_0[+1 Deadly], MATCH(PartyCompare_4[[#This Row],[Mob Size]],PartyCompare_4[Mob Size],0)))/INDEX(PartyCompare_0[+1 Deadly], MATCH(PartyCompare_4[[#This Row],[Mob Size]],PartyCompare_4[Mob Size],0))</f>
        <v>0.49999999999999989</v>
      </c>
      <c r="AS44" s="48">
        <f>AVERAGE(PartyCompare_4[[#This Row],[+1 Easy Deviation]:[+1 Deadly Deviation]])</f>
        <v>0.21874999999999994</v>
      </c>
      <c r="AT44" s="36">
        <f>IF(ISNUMBER(PartyCompare_4[[#This Row],[Level]]), PartyCompare_4[[#This Row],[Level]]+2, PartyCompare_4[[#This Row],[Level]])</f>
        <v>0</v>
      </c>
      <c r="AU44" s="36">
        <f>INDEX(Encounter_Diff[Easy], MATCH(PartyCompare_4[[#This Row],[+2 Level]],Encounter_Diff[Player Level],0))</f>
        <v>0</v>
      </c>
      <c r="AV44" s="36">
        <f>INDEX(Encounter_Diff[Medium], MATCH(PartyCompare_4[[#This Row],[+2 Level]],Encounter_Diff[Player Level],0))</f>
        <v>0</v>
      </c>
      <c r="AW44" s="36">
        <f>INDEX(Encounter_Diff[Hard], MATCH(PartyCompare_4[[#This Row],[+2 Level]],Encounter_Diff[Player Level],0))</f>
        <v>0</v>
      </c>
      <c r="AX44" s="36">
        <f>INDEX(Encounter_Diff[Deadly], MATCH(PartyCompare_4[[#This Row],[+2 Level]],Encounter_Diff[Player Level],0))</f>
        <v>0</v>
      </c>
      <c r="AY44" s="63">
        <f>SUM(PartyCompare_4[+2 (Easy)])/INDEX(Encounter_Mod[[Small]:[Large]], MATCH(PartyCompare_4[[#This Row],[Mob Size]], Encounter_Mod[Type], 0), MATCH(PartyCompare_4[[#This Row],[Party Size]],Encounter_Mod[[#Headers],[Small]:[Large]],0))</f>
        <v>125</v>
      </c>
      <c r="AZ44" s="38">
        <f>SUM(PartyCompare_4[+2 (Medium)])/INDEX(Encounter_Mod[[Small]:[Large]], MATCH(PartyCompare_4[[#This Row],[Mob Size]], Encounter_Mod[Type], 0), MATCH(PartyCompare_4[[#This Row],[Party Size]],Encounter_Mod[[#Headers],[Small]:[Large]],0))</f>
        <v>250</v>
      </c>
      <c r="BA44" s="38">
        <f>SUM(PartyCompare_4[+2 (Hard)])/INDEX(Encounter_Mod[[Small]:[Large]], MATCH(PartyCompare_4[[#This Row],[Mob Size]], Encounter_Mod[Type], 0), MATCH(PartyCompare_4[[#This Row],[Party Size]],Encounter_Mod[[#Headers],[Small]:[Large]],0))</f>
        <v>375</v>
      </c>
      <c r="BB44" s="38">
        <f>SUM(PartyCompare_4[+2 (Deadly)])/INDEX(Encounter_Mod[[Small]:[Large]], MATCH(PartyCompare_4[[#This Row],[Mob Size]], Encounter_Mod[Type], 0), MATCH(PartyCompare_4[[#This Row],[Party Size]],Encounter_Mod[[#Headers],[Small]:[Large]],0))</f>
        <v>500</v>
      </c>
      <c r="BC44" s="46">
        <f>(PartyCompare_4[[#This Row],[+2 Easy]]-INDEX(PartyCompare_0[+2 Easy], MATCH(PartyCompare_4[[#This Row],[Mob Size]],PartyCompare_4[Mob Size],0)))/INDEX(PartyCompare_0[+2 Easy], MATCH(PartyCompare_4[[#This Row],[Mob Size]],PartyCompare_4[Mob Size],0))</f>
        <v>0.25</v>
      </c>
      <c r="BD44" s="39">
        <f>(PartyCompare_4[[#This Row],[+2 Medium]]-INDEX(PartyCompare_0[+2 Medium], MATCH(PartyCompare_4[[#This Row],[Mob Size]],PartyCompare_4[Mob Size],0)))/INDEX(PartyCompare_0[+2 Medium], MATCH(PartyCompare_4[[#This Row],[Mob Size]],PartyCompare_4[Mob Size],0))</f>
        <v>0.25</v>
      </c>
      <c r="BE44" s="39">
        <f>(PartyCompare_4[[#This Row],[+2 Hard]]-INDEX(PartyCompare_0[+2 Hard], MATCH(PartyCompare_4[[#This Row],[Mob Size]],PartyCompare_4[Mob Size],0)))/INDEX(PartyCompare_0[+2 Hard], MATCH(PartyCompare_4[[#This Row],[Mob Size]],PartyCompare_4[Mob Size],0))</f>
        <v>0.25</v>
      </c>
      <c r="BF44" s="34">
        <f>(PartyCompare_4[[#This Row],[+2 Deadly]]-INDEX(PartyCompare_0[+2 Deadly], MATCH(PartyCompare_4[[#This Row],[Mob Size]],PartyCompare_4[Mob Size],0)))/INDEX(PartyCompare_0[+2 Deadly], MATCH(PartyCompare_4[[#This Row],[Mob Size]],PartyCompare_4[Mob Size],0))</f>
        <v>-6.2500000000000069E-2</v>
      </c>
      <c r="BG44" s="48">
        <f>AVERAGE(PartyCompare_4[[#This Row],[+2 Easy Deviation]:[+2 Deadly Deviation]])</f>
        <v>0.17187499999999997</v>
      </c>
      <c r="BH44" s="36">
        <f>IF(ISNUMBER(PartyCompare_4[[#This Row],[Level]]), PartyCompare_4[[#This Row],[Level]]+3, PartyCompare_4[[#This Row],[Level]])</f>
        <v>0</v>
      </c>
      <c r="BI44" s="36">
        <f>INDEX(Encounter_Diff[Easy], MATCH(PartyCompare_4[[#This Row],[+3 Level]],Encounter_Diff[Player Level],0))</f>
        <v>0</v>
      </c>
      <c r="BJ44" s="36">
        <f>INDEX(Encounter_Diff[Medium], MATCH(PartyCompare_4[[#This Row],[+3 Level]],Encounter_Diff[Player Level],0))</f>
        <v>0</v>
      </c>
      <c r="BK44" s="36">
        <f>INDEX(Encounter_Diff[Hard], MATCH(PartyCompare_4[[#This Row],[+3 Level]],Encounter_Diff[Player Level],0))</f>
        <v>0</v>
      </c>
      <c r="BL44" s="36">
        <f>INDEX(Encounter_Diff[Deadly], MATCH(PartyCompare_4[[#This Row],[+3 Level]],Encounter_Diff[Player Level],0))</f>
        <v>0</v>
      </c>
      <c r="BM44" s="63">
        <f>SUM(PartyCompare_4[+3 (Easy)])/INDEX(Encounter_Mod[[Small]:[Large]], MATCH(PartyCompare_4[[#This Row],[Mob Size]], Encounter_Mod[Type], 0), MATCH(PartyCompare_4[[#This Row],[Party Size]],Encounter_Mod[[#Headers],[Small]:[Large]],0))</f>
        <v>250</v>
      </c>
      <c r="BN44" s="38">
        <f>SUM(PartyCompare_4[+3 (Medium)])/INDEX(Encounter_Mod[[Small]:[Large]], MATCH(PartyCompare_4[[#This Row],[Mob Size]], Encounter_Mod[Type], 0), MATCH(PartyCompare_4[[#This Row],[Party Size]],Encounter_Mod[[#Headers],[Small]:[Large]],0))</f>
        <v>500</v>
      </c>
      <c r="BO44" s="38">
        <f>SUM(PartyCompare_4[+3 (Hard)])/INDEX(Encounter_Mod[[Small]:[Large]], MATCH(PartyCompare_4[[#This Row],[Mob Size]], Encounter_Mod[Type], 0), MATCH(PartyCompare_4[[#This Row],[Party Size]],Encounter_Mod[[#Headers],[Small]:[Large]],0))</f>
        <v>750</v>
      </c>
      <c r="BP44" s="38">
        <f>SUM(PartyCompare_4[+3 (Deadly)])/INDEX(Encounter_Mod[[Small]:[Large]], MATCH(PartyCompare_4[[#This Row],[Mob Size]], Encounter_Mod[Type], 0), MATCH(PartyCompare_4[[#This Row],[Party Size]],Encounter_Mod[[#Headers],[Small]:[Large]],0))</f>
        <v>1100</v>
      </c>
      <c r="BQ44" s="46">
        <f>(PartyCompare_4[[#This Row],[+3 Easy]]-INDEX(PartyCompare_0[+3 Easy], MATCH(PartyCompare_4[[#This Row],[Mob Size]],PartyCompare_4[Mob Size],0)))/INDEX(PartyCompare_0[+3 Easy], MATCH(PartyCompare_4[[#This Row],[Mob Size]],PartyCompare_4[Mob Size],0))</f>
        <v>0.50000000000000011</v>
      </c>
      <c r="BR44" s="39">
        <f>(PartyCompare_4[[#This Row],[+3 Medium]]-INDEX(PartyCompare_0[+3 Medium], MATCH(PartyCompare_4[[#This Row],[Mob Size]],PartyCompare_4[Mob Size],0)))/INDEX(PartyCompare_0[+3 Medium], MATCH(PartyCompare_4[[#This Row],[Mob Size]],PartyCompare_4[Mob Size],0))</f>
        <v>0.50000000000000011</v>
      </c>
      <c r="BS44" s="39">
        <f>(PartyCompare_4[[#This Row],[+3 Hard]]-INDEX(PartyCompare_0[+3 Hard], MATCH(PartyCompare_4[[#This Row],[Mob Size]],PartyCompare_4[Mob Size],0)))/INDEX(PartyCompare_0[+3 Hard], MATCH(PartyCompare_4[[#This Row],[Mob Size]],PartyCompare_4[Mob Size],0))</f>
        <v>0.5</v>
      </c>
      <c r="BT44" s="34">
        <f>(PartyCompare_4[[#This Row],[+3 Deadly]]-INDEX(PartyCompare_0[+3 Deadly], MATCH(PartyCompare_4[[#This Row],[Mob Size]],PartyCompare_4[Mob Size],0)))/INDEX(PartyCompare_0[+3 Deadly], MATCH(PartyCompare_4[[#This Row],[Mob Size]],PartyCompare_4[Mob Size],0))</f>
        <v>0.65000000000000013</v>
      </c>
      <c r="BU44" s="48">
        <f>AVERAGE(PartyCompare_4[[#This Row],[+3 Easy Deviation]:[+3 Deadly Deviation]])</f>
        <v>0.53750000000000009</v>
      </c>
      <c r="BV44" s="36">
        <f>IF(ISNUMBER(PartyCompare_4[[#This Row],[Level]]), PartyCompare_4[[#This Row],[Level]]+4, PartyCompare_4[[#This Row],[Level]])</f>
        <v>0</v>
      </c>
      <c r="BW44" s="36">
        <f>INDEX(Encounter_Diff[Easy], MATCH(PartyCompare_4[[#This Row],[+4 Level]],Encounter_Diff[Player Level],0))</f>
        <v>0</v>
      </c>
      <c r="BX44" s="36">
        <f>INDEX(Encounter_Diff[Medium], MATCH(PartyCompare_4[[#This Row],[+4 Level]],Encounter_Diff[Player Level],0))</f>
        <v>0</v>
      </c>
      <c r="BY44" s="36">
        <f>INDEX(Encounter_Diff[Hard], MATCH(PartyCompare_4[[#This Row],[+4 Level]],Encounter_Diff[Player Level],0))</f>
        <v>0</v>
      </c>
      <c r="BZ44" s="36">
        <f>INDEX(Encounter_Diff[Deadly], MATCH(PartyCompare_4[[#This Row],[+4 Level]],Encounter_Diff[Player Level],0))</f>
        <v>0</v>
      </c>
      <c r="CA44" s="63">
        <f>SUM(PartyCompare_4[+4 (Easy)])/INDEX(Encounter_Mod[[Small]:[Large]], MATCH(PartyCompare_4[[#This Row],[Mob Size]], Encounter_Mod[Type], 0), MATCH(PartyCompare_4[[#This Row],[Party Size]],Encounter_Mod[[#Headers],[Small]:[Large]],0))</f>
        <v>300</v>
      </c>
      <c r="CB44" s="38">
        <f>SUM(PartyCompare_4[+4 (Medium)])/INDEX(Encounter_Mod[[Small]:[Large]], MATCH(PartyCompare_4[[#This Row],[Mob Size]], Encounter_Mod[Type], 0), MATCH(PartyCompare_4[[#This Row],[Party Size]],Encounter_Mod[[#Headers],[Small]:[Large]],0))</f>
        <v>600</v>
      </c>
      <c r="CC44" s="38">
        <f>SUM(PartyCompare_4[+4 (Hard)])/INDEX(Encounter_Mod[[Small]:[Large]], MATCH(PartyCompare_4[[#This Row],[Mob Size]], Encounter_Mod[Type], 0), MATCH(PartyCompare_4[[#This Row],[Party Size]],Encounter_Mod[[#Headers],[Small]:[Large]],0))</f>
        <v>900</v>
      </c>
      <c r="CD44" s="38">
        <f>SUM(PartyCompare_4[+4 (Deadly)])/INDEX(Encounter_Mod[[Small]:[Large]], MATCH(PartyCompare_4[[#This Row],[Mob Size]], Encounter_Mod[Type], 0), MATCH(PartyCompare_4[[#This Row],[Party Size]],Encounter_Mod[[#Headers],[Small]:[Large]],0))</f>
        <v>1400</v>
      </c>
      <c r="CE44" s="46">
        <f>(PartyCompare_4[[#This Row],[+4 Easy]]-INDEX(PartyCompare_0[+4 Easy], MATCH(PartyCompare_4[[#This Row],[Mob Size]],PartyCompare_4[Mob Size],0)))/INDEX(PartyCompare_0[+4 Easy], MATCH(PartyCompare_4[[#This Row],[Mob Size]],PartyCompare_4[Mob Size],0))</f>
        <v>-9.999999999999995E-2</v>
      </c>
      <c r="CF44" s="39">
        <f>(PartyCompare_4[[#This Row],[+4 Medium]]-INDEX(PartyCompare_0[+4 Medium], MATCH(PartyCompare_4[[#This Row],[Mob Size]],PartyCompare_4[Mob Size],0)))/INDEX(PartyCompare_0[+4 Medium], MATCH(PartyCompare_4[[#This Row],[Mob Size]],PartyCompare_4[Mob Size],0))</f>
        <v>-9.999999999999995E-2</v>
      </c>
      <c r="CG44" s="39">
        <f>(PartyCompare_4[[#This Row],[+4 Hard]]-INDEX(PartyCompare_0[+4 Hard], MATCH(PartyCompare_4[[#This Row],[Mob Size]],PartyCompare_4[Mob Size],0)))/INDEX(PartyCompare_0[+4 Hard], MATCH(PartyCompare_4[[#This Row],[Mob Size]],PartyCompare_4[Mob Size],0))</f>
        <v>-0.1</v>
      </c>
      <c r="CH44" s="34">
        <f>(PartyCompare_4[[#This Row],[+4 Deadly]]-INDEX(PartyCompare_0[+4 Deadly], MATCH(PartyCompare_4[[#This Row],[Mob Size]],PartyCompare_4[Mob Size],0)))/INDEX(PartyCompare_0[+4 Deadly], MATCH(PartyCompare_4[[#This Row],[Mob Size]],PartyCompare_4[Mob Size],0))</f>
        <v>-4.5454545454545504E-2</v>
      </c>
      <c r="CI44" s="48">
        <f>AVERAGE(PartyCompare_4[[#This Row],[+4 Easy Deviation]:[+4 Deadly Deviation]])</f>
        <v>-8.6363636363636365E-2</v>
      </c>
    </row>
    <row r="45" spans="2:87" x14ac:dyDescent="0.2">
      <c r="B45"/>
      <c r="C45"/>
      <c r="D45"/>
      <c r="E45"/>
      <c r="F45"/>
      <c r="G45"/>
      <c r="H45"/>
      <c r="I45"/>
      <c r="J45"/>
      <c r="L45" s="233"/>
      <c r="M45" s="91"/>
      <c r="N45" s="90"/>
      <c r="O45" s="32">
        <f>INDEX(Encounter_Diff[Easy], MATCH(PartyCompare_4[[#This Row],[Level]],Encounter_Diff[Player Level],0))</f>
        <v>0</v>
      </c>
      <c r="P45" s="32">
        <f>INDEX(Encounter_Diff[Medium], MATCH(PartyCompare_4[[#This Row],[Level]],Encounter_Diff[Player Level],0))</f>
        <v>0</v>
      </c>
      <c r="Q45" s="32">
        <f>INDEX(Encounter_Diff[Hard], MATCH(PartyCompare_4[[#This Row],[Level]],Encounter_Diff[Player Level],0))</f>
        <v>0</v>
      </c>
      <c r="R45" s="30">
        <f>INDEX(Encounter_Diff[Deadly], MATCH(PartyCompare_4[[#This Row],[Level]],Encounter_Diff[Player Level],0))</f>
        <v>0</v>
      </c>
      <c r="S45" s="97" t="str">
        <f t="shared" si="4"/>
        <v>2, 2, 2</v>
      </c>
      <c r="T45" s="32" t="str">
        <f>IF(COUNT(PartyCompare_4[Level])&lt;=2,"Small", IF(COUNT(PartyCompare_4[Level])&lt;=5,"Med", IF(COUNT(PartyCompare_4[Level])&lt;=8, "Large", "TOO BIG!")))</f>
        <v>Med</v>
      </c>
      <c r="U45" s="73" t="s">
        <v>112</v>
      </c>
      <c r="V45" s="77" t="str">
        <f>INDEX(Encounter_Mod[Count], MATCH(PartyCompare_4[[#This Row],[Mob Size]], Encounter_Mod[Type],0))</f>
        <v>15+</v>
      </c>
      <c r="W45" s="81">
        <f>SUM(PartyCompare_4[(Easy)])/INDEX(Encounter_Mod[[Small]:[Large]], MATCH(PartyCompare_4[[#This Row],[Mob Size]], Encounter_Mod[Type], 0), MATCH(PartyCompare_4[[#This Row],[Party Size]],Encounter_Mod[[#Headers],[Small]:[Large]],0))</f>
        <v>37.5</v>
      </c>
      <c r="X45" s="42">
        <f>SUM(PartyCompare_4[(Medium)])/INDEX(Encounter_Mod[[Small]:[Large]], MATCH(PartyCompare_4[[#This Row],[Mob Size]], Encounter_Mod[Type], 0), MATCH(PartyCompare_4[[#This Row],[Party Size]],Encounter_Mod[[#Headers],[Small]:[Large]],0))</f>
        <v>75</v>
      </c>
      <c r="Y45" s="42">
        <f>SUM(PartyCompare_4[(Hard)])/INDEX(Encounter_Mod[[Small]:[Large]], MATCH(PartyCompare_4[[#This Row],[Mob Size]], Encounter_Mod[Type], 0), MATCH(PartyCompare_4[[#This Row],[Party Size]],Encounter_Mod[[#Headers],[Small]:[Large]],0))</f>
        <v>112.5</v>
      </c>
      <c r="Z45" s="43">
        <f>SUM(PartyCompare_4[(Deadly)])/INDEX(Encounter_Mod[[Small]:[Large]], MATCH(PartyCompare_4[[#This Row],[Mob Size]], Encounter_Mod[Type], 0), MATCH(PartyCompare_4[[#This Row],[Party Size]],Encounter_Mod[[#Headers],[Small]:[Large]],0))</f>
        <v>150</v>
      </c>
      <c r="AA45" s="46">
        <f>(PartyCompare_4[[#This Row],[Easy]]-INDEX(PartyCompare_0[Easy], MATCH(PartyCompare_4[[#This Row],[Mob Size]],PartyCompare_0[Mob Size],0)))/INDEX(PartyCompare_0[Easy], MATCH(PartyCompare_4[[#This Row],[Mob Size]],PartyCompare_0[Mob Size],0))</f>
        <v>0.5</v>
      </c>
      <c r="AB45" s="33">
        <f>(PartyCompare_4[[#This Row],[Medium]]-INDEX(PartyCompare_0[Medium], MATCH(PartyCompare_4[[#This Row],[Mob Size]],PartyCompare_0[Mob Size],0)))/INDEX(PartyCompare_0[Medium], MATCH(PartyCompare_4[[#This Row],[Mob Size]],PartyCompare_0[Mob Size],0))</f>
        <v>0.5</v>
      </c>
      <c r="AC45" s="33">
        <f>(PartyCompare_4[[#This Row],[Hard]]-INDEX(PartyCompare_0[Hard], MATCH(PartyCompare_4[[#This Row],[Mob Size]],PartyCompare_0[Mob Size],0)))/INDEX(PartyCompare_0[Hard], MATCH(PartyCompare_4[[#This Row],[Mob Size]],PartyCompare_0[Mob Size],0))</f>
        <v>0.5</v>
      </c>
      <c r="AD45" s="34">
        <f>(PartyCompare_4[[#This Row],[Deadly]]-INDEX(PartyCompare_0[Deadly], MATCH(PartyCompare_4[[#This Row],[Mob Size]],PartyCompare_0[Mob Size],0)))/INDEX(PartyCompare_0[Deadly], MATCH(PartyCompare_4[[#This Row],[Mob Size]],PartyCompare_0[Mob Size],0))</f>
        <v>0.5</v>
      </c>
      <c r="AE45" s="48">
        <f>AVERAGE(PartyCompare_4[[#This Row],[Easy Deviation]:[Deadly Deviation]])</f>
        <v>0.5</v>
      </c>
      <c r="AF45" s="36">
        <f>IF(ISNUMBER(PartyCompare_4[[#This Row],[Level]]), PartyCompare_4[[#This Row],[Level]]+1, PartyCompare_4[[#This Row],[Level]])</f>
        <v>0</v>
      </c>
      <c r="AG45" s="36">
        <f>INDEX(Encounter_Diff[Easy], MATCH(PartyCompare_4[[#This Row],[+1 Level]],Encounter_Diff[Player Level],0))</f>
        <v>0</v>
      </c>
      <c r="AH45" s="36">
        <f>INDEX(Encounter_Diff[Medium], MATCH(PartyCompare_4[[#This Row],[+1 Level]],Encounter_Diff[Player Level],0))</f>
        <v>0</v>
      </c>
      <c r="AI45" s="36">
        <f>INDEX(Encounter_Diff[Hard], MATCH(PartyCompare_4[[#This Row],[+1 Level]],Encounter_Diff[Player Level],0))</f>
        <v>0</v>
      </c>
      <c r="AJ45" s="36">
        <f>INDEX(Encounter_Diff[Deadly], MATCH(PartyCompare_4[[#This Row],[+1 Level]],Encounter_Diff[Player Level],0))</f>
        <v>0</v>
      </c>
      <c r="AK45" s="63">
        <f>SUM(PartyCompare_4[+1 (Easy)])/INDEX(Encounter_Mod[[Small]:[Large]], MATCH(PartyCompare_4[[#This Row],[Mob Size]], Encounter_Mod[Type], 0), MATCH(PartyCompare_4[[#This Row],[Party Size]],Encounter_Mod[[#Headers],[Small]:[Large]],0))</f>
        <v>56.25</v>
      </c>
      <c r="AL45" s="38">
        <f>SUM(PartyCompare_4[+1 (Medium)])/INDEX(Encounter_Mod[[Small]:[Large]], MATCH(PartyCompare_4[[#This Row],[Mob Size]], Encounter_Mod[Type], 0), MATCH(PartyCompare_4[[#This Row],[Party Size]],Encounter_Mod[[#Headers],[Small]:[Large]],0))</f>
        <v>112.5</v>
      </c>
      <c r="AM45" s="38">
        <f>SUM(PartyCompare_4[+1 (Hard)])/INDEX(Encounter_Mod[[Small]:[Large]], MATCH(PartyCompare_4[[#This Row],[Mob Size]], Encounter_Mod[Type], 0), MATCH(PartyCompare_4[[#This Row],[Party Size]],Encounter_Mod[[#Headers],[Small]:[Large]],0))</f>
        <v>168.75</v>
      </c>
      <c r="AN45" s="38">
        <f>SUM(PartyCompare_4[+1 (Deadly)])/INDEX(Encounter_Mod[[Small]:[Large]], MATCH(PartyCompare_4[[#This Row],[Mob Size]], Encounter_Mod[Type], 0), MATCH(PartyCompare_4[[#This Row],[Party Size]],Encounter_Mod[[#Headers],[Small]:[Large]],0))</f>
        <v>300</v>
      </c>
      <c r="AO45" s="46">
        <f>(PartyCompare_4[[#This Row],[+1 Easy]]-INDEX(PartyCompare_0[+1 Easy], MATCH(PartyCompare_4[[#This Row],[Mob Size]],PartyCompare_4[Mob Size],0)))/INDEX(PartyCompare_0[+1 Easy], MATCH(PartyCompare_4[[#This Row],[Mob Size]],PartyCompare_4[Mob Size],0))</f>
        <v>0.125</v>
      </c>
      <c r="AP45" s="39">
        <f>(PartyCompare_4[[#This Row],[+1 Medium]]-INDEX(PartyCompare_0[+1 Medium], MATCH(PartyCompare_4[[#This Row],[Mob Size]],PartyCompare_4[Mob Size],0)))/INDEX(PartyCompare_0[+1 Medium], MATCH(PartyCompare_4[[#This Row],[Mob Size]],PartyCompare_4[Mob Size],0))</f>
        <v>0.125</v>
      </c>
      <c r="AQ45" s="39">
        <f>(PartyCompare_4[[#This Row],[+1 Hard]]-INDEX(PartyCompare_0[+1 Hard], MATCH(PartyCompare_4[[#This Row],[Mob Size]],PartyCompare_4[Mob Size],0)))/INDEX(PartyCompare_0[+1 Hard], MATCH(PartyCompare_4[[#This Row],[Mob Size]],PartyCompare_4[Mob Size],0))</f>
        <v>0.125</v>
      </c>
      <c r="AR45" s="34">
        <f>(PartyCompare_4[[#This Row],[+1 Deadly]]-INDEX(PartyCompare_0[+1 Deadly], MATCH(PartyCompare_4[[#This Row],[Mob Size]],PartyCompare_4[Mob Size],0)))/INDEX(PartyCompare_0[+1 Deadly], MATCH(PartyCompare_4[[#This Row],[Mob Size]],PartyCompare_4[Mob Size],0))</f>
        <v>0.5</v>
      </c>
      <c r="AS45" s="48">
        <f>AVERAGE(PartyCompare_4[[#This Row],[+1 Easy Deviation]:[+1 Deadly Deviation]])</f>
        <v>0.21875</v>
      </c>
      <c r="AT45" s="36">
        <f>IF(ISNUMBER(PartyCompare_4[[#This Row],[Level]]), PartyCompare_4[[#This Row],[Level]]+2, PartyCompare_4[[#This Row],[Level]])</f>
        <v>0</v>
      </c>
      <c r="AU45" s="36">
        <f>INDEX(Encounter_Diff[Easy], MATCH(PartyCompare_4[[#This Row],[+2 Level]],Encounter_Diff[Player Level],0))</f>
        <v>0</v>
      </c>
      <c r="AV45" s="36">
        <f>INDEX(Encounter_Diff[Medium], MATCH(PartyCompare_4[[#This Row],[+2 Level]],Encounter_Diff[Player Level],0))</f>
        <v>0</v>
      </c>
      <c r="AW45" s="36">
        <f>INDEX(Encounter_Diff[Hard], MATCH(PartyCompare_4[[#This Row],[+2 Level]],Encounter_Diff[Player Level],0))</f>
        <v>0</v>
      </c>
      <c r="AX45" s="36">
        <f>INDEX(Encounter_Diff[Deadly], MATCH(PartyCompare_4[[#This Row],[+2 Level]],Encounter_Diff[Player Level],0))</f>
        <v>0</v>
      </c>
      <c r="AY45" s="63">
        <f>SUM(PartyCompare_4[+2 (Easy)])/INDEX(Encounter_Mod[[Small]:[Large]], MATCH(PartyCompare_4[[#This Row],[Mob Size]], Encounter_Mod[Type], 0), MATCH(PartyCompare_4[[#This Row],[Party Size]],Encounter_Mod[[#Headers],[Small]:[Large]],0))</f>
        <v>93.75</v>
      </c>
      <c r="AZ45" s="38">
        <f>SUM(PartyCompare_4[+2 (Medium)])/INDEX(Encounter_Mod[[Small]:[Large]], MATCH(PartyCompare_4[[#This Row],[Mob Size]], Encounter_Mod[Type], 0), MATCH(PartyCompare_4[[#This Row],[Party Size]],Encounter_Mod[[#Headers],[Small]:[Large]],0))</f>
        <v>187.5</v>
      </c>
      <c r="BA45" s="38">
        <f>SUM(PartyCompare_4[+2 (Hard)])/INDEX(Encounter_Mod[[Small]:[Large]], MATCH(PartyCompare_4[[#This Row],[Mob Size]], Encounter_Mod[Type], 0), MATCH(PartyCompare_4[[#This Row],[Party Size]],Encounter_Mod[[#Headers],[Small]:[Large]],0))</f>
        <v>281.25</v>
      </c>
      <c r="BB45" s="38">
        <f>SUM(PartyCompare_4[+2 (Deadly)])/INDEX(Encounter_Mod[[Small]:[Large]], MATCH(PartyCompare_4[[#This Row],[Mob Size]], Encounter_Mod[Type], 0), MATCH(PartyCompare_4[[#This Row],[Party Size]],Encounter_Mod[[#Headers],[Small]:[Large]],0))</f>
        <v>375</v>
      </c>
      <c r="BC45" s="46">
        <f>(PartyCompare_4[[#This Row],[+2 Easy]]-INDEX(PartyCompare_0[+2 Easy], MATCH(PartyCompare_4[[#This Row],[Mob Size]],PartyCompare_4[Mob Size],0)))/INDEX(PartyCompare_0[+2 Easy], MATCH(PartyCompare_4[[#This Row],[Mob Size]],PartyCompare_4[Mob Size],0))</f>
        <v>0.25</v>
      </c>
      <c r="BD45" s="39">
        <f>(PartyCompare_4[[#This Row],[+2 Medium]]-INDEX(PartyCompare_0[+2 Medium], MATCH(PartyCompare_4[[#This Row],[Mob Size]],PartyCompare_4[Mob Size],0)))/INDEX(PartyCompare_0[+2 Medium], MATCH(PartyCompare_4[[#This Row],[Mob Size]],PartyCompare_4[Mob Size],0))</f>
        <v>0.25</v>
      </c>
      <c r="BE45" s="39">
        <f>(PartyCompare_4[[#This Row],[+2 Hard]]-INDEX(PartyCompare_0[+2 Hard], MATCH(PartyCompare_4[[#This Row],[Mob Size]],PartyCompare_4[Mob Size],0)))/INDEX(PartyCompare_0[+2 Hard], MATCH(PartyCompare_4[[#This Row],[Mob Size]],PartyCompare_4[Mob Size],0))</f>
        <v>0.25</v>
      </c>
      <c r="BF45" s="34">
        <f>(PartyCompare_4[[#This Row],[+2 Deadly]]-INDEX(PartyCompare_0[+2 Deadly], MATCH(PartyCompare_4[[#This Row],[Mob Size]],PartyCompare_4[Mob Size],0)))/INDEX(PartyCompare_0[+2 Deadly], MATCH(PartyCompare_4[[#This Row],[Mob Size]],PartyCompare_4[Mob Size],0))</f>
        <v>-6.25E-2</v>
      </c>
      <c r="BG45" s="48">
        <f>AVERAGE(PartyCompare_4[[#This Row],[+2 Easy Deviation]:[+2 Deadly Deviation]])</f>
        <v>0.171875</v>
      </c>
      <c r="BH45" s="36">
        <f>IF(ISNUMBER(PartyCompare_4[[#This Row],[Level]]), PartyCompare_4[[#This Row],[Level]]+3, PartyCompare_4[[#This Row],[Level]])</f>
        <v>0</v>
      </c>
      <c r="BI45" s="36">
        <f>INDEX(Encounter_Diff[Easy], MATCH(PartyCompare_4[[#This Row],[+3 Level]],Encounter_Diff[Player Level],0))</f>
        <v>0</v>
      </c>
      <c r="BJ45" s="36">
        <f>INDEX(Encounter_Diff[Medium], MATCH(PartyCompare_4[[#This Row],[+3 Level]],Encounter_Diff[Player Level],0))</f>
        <v>0</v>
      </c>
      <c r="BK45" s="36">
        <f>INDEX(Encounter_Diff[Hard], MATCH(PartyCompare_4[[#This Row],[+3 Level]],Encounter_Diff[Player Level],0))</f>
        <v>0</v>
      </c>
      <c r="BL45" s="36">
        <f>INDEX(Encounter_Diff[Deadly], MATCH(PartyCompare_4[[#This Row],[+3 Level]],Encounter_Diff[Player Level],0))</f>
        <v>0</v>
      </c>
      <c r="BM45" s="63">
        <f>SUM(PartyCompare_4[+3 (Easy)])/INDEX(Encounter_Mod[[Small]:[Large]], MATCH(PartyCompare_4[[#This Row],[Mob Size]], Encounter_Mod[Type], 0), MATCH(PartyCompare_4[[#This Row],[Party Size]],Encounter_Mod[[#Headers],[Small]:[Large]],0))</f>
        <v>187.5</v>
      </c>
      <c r="BN45" s="38">
        <f>SUM(PartyCompare_4[+3 (Medium)])/INDEX(Encounter_Mod[[Small]:[Large]], MATCH(PartyCompare_4[[#This Row],[Mob Size]], Encounter_Mod[Type], 0), MATCH(PartyCompare_4[[#This Row],[Party Size]],Encounter_Mod[[#Headers],[Small]:[Large]],0))</f>
        <v>375</v>
      </c>
      <c r="BO45" s="38">
        <f>SUM(PartyCompare_4[+3 (Hard)])/INDEX(Encounter_Mod[[Small]:[Large]], MATCH(PartyCompare_4[[#This Row],[Mob Size]], Encounter_Mod[Type], 0), MATCH(PartyCompare_4[[#This Row],[Party Size]],Encounter_Mod[[#Headers],[Small]:[Large]],0))</f>
        <v>562.5</v>
      </c>
      <c r="BP45" s="38">
        <f>SUM(PartyCompare_4[+3 (Deadly)])/INDEX(Encounter_Mod[[Small]:[Large]], MATCH(PartyCompare_4[[#This Row],[Mob Size]], Encounter_Mod[Type], 0), MATCH(PartyCompare_4[[#This Row],[Party Size]],Encounter_Mod[[#Headers],[Small]:[Large]],0))</f>
        <v>825</v>
      </c>
      <c r="BQ45" s="46">
        <f>(PartyCompare_4[[#This Row],[+3 Easy]]-INDEX(PartyCompare_0[+3 Easy], MATCH(PartyCompare_4[[#This Row],[Mob Size]],PartyCompare_4[Mob Size],0)))/INDEX(PartyCompare_0[+3 Easy], MATCH(PartyCompare_4[[#This Row],[Mob Size]],PartyCompare_4[Mob Size],0))</f>
        <v>0.5</v>
      </c>
      <c r="BR45" s="39">
        <f>(PartyCompare_4[[#This Row],[+3 Medium]]-INDEX(PartyCompare_0[+3 Medium], MATCH(PartyCompare_4[[#This Row],[Mob Size]],PartyCompare_4[Mob Size],0)))/INDEX(PartyCompare_0[+3 Medium], MATCH(PartyCompare_4[[#This Row],[Mob Size]],PartyCompare_4[Mob Size],0))</f>
        <v>0.5</v>
      </c>
      <c r="BS45" s="39">
        <f>(PartyCompare_4[[#This Row],[+3 Hard]]-INDEX(PartyCompare_0[+3 Hard], MATCH(PartyCompare_4[[#This Row],[Mob Size]],PartyCompare_4[Mob Size],0)))/INDEX(PartyCompare_0[+3 Hard], MATCH(PartyCompare_4[[#This Row],[Mob Size]],PartyCompare_4[Mob Size],0))</f>
        <v>0.5</v>
      </c>
      <c r="BT45" s="34">
        <f>(PartyCompare_4[[#This Row],[+3 Deadly]]-INDEX(PartyCompare_0[+3 Deadly], MATCH(PartyCompare_4[[#This Row],[Mob Size]],PartyCompare_4[Mob Size],0)))/INDEX(PartyCompare_0[+3 Deadly], MATCH(PartyCompare_4[[#This Row],[Mob Size]],PartyCompare_4[Mob Size],0))</f>
        <v>0.65</v>
      </c>
      <c r="BU45" s="48">
        <f>AVERAGE(PartyCompare_4[[#This Row],[+3 Easy Deviation]:[+3 Deadly Deviation]])</f>
        <v>0.53749999999999998</v>
      </c>
      <c r="BV45" s="36">
        <f>IF(ISNUMBER(PartyCompare_4[[#This Row],[Level]]), PartyCompare_4[[#This Row],[Level]]+4, PartyCompare_4[[#This Row],[Level]])</f>
        <v>0</v>
      </c>
      <c r="BW45" s="36">
        <f>INDEX(Encounter_Diff[Easy], MATCH(PartyCompare_4[[#This Row],[+4 Level]],Encounter_Diff[Player Level],0))</f>
        <v>0</v>
      </c>
      <c r="BX45" s="36">
        <f>INDEX(Encounter_Diff[Medium], MATCH(PartyCompare_4[[#This Row],[+4 Level]],Encounter_Diff[Player Level],0))</f>
        <v>0</v>
      </c>
      <c r="BY45" s="36">
        <f>INDEX(Encounter_Diff[Hard], MATCH(PartyCompare_4[[#This Row],[+4 Level]],Encounter_Diff[Player Level],0))</f>
        <v>0</v>
      </c>
      <c r="BZ45" s="36">
        <f>INDEX(Encounter_Diff[Deadly], MATCH(PartyCompare_4[[#This Row],[+4 Level]],Encounter_Diff[Player Level],0))</f>
        <v>0</v>
      </c>
      <c r="CA45" s="63">
        <f>SUM(PartyCompare_4[+4 (Easy)])/INDEX(Encounter_Mod[[Small]:[Large]], MATCH(PartyCompare_4[[#This Row],[Mob Size]], Encounter_Mod[Type], 0), MATCH(PartyCompare_4[[#This Row],[Party Size]],Encounter_Mod[[#Headers],[Small]:[Large]],0))</f>
        <v>225</v>
      </c>
      <c r="CB45" s="38">
        <f>SUM(PartyCompare_4[+4 (Medium)])/INDEX(Encounter_Mod[[Small]:[Large]], MATCH(PartyCompare_4[[#This Row],[Mob Size]], Encounter_Mod[Type], 0), MATCH(PartyCompare_4[[#This Row],[Party Size]],Encounter_Mod[[#Headers],[Small]:[Large]],0))</f>
        <v>450</v>
      </c>
      <c r="CC45" s="38">
        <f>SUM(PartyCompare_4[+4 (Hard)])/INDEX(Encounter_Mod[[Small]:[Large]], MATCH(PartyCompare_4[[#This Row],[Mob Size]], Encounter_Mod[Type], 0), MATCH(PartyCompare_4[[#This Row],[Party Size]],Encounter_Mod[[#Headers],[Small]:[Large]],0))</f>
        <v>675</v>
      </c>
      <c r="CD45" s="38">
        <f>SUM(PartyCompare_4[+4 (Deadly)])/INDEX(Encounter_Mod[[Small]:[Large]], MATCH(PartyCompare_4[[#This Row],[Mob Size]], Encounter_Mod[Type], 0), MATCH(PartyCompare_4[[#This Row],[Party Size]],Encounter_Mod[[#Headers],[Small]:[Large]],0))</f>
        <v>1050</v>
      </c>
      <c r="CE45" s="46">
        <f>(PartyCompare_4[[#This Row],[+4 Easy]]-INDEX(PartyCompare_0[+4 Easy], MATCH(PartyCompare_4[[#This Row],[Mob Size]],PartyCompare_4[Mob Size],0)))/INDEX(PartyCompare_0[+4 Easy], MATCH(PartyCompare_4[[#This Row],[Mob Size]],PartyCompare_4[Mob Size],0))</f>
        <v>-0.1</v>
      </c>
      <c r="CF45" s="39">
        <f>(PartyCompare_4[[#This Row],[+4 Medium]]-INDEX(PartyCompare_0[+4 Medium], MATCH(PartyCompare_4[[#This Row],[Mob Size]],PartyCompare_4[Mob Size],0)))/INDEX(PartyCompare_0[+4 Medium], MATCH(PartyCompare_4[[#This Row],[Mob Size]],PartyCompare_4[Mob Size],0))</f>
        <v>-0.1</v>
      </c>
      <c r="CG45" s="39">
        <f>(PartyCompare_4[[#This Row],[+4 Hard]]-INDEX(PartyCompare_0[+4 Hard], MATCH(PartyCompare_4[[#This Row],[Mob Size]],PartyCompare_4[Mob Size],0)))/INDEX(PartyCompare_0[+4 Hard], MATCH(PartyCompare_4[[#This Row],[Mob Size]],PartyCompare_4[Mob Size],0))</f>
        <v>-0.1</v>
      </c>
      <c r="CH45" s="34">
        <f>(PartyCompare_4[[#This Row],[+4 Deadly]]-INDEX(PartyCompare_0[+4 Deadly], MATCH(PartyCompare_4[[#This Row],[Mob Size]],PartyCompare_4[Mob Size],0)))/INDEX(PartyCompare_0[+4 Deadly], MATCH(PartyCompare_4[[#This Row],[Mob Size]],PartyCompare_4[Mob Size],0))</f>
        <v>-4.5454545454545456E-2</v>
      </c>
      <c r="CI45" s="48">
        <f>AVERAGE(PartyCompare_4[[#This Row],[+4 Easy Deviation]:[+4 Deadly Deviation]])</f>
        <v>-8.6363636363636379E-2</v>
      </c>
    </row>
    <row r="46" spans="2:87" x14ac:dyDescent="0.2">
      <c r="B46"/>
      <c r="C46"/>
      <c r="D46"/>
      <c r="E46"/>
      <c r="F46"/>
      <c r="G46"/>
      <c r="H46"/>
      <c r="I46"/>
      <c r="J46"/>
      <c r="L46" s="233"/>
      <c r="M46" s="91"/>
      <c r="N46" s="90"/>
      <c r="O46" s="32">
        <f>INDEX(Encounter_Diff[Easy], MATCH(PartyCompare_4[[#This Row],[Level]],Encounter_Diff[Player Level],0))</f>
        <v>0</v>
      </c>
      <c r="P46" s="32">
        <f>INDEX(Encounter_Diff[Medium], MATCH(PartyCompare_4[[#This Row],[Level]],Encounter_Diff[Player Level],0))</f>
        <v>0</v>
      </c>
      <c r="Q46" s="32">
        <f>INDEX(Encounter_Diff[Hard], MATCH(PartyCompare_4[[#This Row],[Level]],Encounter_Diff[Player Level],0))</f>
        <v>0</v>
      </c>
      <c r="R46" s="30">
        <f>INDEX(Encounter_Diff[Deadly], MATCH(PartyCompare_4[[#This Row],[Level]],Encounter_Diff[Player Level],0))</f>
        <v>0</v>
      </c>
      <c r="S46" s="97" t="str">
        <f t="shared" si="4"/>
        <v>2, 2, 2</v>
      </c>
      <c r="T46" s="45" t="s">
        <v>139</v>
      </c>
      <c r="U46" s="74" t="s">
        <v>139</v>
      </c>
      <c r="V46" s="78" t="s">
        <v>139</v>
      </c>
      <c r="W46" s="82" t="s">
        <v>139</v>
      </c>
      <c r="X46" s="45" t="s">
        <v>139</v>
      </c>
      <c r="Y46" s="45" t="s">
        <v>139</v>
      </c>
      <c r="Z46" s="41" t="s">
        <v>139</v>
      </c>
      <c r="AA46" s="44" t="s">
        <v>139</v>
      </c>
      <c r="AB46" s="45" t="s">
        <v>139</v>
      </c>
      <c r="AC46" s="45" t="s">
        <v>139</v>
      </c>
      <c r="AD46" s="41" t="s">
        <v>139</v>
      </c>
      <c r="AE46" s="49" t="s">
        <v>139</v>
      </c>
      <c r="AF46" s="36">
        <f>IF(ISNUMBER(PartyCompare_4[[#This Row],[Level]]), PartyCompare_4[[#This Row],[Level]]+1, PartyCompare_4[[#This Row],[Level]])</f>
        <v>0</v>
      </c>
      <c r="AG46" s="36">
        <f>INDEX(Encounter_Diff[Easy], MATCH(PartyCompare_4[[#This Row],[+1 Level]],Encounter_Diff[Player Level],0))</f>
        <v>0</v>
      </c>
      <c r="AH46" s="36">
        <f>INDEX(Encounter_Diff[Medium], MATCH(PartyCompare_4[[#This Row],[+1 Level]],Encounter_Diff[Player Level],0))</f>
        <v>0</v>
      </c>
      <c r="AI46" s="36">
        <f>INDEX(Encounter_Diff[Hard], MATCH(PartyCompare_4[[#This Row],[+1 Level]],Encounter_Diff[Player Level],0))</f>
        <v>0</v>
      </c>
      <c r="AJ46" s="36">
        <f>INDEX(Encounter_Diff[Deadly], MATCH(PartyCompare_4[[#This Row],[+1 Level]],Encounter_Diff[Player Level],0))</f>
        <v>0</v>
      </c>
      <c r="AK46" s="44" t="s">
        <v>139</v>
      </c>
      <c r="AL46" s="37" t="s">
        <v>139</v>
      </c>
      <c r="AM46" s="37" t="s">
        <v>139</v>
      </c>
      <c r="AN46" s="45" t="s">
        <v>139</v>
      </c>
      <c r="AO46" s="44" t="s">
        <v>139</v>
      </c>
      <c r="AP46" s="37" t="s">
        <v>139</v>
      </c>
      <c r="AQ46" s="37" t="s">
        <v>139</v>
      </c>
      <c r="AR46" s="41" t="s">
        <v>139</v>
      </c>
      <c r="AS46" s="49" t="s">
        <v>139</v>
      </c>
      <c r="AT46" s="36">
        <f>IF(ISNUMBER(PartyCompare_4[[#This Row],[Level]]), PartyCompare_4[[#This Row],[Level]]+2, PartyCompare_4[[#This Row],[Level]])</f>
        <v>0</v>
      </c>
      <c r="AU46" s="36">
        <f>INDEX(Encounter_Diff[Easy], MATCH(PartyCompare_4[[#This Row],[+2 Level]],Encounter_Diff[Player Level],0))</f>
        <v>0</v>
      </c>
      <c r="AV46" s="36">
        <f>INDEX(Encounter_Diff[Medium], MATCH(PartyCompare_4[[#This Row],[+2 Level]],Encounter_Diff[Player Level],0))</f>
        <v>0</v>
      </c>
      <c r="AW46" s="36">
        <f>INDEX(Encounter_Diff[Hard], MATCH(PartyCompare_4[[#This Row],[+2 Level]],Encounter_Diff[Player Level],0))</f>
        <v>0</v>
      </c>
      <c r="AX46" s="36">
        <f>INDEX(Encounter_Diff[Deadly], MATCH(PartyCompare_4[[#This Row],[+2 Level]],Encounter_Diff[Player Level],0))</f>
        <v>0</v>
      </c>
      <c r="AY46" s="44" t="s">
        <v>139</v>
      </c>
      <c r="AZ46" s="37" t="s">
        <v>139</v>
      </c>
      <c r="BA46" s="37" t="s">
        <v>139</v>
      </c>
      <c r="BB46" s="45" t="s">
        <v>139</v>
      </c>
      <c r="BC46" s="44" t="s">
        <v>139</v>
      </c>
      <c r="BD46" s="37" t="s">
        <v>139</v>
      </c>
      <c r="BE46" s="37" t="s">
        <v>139</v>
      </c>
      <c r="BF46" s="41" t="s">
        <v>139</v>
      </c>
      <c r="BG46" s="49" t="s">
        <v>139</v>
      </c>
      <c r="BH46" s="36">
        <f>IF(ISNUMBER(PartyCompare_4[[#This Row],[Level]]), PartyCompare_4[[#This Row],[Level]]+3, PartyCompare_4[[#This Row],[Level]])</f>
        <v>0</v>
      </c>
      <c r="BI46" s="36">
        <f>INDEX(Encounter_Diff[Easy], MATCH(PartyCompare_4[[#This Row],[+3 Level]],Encounter_Diff[Player Level],0))</f>
        <v>0</v>
      </c>
      <c r="BJ46" s="36">
        <f>INDEX(Encounter_Diff[Medium], MATCH(PartyCompare_4[[#This Row],[+3 Level]],Encounter_Diff[Player Level],0))</f>
        <v>0</v>
      </c>
      <c r="BK46" s="36">
        <f>INDEX(Encounter_Diff[Hard], MATCH(PartyCompare_4[[#This Row],[+3 Level]],Encounter_Diff[Player Level],0))</f>
        <v>0</v>
      </c>
      <c r="BL46" s="36">
        <f>INDEX(Encounter_Diff[Deadly], MATCH(PartyCompare_4[[#This Row],[+3 Level]],Encounter_Diff[Player Level],0))</f>
        <v>0</v>
      </c>
      <c r="BM46" s="44" t="s">
        <v>139</v>
      </c>
      <c r="BN46" s="37" t="s">
        <v>139</v>
      </c>
      <c r="BO46" s="37" t="s">
        <v>139</v>
      </c>
      <c r="BP46" s="45" t="s">
        <v>139</v>
      </c>
      <c r="BQ46" s="44" t="s">
        <v>139</v>
      </c>
      <c r="BR46" s="37" t="s">
        <v>139</v>
      </c>
      <c r="BS46" s="37" t="s">
        <v>139</v>
      </c>
      <c r="BT46" s="41" t="s">
        <v>139</v>
      </c>
      <c r="BU46" s="49" t="s">
        <v>139</v>
      </c>
      <c r="BV46" s="36">
        <f>IF(ISNUMBER(PartyCompare_4[[#This Row],[Level]]), PartyCompare_4[[#This Row],[Level]]+4, PartyCompare_4[[#This Row],[Level]])</f>
        <v>0</v>
      </c>
      <c r="BW46" s="36">
        <f>INDEX(Encounter_Diff[Easy], MATCH(PartyCompare_4[[#This Row],[+4 Level]],Encounter_Diff[Player Level],0))</f>
        <v>0</v>
      </c>
      <c r="BX46" s="36">
        <f>INDEX(Encounter_Diff[Medium], MATCH(PartyCompare_4[[#This Row],[+4 Level]],Encounter_Diff[Player Level],0))</f>
        <v>0</v>
      </c>
      <c r="BY46" s="36">
        <f>INDEX(Encounter_Diff[Hard], MATCH(PartyCompare_4[[#This Row],[+4 Level]],Encounter_Diff[Player Level],0))</f>
        <v>0</v>
      </c>
      <c r="BZ46" s="36">
        <f>INDEX(Encounter_Diff[Deadly], MATCH(PartyCompare_4[[#This Row],[+4 Level]],Encounter_Diff[Player Level],0))</f>
        <v>0</v>
      </c>
      <c r="CA46" s="44" t="s">
        <v>139</v>
      </c>
      <c r="CB46" s="37" t="s">
        <v>139</v>
      </c>
      <c r="CC46" s="37" t="s">
        <v>139</v>
      </c>
      <c r="CD46" s="45" t="s">
        <v>139</v>
      </c>
      <c r="CE46" s="44" t="s">
        <v>139</v>
      </c>
      <c r="CF46" s="37" t="s">
        <v>139</v>
      </c>
      <c r="CG46" s="37" t="s">
        <v>139</v>
      </c>
      <c r="CH46" s="41" t="s">
        <v>139</v>
      </c>
      <c r="CI46" s="49" t="s">
        <v>139</v>
      </c>
    </row>
    <row r="47" spans="2:87" ht="15.75" thickBot="1" x14ac:dyDescent="0.25">
      <c r="L47" s="234"/>
      <c r="M47" s="91"/>
      <c r="N47" s="90"/>
      <c r="O47" s="32">
        <f>INDEX(Encounter_Diff[Easy], MATCH(PartyCompare_4[[#This Row],[Level]],Encounter_Diff[Player Level],0))</f>
        <v>0</v>
      </c>
      <c r="P47" s="32">
        <f>INDEX(Encounter_Diff[Medium], MATCH(PartyCompare_4[[#This Row],[Level]],Encounter_Diff[Player Level],0))</f>
        <v>0</v>
      </c>
      <c r="Q47" s="32">
        <f>INDEX(Encounter_Diff[Hard], MATCH(PartyCompare_4[[#This Row],[Level]],Encounter_Diff[Player Level],0))</f>
        <v>0</v>
      </c>
      <c r="R47" s="30">
        <f>INDEX(Encounter_Diff[Deadly], MATCH(PartyCompare_4[[#This Row],[Level]],Encounter_Diff[Player Level],0))</f>
        <v>0</v>
      </c>
      <c r="S47" s="98" t="str">
        <f t="shared" si="4"/>
        <v>2, 2, 2</v>
      </c>
      <c r="T47" s="45" t="s">
        <v>139</v>
      </c>
      <c r="U47" s="74" t="s">
        <v>139</v>
      </c>
      <c r="V47" s="80" t="s">
        <v>139</v>
      </c>
      <c r="W47" s="82" t="s">
        <v>139</v>
      </c>
      <c r="X47" s="45" t="s">
        <v>139</v>
      </c>
      <c r="Y47" s="45" t="s">
        <v>139</v>
      </c>
      <c r="Z47" s="41" t="s">
        <v>139</v>
      </c>
      <c r="AA47" s="44" t="s">
        <v>139</v>
      </c>
      <c r="AB47" s="45" t="s">
        <v>139</v>
      </c>
      <c r="AC47" s="45" t="s">
        <v>139</v>
      </c>
      <c r="AD47" s="41" t="s">
        <v>139</v>
      </c>
      <c r="AE47" s="49" t="s">
        <v>139</v>
      </c>
      <c r="AF47" s="36">
        <f>IF(ISNUMBER(PartyCompare_4[[#This Row],[Level]]), PartyCompare_4[[#This Row],[Level]]+1, PartyCompare_4[[#This Row],[Level]])</f>
        <v>0</v>
      </c>
      <c r="AG47" s="36">
        <f>INDEX(Encounter_Diff[Easy], MATCH(PartyCompare_4[[#This Row],[+1 Level]],Encounter_Diff[Player Level],0))</f>
        <v>0</v>
      </c>
      <c r="AH47" s="36">
        <f>INDEX(Encounter_Diff[Medium], MATCH(PartyCompare_4[[#This Row],[+1 Level]],Encounter_Diff[Player Level],0))</f>
        <v>0</v>
      </c>
      <c r="AI47" s="36">
        <f>INDEX(Encounter_Diff[Hard], MATCH(PartyCompare_4[[#This Row],[+1 Level]],Encounter_Diff[Player Level],0))</f>
        <v>0</v>
      </c>
      <c r="AJ47" s="36">
        <f>INDEX(Encounter_Diff[Deadly], MATCH(PartyCompare_4[[#This Row],[+1 Level]],Encounter_Diff[Player Level],0))</f>
        <v>0</v>
      </c>
      <c r="AK47" s="44" t="s">
        <v>139</v>
      </c>
      <c r="AL47" s="37" t="s">
        <v>139</v>
      </c>
      <c r="AM47" s="37" t="s">
        <v>139</v>
      </c>
      <c r="AN47" s="45" t="s">
        <v>139</v>
      </c>
      <c r="AO47" s="44" t="s">
        <v>139</v>
      </c>
      <c r="AP47" s="37" t="s">
        <v>139</v>
      </c>
      <c r="AQ47" s="37" t="s">
        <v>139</v>
      </c>
      <c r="AR47" s="41" t="s">
        <v>139</v>
      </c>
      <c r="AS47" s="49" t="s">
        <v>139</v>
      </c>
      <c r="AT47" s="53">
        <f>IF(ISNUMBER(PartyCompare_4[[#This Row],[Level]]), PartyCompare_4[[#This Row],[Level]]+2, PartyCompare_4[[#This Row],[Level]])</f>
        <v>0</v>
      </c>
      <c r="AU47" s="53">
        <f>INDEX(Encounter_Diff[Easy], MATCH(PartyCompare_4[[#This Row],[+2 Level]],Encounter_Diff[Player Level],0))</f>
        <v>0</v>
      </c>
      <c r="AV47" s="53">
        <f>INDEX(Encounter_Diff[Medium], MATCH(PartyCompare_4[[#This Row],[+2 Level]],Encounter_Diff[Player Level],0))</f>
        <v>0</v>
      </c>
      <c r="AW47" s="53">
        <f>INDEX(Encounter_Diff[Hard], MATCH(PartyCompare_4[[#This Row],[+2 Level]],Encounter_Diff[Player Level],0))</f>
        <v>0</v>
      </c>
      <c r="AX47" s="53">
        <f>INDEX(Encounter_Diff[Deadly], MATCH(PartyCompare_4[[#This Row],[+2 Level]],Encounter_Diff[Player Level],0))</f>
        <v>0</v>
      </c>
      <c r="AY47" s="61" t="s">
        <v>139</v>
      </c>
      <c r="AZ47" s="54" t="s">
        <v>139</v>
      </c>
      <c r="BA47" s="54" t="s">
        <v>139</v>
      </c>
      <c r="BB47" s="54" t="s">
        <v>139</v>
      </c>
      <c r="BC47" s="61" t="s">
        <v>139</v>
      </c>
      <c r="BD47" s="54" t="s">
        <v>139</v>
      </c>
      <c r="BE47" s="54" t="s">
        <v>139</v>
      </c>
      <c r="BF47" s="55" t="s">
        <v>139</v>
      </c>
      <c r="BG47" s="56" t="s">
        <v>139</v>
      </c>
      <c r="BH47" s="53">
        <f>IF(ISNUMBER(PartyCompare_4[[#This Row],[Level]]), PartyCompare_4[[#This Row],[Level]]+3, PartyCompare_4[[#This Row],[Level]])</f>
        <v>0</v>
      </c>
      <c r="BI47" s="53">
        <f>INDEX(Encounter_Diff[Easy], MATCH(PartyCompare_4[[#This Row],[+3 Level]],Encounter_Diff[Player Level],0))</f>
        <v>0</v>
      </c>
      <c r="BJ47" s="53">
        <f>INDEX(Encounter_Diff[Medium], MATCH(PartyCompare_4[[#This Row],[+3 Level]],Encounter_Diff[Player Level],0))</f>
        <v>0</v>
      </c>
      <c r="BK47" s="53">
        <f>INDEX(Encounter_Diff[Hard], MATCH(PartyCompare_4[[#This Row],[+3 Level]],Encounter_Diff[Player Level],0))</f>
        <v>0</v>
      </c>
      <c r="BL47" s="53">
        <f>INDEX(Encounter_Diff[Deadly], MATCH(PartyCompare_4[[#This Row],[+3 Level]],Encounter_Diff[Player Level],0))</f>
        <v>0</v>
      </c>
      <c r="BM47" s="61" t="s">
        <v>139</v>
      </c>
      <c r="BN47" s="54" t="s">
        <v>139</v>
      </c>
      <c r="BO47" s="54" t="s">
        <v>139</v>
      </c>
      <c r="BP47" s="54" t="s">
        <v>139</v>
      </c>
      <c r="BQ47" s="61" t="s">
        <v>139</v>
      </c>
      <c r="BR47" s="54" t="s">
        <v>139</v>
      </c>
      <c r="BS47" s="54" t="s">
        <v>139</v>
      </c>
      <c r="BT47" s="55" t="s">
        <v>139</v>
      </c>
      <c r="BU47" s="56" t="s">
        <v>139</v>
      </c>
      <c r="BV47" s="53">
        <f>IF(ISNUMBER(PartyCompare_4[[#This Row],[Level]]), PartyCompare_4[[#This Row],[Level]]+4, PartyCompare_4[[#This Row],[Level]])</f>
        <v>0</v>
      </c>
      <c r="BW47" s="53">
        <f>INDEX(Encounter_Diff[Easy], MATCH(PartyCompare_4[[#This Row],[+4 Level]],Encounter_Diff[Player Level],0))</f>
        <v>0</v>
      </c>
      <c r="BX47" s="53">
        <f>INDEX(Encounter_Diff[Medium], MATCH(PartyCompare_4[[#This Row],[+4 Level]],Encounter_Diff[Player Level],0))</f>
        <v>0</v>
      </c>
      <c r="BY47" s="53">
        <f>INDEX(Encounter_Diff[Hard], MATCH(PartyCompare_4[[#This Row],[+4 Level]],Encounter_Diff[Player Level],0))</f>
        <v>0</v>
      </c>
      <c r="BZ47" s="53">
        <f>INDEX(Encounter_Diff[Deadly], MATCH(PartyCompare_4[[#This Row],[+4 Level]],Encounter_Diff[Player Level],0))</f>
        <v>0</v>
      </c>
      <c r="CA47" s="61" t="s">
        <v>139</v>
      </c>
      <c r="CB47" s="54" t="s">
        <v>139</v>
      </c>
      <c r="CC47" s="54" t="s">
        <v>139</v>
      </c>
      <c r="CD47" s="54" t="s">
        <v>139</v>
      </c>
      <c r="CE47" s="61" t="s">
        <v>139</v>
      </c>
      <c r="CF47" s="54" t="s">
        <v>139</v>
      </c>
      <c r="CG47" s="54" t="s">
        <v>139</v>
      </c>
      <c r="CH47" s="55" t="s">
        <v>139</v>
      </c>
      <c r="CI47" s="56" t="s">
        <v>139</v>
      </c>
    </row>
    <row r="48" spans="2:87" ht="15.75" x14ac:dyDescent="0.2">
      <c r="L48" s="40" t="s">
        <v>144</v>
      </c>
      <c r="M48" s="29" t="s">
        <v>134</v>
      </c>
      <c r="N48" s="72" t="s">
        <v>33</v>
      </c>
      <c r="O48" s="32" t="s">
        <v>140</v>
      </c>
      <c r="P48" s="32" t="s">
        <v>141</v>
      </c>
      <c r="Q48" s="32" t="s">
        <v>142</v>
      </c>
      <c r="R48" s="30" t="s">
        <v>143</v>
      </c>
      <c r="S48" s="96" t="s">
        <v>144</v>
      </c>
      <c r="T48" s="32" t="s">
        <v>119</v>
      </c>
      <c r="U48" s="73" t="s">
        <v>120</v>
      </c>
      <c r="V48" s="79" t="s">
        <v>224</v>
      </c>
      <c r="W48" s="29" t="s">
        <v>36</v>
      </c>
      <c r="X48" s="32" t="s">
        <v>37</v>
      </c>
      <c r="Y48" s="32" t="s">
        <v>38</v>
      </c>
      <c r="Z48" s="30" t="s">
        <v>40</v>
      </c>
      <c r="AA48" s="31" t="s">
        <v>129</v>
      </c>
      <c r="AB48" s="32" t="s">
        <v>130</v>
      </c>
      <c r="AC48" s="32" t="s">
        <v>131</v>
      </c>
      <c r="AD48" s="30" t="s">
        <v>132</v>
      </c>
      <c r="AE48" s="47" t="s">
        <v>133</v>
      </c>
      <c r="AF48" s="41" t="s">
        <v>154</v>
      </c>
      <c r="AG48" s="37" t="s">
        <v>155</v>
      </c>
      <c r="AH48" s="37" t="s">
        <v>156</v>
      </c>
      <c r="AI48" s="37" t="s">
        <v>157</v>
      </c>
      <c r="AJ48" s="37" t="s">
        <v>158</v>
      </c>
      <c r="AK48" s="44" t="s">
        <v>159</v>
      </c>
      <c r="AL48" s="37" t="s">
        <v>160</v>
      </c>
      <c r="AM48" s="37" t="s">
        <v>161</v>
      </c>
      <c r="AN48" s="41" t="s">
        <v>162</v>
      </c>
      <c r="AO48" s="37" t="s">
        <v>163</v>
      </c>
      <c r="AP48" s="37" t="s">
        <v>164</v>
      </c>
      <c r="AQ48" s="37" t="s">
        <v>165</v>
      </c>
      <c r="AR48" s="41" t="s">
        <v>166</v>
      </c>
      <c r="AS48" s="49" t="s">
        <v>167</v>
      </c>
      <c r="AT48" s="57" t="s">
        <v>196</v>
      </c>
      <c r="AU48" s="58" t="s">
        <v>197</v>
      </c>
      <c r="AV48" s="58" t="s">
        <v>198</v>
      </c>
      <c r="AW48" s="58" t="s">
        <v>199</v>
      </c>
      <c r="AX48" s="58" t="s">
        <v>200</v>
      </c>
      <c r="AY48" s="65" t="s">
        <v>201</v>
      </c>
      <c r="AZ48" s="58" t="s">
        <v>202</v>
      </c>
      <c r="BA48" s="58" t="s">
        <v>203</v>
      </c>
      <c r="BB48" s="58" t="s">
        <v>204</v>
      </c>
      <c r="BC48" s="65" t="s">
        <v>205</v>
      </c>
      <c r="BD48" s="58" t="s">
        <v>206</v>
      </c>
      <c r="BE48" s="58" t="s">
        <v>207</v>
      </c>
      <c r="BF48" s="57" t="s">
        <v>208</v>
      </c>
      <c r="BG48" s="59" t="s">
        <v>209</v>
      </c>
      <c r="BH48" s="57" t="s">
        <v>168</v>
      </c>
      <c r="BI48" s="58" t="s">
        <v>169</v>
      </c>
      <c r="BJ48" s="58" t="s">
        <v>170</v>
      </c>
      <c r="BK48" s="58" t="s">
        <v>171</v>
      </c>
      <c r="BL48" s="58" t="s">
        <v>172</v>
      </c>
      <c r="BM48" s="65" t="s">
        <v>173</v>
      </c>
      <c r="BN48" s="58" t="s">
        <v>174</v>
      </c>
      <c r="BO48" s="58" t="s">
        <v>175</v>
      </c>
      <c r="BP48" s="58" t="s">
        <v>176</v>
      </c>
      <c r="BQ48" s="65" t="s">
        <v>177</v>
      </c>
      <c r="BR48" s="58" t="s">
        <v>178</v>
      </c>
      <c r="BS48" s="58" t="s">
        <v>179</v>
      </c>
      <c r="BT48" s="58" t="s">
        <v>180</v>
      </c>
      <c r="BU48" s="59" t="s">
        <v>181</v>
      </c>
      <c r="BV48" s="58" t="s">
        <v>182</v>
      </c>
      <c r="BW48" s="65" t="s">
        <v>183</v>
      </c>
      <c r="BX48" s="58" t="s">
        <v>184</v>
      </c>
      <c r="BY48" s="58" t="s">
        <v>185</v>
      </c>
      <c r="BZ48" s="58" t="s">
        <v>186</v>
      </c>
      <c r="CA48" s="65" t="s">
        <v>187</v>
      </c>
      <c r="CB48" s="58" t="s">
        <v>188</v>
      </c>
      <c r="CC48" s="58" t="s">
        <v>189</v>
      </c>
      <c r="CD48" s="58" t="s">
        <v>190</v>
      </c>
      <c r="CE48" s="65" t="s">
        <v>191</v>
      </c>
      <c r="CF48" s="58" t="s">
        <v>192</v>
      </c>
      <c r="CG48" s="58" t="s">
        <v>193</v>
      </c>
      <c r="CH48" s="58" t="s">
        <v>194</v>
      </c>
      <c r="CI48" s="59" t="s">
        <v>195</v>
      </c>
    </row>
    <row r="49" spans="12:87" x14ac:dyDescent="0.2">
      <c r="L49" s="232" t="s">
        <v>230</v>
      </c>
      <c r="M49" s="91" t="s">
        <v>148</v>
      </c>
      <c r="N49" s="90">
        <v>2</v>
      </c>
      <c r="O49" s="32">
        <f>INDEX(Encounter_Diff[Easy], MATCH(PartyCompare_5[[#This Row],[Level]],Encounter_Diff[Player Level],0))</f>
        <v>50</v>
      </c>
      <c r="P49" s="32">
        <f>INDEX(Encounter_Diff[Medium], MATCH(PartyCompare_5[[#This Row],[Level]],Encounter_Diff[Player Level],0))</f>
        <v>100</v>
      </c>
      <c r="Q49" s="32">
        <f>INDEX(Encounter_Diff[Hard], MATCH(PartyCompare_5[[#This Row],[Level]],Encounter_Diff[Player Level],0))</f>
        <v>150</v>
      </c>
      <c r="R49" s="30">
        <f>INDEX(Encounter_Diff[Deadly], MATCH(PartyCompare_5[[#This Row],[Level]],Encounter_Diff[Player Level],0))</f>
        <v>200</v>
      </c>
      <c r="S49" s="97" t="str">
        <f>L49</f>
        <v>2, 2</v>
      </c>
      <c r="T49" s="32" t="str">
        <f>IF(COUNT(PartyCompare_5[Level])&lt;=2,"Small", IF(COUNT(PartyCompare_5[Level])&lt;=5,"Med", IF(COUNT(PartyCompare_5[Level])&lt;=8, "Large", "TOO BIG!")))</f>
        <v>Small</v>
      </c>
      <c r="U49" s="73" t="s">
        <v>107</v>
      </c>
      <c r="V49" s="77" t="str">
        <f>INDEX(Encounter_Mod[Count], MATCH(PartyCompare_5[[#This Row],[Mob Size]], Encounter_Mod[Type],0))</f>
        <v>1</v>
      </c>
      <c r="W49" s="81">
        <f>SUM(PartyCompare_5[(Easy)])/INDEX(Encounter_Mod[[Small]:[Large]], MATCH(PartyCompare_5[[#This Row],[Mob Size]], Encounter_Mod[Type], 0), MATCH(PartyCompare_5[[#This Row],[Party Size]],Encounter_Mod[[#Headers],[Small]:[Large]],0))</f>
        <v>66.666666666666671</v>
      </c>
      <c r="X49" s="42">
        <f>SUM(PartyCompare_5[(Medium)])/INDEX(Encounter_Mod[[Small]:[Large]], MATCH(PartyCompare_5[[#This Row],[Mob Size]], Encounter_Mod[Type], 0), MATCH(PartyCompare_5[[#This Row],[Party Size]],Encounter_Mod[[#Headers],[Small]:[Large]],0))</f>
        <v>133.33333333333334</v>
      </c>
      <c r="Y49" s="42">
        <f>SUM(PartyCompare_5[(Hard)])/INDEX(Encounter_Mod[[Small]:[Large]], MATCH(PartyCompare_5[[#This Row],[Mob Size]], Encounter_Mod[Type], 0), MATCH(PartyCompare_5[[#This Row],[Party Size]],Encounter_Mod[[#Headers],[Small]:[Large]],0))</f>
        <v>200</v>
      </c>
      <c r="Z49" s="43">
        <f>SUM(PartyCompare_5[(Deadly)])/INDEX(Encounter_Mod[[Small]:[Large]], MATCH(PartyCompare_5[[#This Row],[Mob Size]], Encounter_Mod[Type], 0), MATCH(PartyCompare_5[[#This Row],[Party Size]],Encounter_Mod[[#Headers],[Small]:[Large]],0))</f>
        <v>266.66666666666669</v>
      </c>
      <c r="AA49" s="46">
        <f>(PartyCompare_5[[#This Row],[Easy]]-INDEX(PartyCompare_0[Easy], MATCH(PartyCompare_5[[#This Row],[Mob Size]],PartyCompare_0[Mob Size],0)))/INDEX(PartyCompare_0[Easy], MATCH(PartyCompare_5[[#This Row],[Mob Size]],PartyCompare_0[Mob Size],0))</f>
        <v>-0.33333333333333326</v>
      </c>
      <c r="AB49" s="33">
        <f>(PartyCompare_5[[#This Row],[Medium]]-INDEX(PartyCompare_0[Medium], MATCH(PartyCompare_5[[#This Row],[Mob Size]],PartyCompare_0[Mob Size],0)))/INDEX(PartyCompare_0[Medium], MATCH(PartyCompare_5[[#This Row],[Mob Size]],PartyCompare_0[Mob Size],0))</f>
        <v>-0.33333333333333326</v>
      </c>
      <c r="AC49" s="33">
        <f>(PartyCompare_5[[#This Row],[Hard]]-INDEX(PartyCompare_0[Hard], MATCH(PartyCompare_5[[#This Row],[Mob Size]],PartyCompare_0[Mob Size],0)))/INDEX(PartyCompare_0[Hard], MATCH(PartyCompare_5[[#This Row],[Mob Size]],PartyCompare_0[Mob Size],0))</f>
        <v>-0.33333333333333331</v>
      </c>
      <c r="AD49" s="34">
        <f>(PartyCompare_5[[#This Row],[Deadly]]-INDEX(PartyCompare_0[Deadly], MATCH(PartyCompare_5[[#This Row],[Mob Size]],PartyCompare_0[Mob Size],0)))/INDEX(PartyCompare_0[Deadly], MATCH(PartyCompare_5[[#This Row],[Mob Size]],PartyCompare_0[Mob Size],0))</f>
        <v>-0.33333333333333326</v>
      </c>
      <c r="AE49" s="48">
        <f>AVERAGE(PartyCompare_5[[#This Row],[Easy Deviation]:[Deadly Deviation]])</f>
        <v>-0.33333333333333326</v>
      </c>
      <c r="AF49" s="36">
        <f>IF(ISNUMBER(PartyCompare_5[[#This Row],[Level]]), PartyCompare_5[[#This Row],[Level]]+1, PartyCompare_5[[#This Row],[Level]])</f>
        <v>3</v>
      </c>
      <c r="AG49" s="36">
        <f>INDEX(Encounter_Diff[Easy], MATCH(PartyCompare_5[[#This Row],[+1 Level]],Encounter_Diff[Player Level],0))</f>
        <v>75</v>
      </c>
      <c r="AH49" s="36">
        <f>INDEX(Encounter_Diff[Medium], MATCH(PartyCompare_5[[#This Row],[+1 Level]],Encounter_Diff[Player Level],0))</f>
        <v>150</v>
      </c>
      <c r="AI49" s="36">
        <f>INDEX(Encounter_Diff[Hard], MATCH(PartyCompare_5[[#This Row],[+1 Level]],Encounter_Diff[Player Level],0))</f>
        <v>225</v>
      </c>
      <c r="AJ49" s="36">
        <f>INDEX(Encounter_Diff[Deadly], MATCH(PartyCompare_5[[#This Row],[+1 Level]],Encounter_Diff[Player Level],0))</f>
        <v>400</v>
      </c>
      <c r="AK49" s="63">
        <f>SUM(PartyCompare_5[+1 (Easy)])/INDEX(Encounter_Mod[[Small]:[Large]], MATCH(PartyCompare_5[[#This Row],[Mob Size]], Encounter_Mod[Type], 0), MATCH(PartyCompare_5[[#This Row],[Party Size]],Encounter_Mod[[#Headers],[Small]:[Large]],0))</f>
        <v>100</v>
      </c>
      <c r="AL49" s="38">
        <f>SUM(PartyCompare_5[+1 (Medium)])/INDEX(Encounter_Mod[[Small]:[Large]], MATCH(PartyCompare_5[[#This Row],[Mob Size]], Encounter_Mod[Type], 0), MATCH(PartyCompare_5[[#This Row],[Party Size]],Encounter_Mod[[#Headers],[Small]:[Large]],0))</f>
        <v>200</v>
      </c>
      <c r="AM49" s="38">
        <f>SUM(PartyCompare_5[+1 (Hard)])/INDEX(Encounter_Mod[[Small]:[Large]], MATCH(PartyCompare_5[[#This Row],[Mob Size]], Encounter_Mod[Type], 0), MATCH(PartyCompare_5[[#This Row],[Party Size]],Encounter_Mod[[#Headers],[Small]:[Large]],0))</f>
        <v>300</v>
      </c>
      <c r="AN49" s="38">
        <f>SUM(PartyCompare_5[+1 (Deadly)])/INDEX(Encounter_Mod[[Small]:[Large]], MATCH(PartyCompare_5[[#This Row],[Mob Size]], Encounter_Mod[Type], 0), MATCH(PartyCompare_5[[#This Row],[Party Size]],Encounter_Mod[[#Headers],[Small]:[Large]],0))</f>
        <v>533.33333333333337</v>
      </c>
      <c r="AO49" s="46">
        <f>(PartyCompare_5[[#This Row],[+1 Easy]]-INDEX(PartyCompare_0[+1 Easy], MATCH(PartyCompare_5[[#This Row],[Mob Size]],PartyCompare_5[Mob Size],0)))/INDEX(PartyCompare_0[+1 Easy], MATCH(PartyCompare_5[[#This Row],[Mob Size]],PartyCompare_5[Mob Size],0))</f>
        <v>-0.5</v>
      </c>
      <c r="AP49" s="39">
        <f>(PartyCompare_5[[#This Row],[+1 Medium]]-INDEX(PartyCompare_0[+1 Medium], MATCH(PartyCompare_5[[#This Row],[Mob Size]],PartyCompare_5[Mob Size],0)))/INDEX(PartyCompare_0[+1 Medium], MATCH(PartyCompare_5[[#This Row],[Mob Size]],PartyCompare_5[Mob Size],0))</f>
        <v>-0.5</v>
      </c>
      <c r="AQ49" s="39">
        <f>(PartyCompare_5[[#This Row],[+1 Hard]]-INDEX(PartyCompare_0[+1 Hard], MATCH(PartyCompare_5[[#This Row],[Mob Size]],PartyCompare_5[Mob Size],0)))/INDEX(PartyCompare_0[+1 Hard], MATCH(PartyCompare_5[[#This Row],[Mob Size]],PartyCompare_5[Mob Size],0))</f>
        <v>-0.5</v>
      </c>
      <c r="AR49" s="34">
        <f>(PartyCompare_5[[#This Row],[+1 Deadly]]-INDEX(PartyCompare_0[+1 Deadly], MATCH(PartyCompare_5[[#This Row],[Mob Size]],PartyCompare_5[Mob Size],0)))/INDEX(PartyCompare_0[+1 Deadly], MATCH(PartyCompare_5[[#This Row],[Mob Size]],PartyCompare_5[Mob Size],0))</f>
        <v>-0.33333333333333326</v>
      </c>
      <c r="AS49" s="48">
        <f>AVERAGE(PartyCompare_5[[#This Row],[+1 Easy Deviation]:[+1 Deadly Deviation]])</f>
        <v>-0.45833333333333331</v>
      </c>
      <c r="AT49" s="36">
        <f>IF(ISNUMBER(PartyCompare_5[[#This Row],[Level]]), PartyCompare_5[[#This Row],[Level]]+2, PartyCompare_5[[#This Row],[Level]])</f>
        <v>4</v>
      </c>
      <c r="AU49" s="36">
        <f>INDEX(Encounter_Diff[Easy], MATCH(PartyCompare_5[[#This Row],[+2 Level]],Encounter_Diff[Player Level],0))</f>
        <v>125</v>
      </c>
      <c r="AV49" s="36">
        <f>INDEX(Encounter_Diff[Medium], MATCH(PartyCompare_5[[#This Row],[+2 Level]],Encounter_Diff[Player Level],0))</f>
        <v>250</v>
      </c>
      <c r="AW49" s="36">
        <f>INDEX(Encounter_Diff[Hard], MATCH(PartyCompare_5[[#This Row],[+2 Level]],Encounter_Diff[Player Level],0))</f>
        <v>375</v>
      </c>
      <c r="AX49" s="36">
        <f>INDEX(Encounter_Diff[Deadly], MATCH(PartyCompare_5[[#This Row],[+2 Level]],Encounter_Diff[Player Level],0))</f>
        <v>500</v>
      </c>
      <c r="AY49" s="63">
        <f>SUM(PartyCompare_5[+2 (Easy)])/INDEX(Encounter_Mod[[Small]:[Large]], MATCH(PartyCompare_5[[#This Row],[Mob Size]], Encounter_Mod[Type], 0), MATCH(PartyCompare_5[[#This Row],[Party Size]],Encounter_Mod[[#Headers],[Small]:[Large]],0))</f>
        <v>166.66666666666666</v>
      </c>
      <c r="AZ49" s="38">
        <f>SUM(PartyCompare_5[+2 (Medium)])/INDEX(Encounter_Mod[[Small]:[Large]], MATCH(PartyCompare_5[[#This Row],[Mob Size]], Encounter_Mod[Type], 0), MATCH(PartyCompare_5[[#This Row],[Party Size]],Encounter_Mod[[#Headers],[Small]:[Large]],0))</f>
        <v>333.33333333333331</v>
      </c>
      <c r="BA49" s="38">
        <f>SUM(PartyCompare_5[+2 (Hard)])/INDEX(Encounter_Mod[[Small]:[Large]], MATCH(PartyCompare_5[[#This Row],[Mob Size]], Encounter_Mod[Type], 0), MATCH(PartyCompare_5[[#This Row],[Party Size]],Encounter_Mod[[#Headers],[Small]:[Large]],0))</f>
        <v>500</v>
      </c>
      <c r="BB49" s="38">
        <f>SUM(PartyCompare_5[+2 (Deadly)])/INDEX(Encounter_Mod[[Small]:[Large]], MATCH(PartyCompare_5[[#This Row],[Mob Size]], Encounter_Mod[Type], 0), MATCH(PartyCompare_5[[#This Row],[Party Size]],Encounter_Mod[[#Headers],[Small]:[Large]],0))</f>
        <v>666.66666666666663</v>
      </c>
      <c r="BC49" s="60">
        <f>(PartyCompare_5[[#This Row],[+2 Easy]]-INDEX(PartyCompare_0[+2 Easy], MATCH(PartyCompare_5[[#This Row],[Mob Size]],PartyCompare_5[Mob Size],0)))/INDEX(PartyCompare_0[+2 Easy], MATCH(PartyCompare_5[[#This Row],[Mob Size]],PartyCompare_5[Mob Size],0))</f>
        <v>-0.44444444444444448</v>
      </c>
      <c r="BD49" s="39">
        <f>(PartyCompare_5[[#This Row],[+2 Medium]]-INDEX(PartyCompare_0[+2 Medium], MATCH(PartyCompare_5[[#This Row],[Mob Size]],PartyCompare_5[Mob Size],0)))/INDEX(PartyCompare_0[+2 Medium], MATCH(PartyCompare_5[[#This Row],[Mob Size]],PartyCompare_5[Mob Size],0))</f>
        <v>-0.44444444444444448</v>
      </c>
      <c r="BE49" s="39">
        <f>(PartyCompare_5[[#This Row],[+2 Hard]]-INDEX(PartyCompare_0[+2 Hard], MATCH(PartyCompare_5[[#This Row],[Mob Size]],PartyCompare_5[Mob Size],0)))/INDEX(PartyCompare_0[+2 Hard], MATCH(PartyCompare_5[[#This Row],[Mob Size]],PartyCompare_5[Mob Size],0))</f>
        <v>-0.44444444444444442</v>
      </c>
      <c r="BF49" s="34">
        <f>(PartyCompare_5[[#This Row],[+2 Deadly]]-INDEX(PartyCompare_0[+2 Deadly], MATCH(PartyCompare_5[[#This Row],[Mob Size]],PartyCompare_5[Mob Size],0)))/INDEX(PartyCompare_0[+2 Deadly], MATCH(PartyCompare_5[[#This Row],[Mob Size]],PartyCompare_5[Mob Size],0))</f>
        <v>-0.58333333333333337</v>
      </c>
      <c r="BG49" s="48">
        <f>AVERAGE(PartyCompare_5[[#This Row],[+2 Easy Deviation]:[+2 Deadly Deviation]])</f>
        <v>-0.47916666666666674</v>
      </c>
      <c r="BH49" s="36">
        <f>IF(ISNUMBER(PartyCompare_5[[#This Row],[Level]]), PartyCompare_5[[#This Row],[Level]]+3, PartyCompare_5[[#This Row],[Level]])</f>
        <v>5</v>
      </c>
      <c r="BI49" s="36">
        <f>INDEX(Encounter_Diff[Easy], MATCH(PartyCompare_5[[#This Row],[+3 Level]],Encounter_Diff[Player Level],0))</f>
        <v>250</v>
      </c>
      <c r="BJ49" s="36">
        <f>INDEX(Encounter_Diff[Medium], MATCH(PartyCompare_5[[#This Row],[+3 Level]],Encounter_Diff[Player Level],0))</f>
        <v>500</v>
      </c>
      <c r="BK49" s="36">
        <f>INDEX(Encounter_Diff[Hard], MATCH(PartyCompare_5[[#This Row],[+3 Level]],Encounter_Diff[Player Level],0))</f>
        <v>750</v>
      </c>
      <c r="BL49" s="36">
        <f>INDEX(Encounter_Diff[Deadly], MATCH(PartyCompare_5[[#This Row],[+3 Level]],Encounter_Diff[Player Level],0))</f>
        <v>1100</v>
      </c>
      <c r="BM49" s="63">
        <f>SUM(PartyCompare_5[+3 (Easy)])/INDEX(Encounter_Mod[[Small]:[Large]], MATCH(PartyCompare_5[[#This Row],[Mob Size]], Encounter_Mod[Type], 0), MATCH(PartyCompare_5[[#This Row],[Party Size]],Encounter_Mod[[#Headers],[Small]:[Large]],0))</f>
        <v>333.33333333333331</v>
      </c>
      <c r="BN49" s="38">
        <f>SUM(PartyCompare_5[+3 (Medium)])/INDEX(Encounter_Mod[[Small]:[Large]], MATCH(PartyCompare_5[[#This Row],[Mob Size]], Encounter_Mod[Type], 0), MATCH(PartyCompare_5[[#This Row],[Party Size]],Encounter_Mod[[#Headers],[Small]:[Large]],0))</f>
        <v>666.66666666666663</v>
      </c>
      <c r="BO49" s="38">
        <f>SUM(PartyCompare_5[+3 (Hard)])/INDEX(Encounter_Mod[[Small]:[Large]], MATCH(PartyCompare_5[[#This Row],[Mob Size]], Encounter_Mod[Type], 0), MATCH(PartyCompare_5[[#This Row],[Party Size]],Encounter_Mod[[#Headers],[Small]:[Large]],0))</f>
        <v>1000</v>
      </c>
      <c r="BP49" s="38">
        <f>SUM(PartyCompare_5[+3 (Deadly)])/INDEX(Encounter_Mod[[Small]:[Large]], MATCH(PartyCompare_5[[#This Row],[Mob Size]], Encounter_Mod[Type], 0), MATCH(PartyCompare_5[[#This Row],[Party Size]],Encounter_Mod[[#Headers],[Small]:[Large]],0))</f>
        <v>1466.6666666666667</v>
      </c>
      <c r="BQ49" s="60">
        <f>(PartyCompare_5[[#This Row],[+3 Easy]]-INDEX(PartyCompare_0[+3 Easy], MATCH(PartyCompare_5[[#This Row],[Mob Size]],PartyCompare_5[Mob Size],0)))/INDEX(PartyCompare_0[+3 Easy], MATCH(PartyCompare_5[[#This Row],[Mob Size]],PartyCompare_5[Mob Size],0))</f>
        <v>-0.33333333333333337</v>
      </c>
      <c r="BR49" s="39">
        <f>(PartyCompare_5[[#This Row],[+3 Medium]]-INDEX(PartyCompare_0[+3 Medium], MATCH(PartyCompare_5[[#This Row],[Mob Size]],PartyCompare_5[Mob Size],0)))/INDEX(PartyCompare_0[+3 Medium], MATCH(PartyCompare_5[[#This Row],[Mob Size]],PartyCompare_5[Mob Size],0))</f>
        <v>-0.33333333333333337</v>
      </c>
      <c r="BS49" s="39">
        <f>(PartyCompare_5[[#This Row],[+3 Hard]]-INDEX(PartyCompare_0[+3 Hard], MATCH(PartyCompare_5[[#This Row],[Mob Size]],PartyCompare_5[Mob Size],0)))/INDEX(PartyCompare_0[+3 Hard], MATCH(PartyCompare_5[[#This Row],[Mob Size]],PartyCompare_5[Mob Size],0))</f>
        <v>-0.33333333333333331</v>
      </c>
      <c r="BT49" s="34">
        <f>(PartyCompare_5[[#This Row],[+3 Deadly]]-INDEX(PartyCompare_0[+3 Deadly], MATCH(PartyCompare_5[[#This Row],[Mob Size]],PartyCompare_5[Mob Size],0)))/INDEX(PartyCompare_0[+3 Deadly], MATCH(PartyCompare_5[[#This Row],[Mob Size]],PartyCompare_5[Mob Size],0))</f>
        <v>-0.26666666666666661</v>
      </c>
      <c r="BU49" s="48">
        <f>AVERAGE(PartyCompare_5[[#This Row],[+3 Easy Deviation]:[+3 Deadly Deviation]])</f>
        <v>-0.31666666666666665</v>
      </c>
      <c r="BV49" s="36">
        <f>IF(ISNUMBER(PartyCompare_5[[#This Row],[Level]]), PartyCompare_5[[#This Row],[Level]]+4, PartyCompare_5[[#This Row],[Level]])</f>
        <v>6</v>
      </c>
      <c r="BW49" s="36">
        <f>INDEX(Encounter_Diff[Easy], MATCH(PartyCompare_5[[#This Row],[+4 Level]],Encounter_Diff[Player Level],0))</f>
        <v>300</v>
      </c>
      <c r="BX49" s="36">
        <f>INDEX(Encounter_Diff[Medium], MATCH(PartyCompare_5[[#This Row],[+4 Level]],Encounter_Diff[Player Level],0))</f>
        <v>600</v>
      </c>
      <c r="BY49" s="36">
        <f>INDEX(Encounter_Diff[Hard], MATCH(PartyCompare_5[[#This Row],[+4 Level]],Encounter_Diff[Player Level],0))</f>
        <v>900</v>
      </c>
      <c r="BZ49" s="36">
        <f>INDEX(Encounter_Diff[Deadly], MATCH(PartyCompare_5[[#This Row],[+4 Level]],Encounter_Diff[Player Level],0))</f>
        <v>1400</v>
      </c>
      <c r="CA49" s="63">
        <f>SUM(PartyCompare_5[+4 (Easy)])/INDEX(Encounter_Mod[[Small]:[Large]], MATCH(PartyCompare_5[[#This Row],[Mob Size]], Encounter_Mod[Type], 0), MATCH(PartyCompare_5[[#This Row],[Party Size]],Encounter_Mod[[#Headers],[Small]:[Large]],0))</f>
        <v>400</v>
      </c>
      <c r="CB49" s="38">
        <f>SUM(PartyCompare_5[+4 (Medium)])/INDEX(Encounter_Mod[[Small]:[Large]], MATCH(PartyCompare_5[[#This Row],[Mob Size]], Encounter_Mod[Type], 0), MATCH(PartyCompare_5[[#This Row],[Party Size]],Encounter_Mod[[#Headers],[Small]:[Large]],0))</f>
        <v>800</v>
      </c>
      <c r="CC49" s="38">
        <f>SUM(PartyCompare_5[+4 (Hard)])/INDEX(Encounter_Mod[[Small]:[Large]], MATCH(PartyCompare_5[[#This Row],[Mob Size]], Encounter_Mod[Type], 0), MATCH(PartyCompare_5[[#This Row],[Party Size]],Encounter_Mod[[#Headers],[Small]:[Large]],0))</f>
        <v>1200</v>
      </c>
      <c r="CD49" s="38">
        <f>SUM(PartyCompare_5[+4 (Deadly)])/INDEX(Encounter_Mod[[Small]:[Large]], MATCH(PartyCompare_5[[#This Row],[Mob Size]], Encounter_Mod[Type], 0), MATCH(PartyCompare_5[[#This Row],[Party Size]],Encounter_Mod[[#Headers],[Small]:[Large]],0))</f>
        <v>1866.6666666666667</v>
      </c>
      <c r="CE49" s="60">
        <f>(PartyCompare_5[[#This Row],[+4 Easy]]-INDEX(PartyCompare_0[+4 Easy], MATCH(PartyCompare_5[[#This Row],[Mob Size]],PartyCompare_5[Mob Size],0)))/INDEX(PartyCompare_0[+4 Easy], MATCH(PartyCompare_5[[#This Row],[Mob Size]],PartyCompare_5[Mob Size],0))</f>
        <v>-0.6</v>
      </c>
      <c r="CF49" s="39">
        <f>(PartyCompare_5[[#This Row],[+4 Medium]]-INDEX(PartyCompare_0[+4 Medium], MATCH(PartyCompare_5[[#This Row],[Mob Size]],PartyCompare_5[Mob Size],0)))/INDEX(PartyCompare_0[+4 Medium], MATCH(PartyCompare_5[[#This Row],[Mob Size]],PartyCompare_5[Mob Size],0))</f>
        <v>-0.6</v>
      </c>
      <c r="CG49" s="39">
        <f>(PartyCompare_5[[#This Row],[+4 Hard]]-INDEX(PartyCompare_0[+4 Hard], MATCH(PartyCompare_5[[#This Row],[Mob Size]],PartyCompare_5[Mob Size],0)))/INDEX(PartyCompare_0[+4 Hard], MATCH(PartyCompare_5[[#This Row],[Mob Size]],PartyCompare_5[Mob Size],0))</f>
        <v>-0.6</v>
      </c>
      <c r="CH49" s="34">
        <f>(PartyCompare_5[[#This Row],[+4 Deadly]]-INDEX(PartyCompare_0[+4 Deadly], MATCH(PartyCompare_5[[#This Row],[Mob Size]],PartyCompare_5[Mob Size],0)))/INDEX(PartyCompare_0[+4 Deadly], MATCH(PartyCompare_5[[#This Row],[Mob Size]],PartyCompare_5[Mob Size],0))</f>
        <v>-0.57575757575757569</v>
      </c>
      <c r="CI49" s="48">
        <f>AVERAGE(PartyCompare_5[[#This Row],[+4 Easy Deviation]:[+4 Deadly Deviation]])</f>
        <v>-0.59393939393939388</v>
      </c>
    </row>
    <row r="50" spans="12:87" x14ac:dyDescent="0.2">
      <c r="L50" s="233"/>
      <c r="M50" s="91" t="s">
        <v>149</v>
      </c>
      <c r="N50" s="90">
        <v>2</v>
      </c>
      <c r="O50" s="32">
        <f>INDEX(Encounter_Diff[Easy], MATCH(PartyCompare_5[[#This Row],[Level]],Encounter_Diff[Player Level],0))</f>
        <v>50</v>
      </c>
      <c r="P50" s="32">
        <f>INDEX(Encounter_Diff[Medium], MATCH(PartyCompare_5[[#This Row],[Level]],Encounter_Diff[Player Level],0))</f>
        <v>100</v>
      </c>
      <c r="Q50" s="32">
        <f>INDEX(Encounter_Diff[Hard], MATCH(PartyCompare_5[[#This Row],[Level]],Encounter_Diff[Player Level],0))</f>
        <v>150</v>
      </c>
      <c r="R50" s="30">
        <f>INDEX(Encounter_Diff[Deadly], MATCH(PartyCompare_5[[#This Row],[Level]],Encounter_Diff[Player Level],0))</f>
        <v>200</v>
      </c>
      <c r="S50" s="97" t="str">
        <f>S49</f>
        <v>2, 2</v>
      </c>
      <c r="T50" s="32" t="str">
        <f>IF(COUNT(PartyCompare_5[Level])&lt;=2,"Small", IF(COUNT(PartyCompare_5[Level])&lt;=5,"Med", IF(COUNT(PartyCompare_5[Level])&lt;=8, "Large", "TOO BIG!")))</f>
        <v>Small</v>
      </c>
      <c r="U50" s="73" t="s">
        <v>108</v>
      </c>
      <c r="V50" s="77" t="str">
        <f>INDEX(Encounter_Mod[Count], MATCH(PartyCompare_5[[#This Row],[Mob Size]], Encounter_Mod[Type],0))</f>
        <v>2</v>
      </c>
      <c r="W50" s="81">
        <f>SUM(PartyCompare_5[(Easy)])/INDEX(Encounter_Mod[[Small]:[Large]], MATCH(PartyCompare_5[[#This Row],[Mob Size]], Encounter_Mod[Type], 0), MATCH(PartyCompare_5[[#This Row],[Party Size]],Encounter_Mod[[#Headers],[Small]:[Large]],0))</f>
        <v>50</v>
      </c>
      <c r="X50" s="42">
        <f>SUM(PartyCompare_5[(Medium)])/INDEX(Encounter_Mod[[Small]:[Large]], MATCH(PartyCompare_5[[#This Row],[Mob Size]], Encounter_Mod[Type], 0), MATCH(PartyCompare_5[[#This Row],[Party Size]],Encounter_Mod[[#Headers],[Small]:[Large]],0))</f>
        <v>100</v>
      </c>
      <c r="Y50" s="42">
        <f>SUM(PartyCompare_5[(Hard)])/INDEX(Encounter_Mod[[Small]:[Large]], MATCH(PartyCompare_5[[#This Row],[Mob Size]], Encounter_Mod[Type], 0), MATCH(PartyCompare_5[[#This Row],[Party Size]],Encounter_Mod[[#Headers],[Small]:[Large]],0))</f>
        <v>150</v>
      </c>
      <c r="Z50" s="43">
        <f>SUM(PartyCompare_5[(Deadly)])/INDEX(Encounter_Mod[[Small]:[Large]], MATCH(PartyCompare_5[[#This Row],[Mob Size]], Encounter_Mod[Type], 0), MATCH(PartyCompare_5[[#This Row],[Party Size]],Encounter_Mod[[#Headers],[Small]:[Large]],0))</f>
        <v>200</v>
      </c>
      <c r="AA50" s="46">
        <f>(PartyCompare_5[[#This Row],[Easy]]-INDEX(PartyCompare_0[Easy], MATCH(PartyCompare_5[[#This Row],[Mob Size]],PartyCompare_0[Mob Size],0)))/INDEX(PartyCompare_0[Easy], MATCH(PartyCompare_5[[#This Row],[Mob Size]],PartyCompare_0[Mob Size],0))</f>
        <v>-0.25000000000000006</v>
      </c>
      <c r="AB50" s="33">
        <f>(PartyCompare_5[[#This Row],[Medium]]-INDEX(PartyCompare_0[Medium], MATCH(PartyCompare_5[[#This Row],[Mob Size]],PartyCompare_0[Mob Size],0)))/INDEX(PartyCompare_0[Medium], MATCH(PartyCompare_5[[#This Row],[Mob Size]],PartyCompare_0[Mob Size],0))</f>
        <v>-0.25000000000000006</v>
      </c>
      <c r="AC50" s="33">
        <f>(PartyCompare_5[[#This Row],[Hard]]-INDEX(PartyCompare_0[Hard], MATCH(PartyCompare_5[[#This Row],[Mob Size]],PartyCompare_0[Mob Size],0)))/INDEX(PartyCompare_0[Hard], MATCH(PartyCompare_5[[#This Row],[Mob Size]],PartyCompare_0[Mob Size],0))</f>
        <v>-0.25</v>
      </c>
      <c r="AD50" s="34">
        <f>(PartyCompare_5[[#This Row],[Deadly]]-INDEX(PartyCompare_0[Deadly], MATCH(PartyCompare_5[[#This Row],[Mob Size]],PartyCompare_0[Mob Size],0)))/INDEX(PartyCompare_0[Deadly], MATCH(PartyCompare_5[[#This Row],[Mob Size]],PartyCompare_0[Mob Size],0))</f>
        <v>-0.25000000000000006</v>
      </c>
      <c r="AE50" s="48">
        <f>AVERAGE(PartyCompare_5[[#This Row],[Easy Deviation]:[Deadly Deviation]])</f>
        <v>-0.25000000000000006</v>
      </c>
      <c r="AF50" s="36">
        <f>IF(ISNUMBER(PartyCompare_5[[#This Row],[Level]]), PartyCompare_5[[#This Row],[Level]]+1, PartyCompare_5[[#This Row],[Level]])</f>
        <v>3</v>
      </c>
      <c r="AG50" s="36">
        <f>INDEX(Encounter_Diff[Easy], MATCH(PartyCompare_5[[#This Row],[+1 Level]],Encounter_Diff[Player Level],0))</f>
        <v>75</v>
      </c>
      <c r="AH50" s="36">
        <f>INDEX(Encounter_Diff[Medium], MATCH(PartyCompare_5[[#This Row],[+1 Level]],Encounter_Diff[Player Level],0))</f>
        <v>150</v>
      </c>
      <c r="AI50" s="36">
        <f>INDEX(Encounter_Diff[Hard], MATCH(PartyCompare_5[[#This Row],[+1 Level]],Encounter_Diff[Player Level],0))</f>
        <v>225</v>
      </c>
      <c r="AJ50" s="36">
        <f>INDEX(Encounter_Diff[Deadly], MATCH(PartyCompare_5[[#This Row],[+1 Level]],Encounter_Diff[Player Level],0))</f>
        <v>400</v>
      </c>
      <c r="AK50" s="63">
        <f>SUM(PartyCompare_5[+1 (Easy)])/INDEX(Encounter_Mod[[Small]:[Large]], MATCH(PartyCompare_5[[#This Row],[Mob Size]], Encounter_Mod[Type], 0), MATCH(PartyCompare_5[[#This Row],[Party Size]],Encounter_Mod[[#Headers],[Small]:[Large]],0))</f>
        <v>75</v>
      </c>
      <c r="AL50" s="38">
        <f>SUM(PartyCompare_5[+1 (Medium)])/INDEX(Encounter_Mod[[Small]:[Large]], MATCH(PartyCompare_5[[#This Row],[Mob Size]], Encounter_Mod[Type], 0), MATCH(PartyCompare_5[[#This Row],[Party Size]],Encounter_Mod[[#Headers],[Small]:[Large]],0))</f>
        <v>150</v>
      </c>
      <c r="AM50" s="38">
        <f>SUM(PartyCompare_5[+1 (Hard)])/INDEX(Encounter_Mod[[Small]:[Large]], MATCH(PartyCompare_5[[#This Row],[Mob Size]], Encounter_Mod[Type], 0), MATCH(PartyCompare_5[[#This Row],[Party Size]],Encounter_Mod[[#Headers],[Small]:[Large]],0))</f>
        <v>225</v>
      </c>
      <c r="AN50" s="38">
        <f>SUM(PartyCompare_5[+1 (Deadly)])/INDEX(Encounter_Mod[[Small]:[Large]], MATCH(PartyCompare_5[[#This Row],[Mob Size]], Encounter_Mod[Type], 0), MATCH(PartyCompare_5[[#This Row],[Party Size]],Encounter_Mod[[#Headers],[Small]:[Large]],0))</f>
        <v>400</v>
      </c>
      <c r="AO50" s="46">
        <f>(PartyCompare_5[[#This Row],[+1 Easy]]-INDEX(PartyCompare_0[+1 Easy], MATCH(PartyCompare_5[[#This Row],[Mob Size]],PartyCompare_5[Mob Size],0)))/INDEX(PartyCompare_0[+1 Easy], MATCH(PartyCompare_5[[#This Row],[Mob Size]],PartyCompare_5[Mob Size],0))</f>
        <v>-0.43750000000000006</v>
      </c>
      <c r="AP50" s="39">
        <f>(PartyCompare_5[[#This Row],[+1 Medium]]-INDEX(PartyCompare_0[+1 Medium], MATCH(PartyCompare_5[[#This Row],[Mob Size]],PartyCompare_5[Mob Size],0)))/INDEX(PartyCompare_0[+1 Medium], MATCH(PartyCompare_5[[#This Row],[Mob Size]],PartyCompare_5[Mob Size],0))</f>
        <v>-0.43750000000000006</v>
      </c>
      <c r="AQ50" s="39">
        <f>(PartyCompare_5[[#This Row],[+1 Hard]]-INDEX(PartyCompare_0[+1 Hard], MATCH(PartyCompare_5[[#This Row],[Mob Size]],PartyCompare_5[Mob Size],0)))/INDEX(PartyCompare_0[+1 Hard], MATCH(PartyCompare_5[[#This Row],[Mob Size]],PartyCompare_5[Mob Size],0))</f>
        <v>-0.4375</v>
      </c>
      <c r="AR50" s="34">
        <f>(PartyCompare_5[[#This Row],[+1 Deadly]]-INDEX(PartyCompare_0[+1 Deadly], MATCH(PartyCompare_5[[#This Row],[Mob Size]],PartyCompare_5[Mob Size],0)))/INDEX(PartyCompare_0[+1 Deadly], MATCH(PartyCompare_5[[#This Row],[Mob Size]],PartyCompare_5[Mob Size],0))</f>
        <v>-0.25000000000000006</v>
      </c>
      <c r="AS50" s="48">
        <f>AVERAGE(PartyCompare_5[[#This Row],[+1 Easy Deviation]:[+1 Deadly Deviation]])</f>
        <v>-0.390625</v>
      </c>
      <c r="AT50" s="36">
        <f>IF(ISNUMBER(PartyCompare_5[[#This Row],[Level]]), PartyCompare_5[[#This Row],[Level]]+2, PartyCompare_5[[#This Row],[Level]])</f>
        <v>4</v>
      </c>
      <c r="AU50" s="36">
        <f>INDEX(Encounter_Diff[Easy], MATCH(PartyCompare_5[[#This Row],[+2 Level]],Encounter_Diff[Player Level],0))</f>
        <v>125</v>
      </c>
      <c r="AV50" s="36">
        <f>INDEX(Encounter_Diff[Medium], MATCH(PartyCompare_5[[#This Row],[+2 Level]],Encounter_Diff[Player Level],0))</f>
        <v>250</v>
      </c>
      <c r="AW50" s="36">
        <f>INDEX(Encounter_Diff[Hard], MATCH(PartyCompare_5[[#This Row],[+2 Level]],Encounter_Diff[Player Level],0))</f>
        <v>375</v>
      </c>
      <c r="AX50" s="36">
        <f>INDEX(Encounter_Diff[Deadly], MATCH(PartyCompare_5[[#This Row],[+2 Level]],Encounter_Diff[Player Level],0))</f>
        <v>500</v>
      </c>
      <c r="AY50" s="63">
        <f>SUM(PartyCompare_5[+2 (Easy)])/INDEX(Encounter_Mod[[Small]:[Large]], MATCH(PartyCompare_5[[#This Row],[Mob Size]], Encounter_Mod[Type], 0), MATCH(PartyCompare_5[[#This Row],[Party Size]],Encounter_Mod[[#Headers],[Small]:[Large]],0))</f>
        <v>125</v>
      </c>
      <c r="AZ50" s="38">
        <f>SUM(PartyCompare_5[+2 (Medium)])/INDEX(Encounter_Mod[[Small]:[Large]], MATCH(PartyCompare_5[[#This Row],[Mob Size]], Encounter_Mod[Type], 0), MATCH(PartyCompare_5[[#This Row],[Party Size]],Encounter_Mod[[#Headers],[Small]:[Large]],0))</f>
        <v>250</v>
      </c>
      <c r="BA50" s="38">
        <f>SUM(PartyCompare_5[+2 (Hard)])/INDEX(Encounter_Mod[[Small]:[Large]], MATCH(PartyCompare_5[[#This Row],[Mob Size]], Encounter_Mod[Type], 0), MATCH(PartyCompare_5[[#This Row],[Party Size]],Encounter_Mod[[#Headers],[Small]:[Large]],0))</f>
        <v>375</v>
      </c>
      <c r="BB50" s="38">
        <f>SUM(PartyCompare_5[+2 (Deadly)])/INDEX(Encounter_Mod[[Small]:[Large]], MATCH(PartyCompare_5[[#This Row],[Mob Size]], Encounter_Mod[Type], 0), MATCH(PartyCompare_5[[#This Row],[Party Size]],Encounter_Mod[[#Headers],[Small]:[Large]],0))</f>
        <v>500</v>
      </c>
      <c r="BC50" s="46">
        <f>(PartyCompare_5[[#This Row],[+2 Easy]]-INDEX(PartyCompare_0[+2 Easy], MATCH(PartyCompare_5[[#This Row],[Mob Size]],PartyCompare_5[Mob Size],0)))/INDEX(PartyCompare_0[+2 Easy], MATCH(PartyCompare_5[[#This Row],[Mob Size]],PartyCompare_5[Mob Size],0))</f>
        <v>-0.375</v>
      </c>
      <c r="BD50" s="39">
        <f>(PartyCompare_5[[#This Row],[+2 Medium]]-INDEX(PartyCompare_0[+2 Medium], MATCH(PartyCompare_5[[#This Row],[Mob Size]],PartyCompare_5[Mob Size],0)))/INDEX(PartyCompare_0[+2 Medium], MATCH(PartyCompare_5[[#This Row],[Mob Size]],PartyCompare_5[Mob Size],0))</f>
        <v>-0.375</v>
      </c>
      <c r="BE50" s="39">
        <f>(PartyCompare_5[[#This Row],[+2 Hard]]-INDEX(PartyCompare_0[+2 Hard], MATCH(PartyCompare_5[[#This Row],[Mob Size]],PartyCompare_5[Mob Size],0)))/INDEX(PartyCompare_0[+2 Hard], MATCH(PartyCompare_5[[#This Row],[Mob Size]],PartyCompare_5[Mob Size],0))</f>
        <v>-0.375</v>
      </c>
      <c r="BF50" s="34">
        <f>(PartyCompare_5[[#This Row],[+2 Deadly]]-INDEX(PartyCompare_0[+2 Deadly], MATCH(PartyCompare_5[[#This Row],[Mob Size]],PartyCompare_5[Mob Size],0)))/INDEX(PartyCompare_0[+2 Deadly], MATCH(PartyCompare_5[[#This Row],[Mob Size]],PartyCompare_5[Mob Size],0))</f>
        <v>-0.53125</v>
      </c>
      <c r="BG50" s="48">
        <f>AVERAGE(PartyCompare_5[[#This Row],[+2 Easy Deviation]:[+2 Deadly Deviation]])</f>
        <v>-0.4140625</v>
      </c>
      <c r="BH50" s="36">
        <f>IF(ISNUMBER(PartyCompare_5[[#This Row],[Level]]), PartyCompare_5[[#This Row],[Level]]+3, PartyCompare_5[[#This Row],[Level]])</f>
        <v>5</v>
      </c>
      <c r="BI50" s="36">
        <f>INDEX(Encounter_Diff[Easy], MATCH(PartyCompare_5[[#This Row],[+3 Level]],Encounter_Diff[Player Level],0))</f>
        <v>250</v>
      </c>
      <c r="BJ50" s="36">
        <f>INDEX(Encounter_Diff[Medium], MATCH(PartyCompare_5[[#This Row],[+3 Level]],Encounter_Diff[Player Level],0))</f>
        <v>500</v>
      </c>
      <c r="BK50" s="36">
        <f>INDEX(Encounter_Diff[Hard], MATCH(PartyCompare_5[[#This Row],[+3 Level]],Encounter_Diff[Player Level],0))</f>
        <v>750</v>
      </c>
      <c r="BL50" s="36">
        <f>INDEX(Encounter_Diff[Deadly], MATCH(PartyCompare_5[[#This Row],[+3 Level]],Encounter_Diff[Player Level],0))</f>
        <v>1100</v>
      </c>
      <c r="BM50" s="63">
        <f>SUM(PartyCompare_5[+3 (Easy)])/INDEX(Encounter_Mod[[Small]:[Large]], MATCH(PartyCompare_5[[#This Row],[Mob Size]], Encounter_Mod[Type], 0), MATCH(PartyCompare_5[[#This Row],[Party Size]],Encounter_Mod[[#Headers],[Small]:[Large]],0))</f>
        <v>250</v>
      </c>
      <c r="BN50" s="38">
        <f>SUM(PartyCompare_5[+3 (Medium)])/INDEX(Encounter_Mod[[Small]:[Large]], MATCH(PartyCompare_5[[#This Row],[Mob Size]], Encounter_Mod[Type], 0), MATCH(PartyCompare_5[[#This Row],[Party Size]],Encounter_Mod[[#Headers],[Small]:[Large]],0))</f>
        <v>500</v>
      </c>
      <c r="BO50" s="38">
        <f>SUM(PartyCompare_5[+3 (Hard)])/INDEX(Encounter_Mod[[Small]:[Large]], MATCH(PartyCompare_5[[#This Row],[Mob Size]], Encounter_Mod[Type], 0), MATCH(PartyCompare_5[[#This Row],[Party Size]],Encounter_Mod[[#Headers],[Small]:[Large]],0))</f>
        <v>750</v>
      </c>
      <c r="BP50" s="38">
        <f>SUM(PartyCompare_5[+3 (Deadly)])/INDEX(Encounter_Mod[[Small]:[Large]], MATCH(PartyCompare_5[[#This Row],[Mob Size]], Encounter_Mod[Type], 0), MATCH(PartyCompare_5[[#This Row],[Party Size]],Encounter_Mod[[#Headers],[Small]:[Large]],0))</f>
        <v>1100</v>
      </c>
      <c r="BQ50" s="46">
        <f>(PartyCompare_5[[#This Row],[+3 Easy]]-INDEX(PartyCompare_0[+3 Easy], MATCH(PartyCompare_5[[#This Row],[Mob Size]],PartyCompare_5[Mob Size],0)))/INDEX(PartyCompare_0[+3 Easy], MATCH(PartyCompare_5[[#This Row],[Mob Size]],PartyCompare_5[Mob Size],0))</f>
        <v>-0.24999999999999994</v>
      </c>
      <c r="BR50" s="39">
        <f>(PartyCompare_5[[#This Row],[+3 Medium]]-INDEX(PartyCompare_0[+3 Medium], MATCH(PartyCompare_5[[#This Row],[Mob Size]],PartyCompare_5[Mob Size],0)))/INDEX(PartyCompare_0[+3 Medium], MATCH(PartyCompare_5[[#This Row],[Mob Size]],PartyCompare_5[Mob Size],0))</f>
        <v>-0.24999999999999994</v>
      </c>
      <c r="BS50" s="39">
        <f>(PartyCompare_5[[#This Row],[+3 Hard]]-INDEX(PartyCompare_0[+3 Hard], MATCH(PartyCompare_5[[#This Row],[Mob Size]],PartyCompare_5[Mob Size],0)))/INDEX(PartyCompare_0[+3 Hard], MATCH(PartyCompare_5[[#This Row],[Mob Size]],PartyCompare_5[Mob Size],0))</f>
        <v>-0.25</v>
      </c>
      <c r="BT50" s="34">
        <f>(PartyCompare_5[[#This Row],[+3 Deadly]]-INDEX(PartyCompare_0[+3 Deadly], MATCH(PartyCompare_5[[#This Row],[Mob Size]],PartyCompare_5[Mob Size],0)))/INDEX(PartyCompare_0[+3 Deadly], MATCH(PartyCompare_5[[#This Row],[Mob Size]],PartyCompare_5[Mob Size],0))</f>
        <v>-0.17499999999999996</v>
      </c>
      <c r="BU50" s="48">
        <f>AVERAGE(PartyCompare_5[[#This Row],[+3 Easy Deviation]:[+3 Deadly Deviation]])</f>
        <v>-0.23124999999999996</v>
      </c>
      <c r="BV50" s="36">
        <f>IF(ISNUMBER(PartyCompare_5[[#This Row],[Level]]), PartyCompare_5[[#This Row],[Level]]+4, PartyCompare_5[[#This Row],[Level]])</f>
        <v>6</v>
      </c>
      <c r="BW50" s="36">
        <f>INDEX(Encounter_Diff[Easy], MATCH(PartyCompare_5[[#This Row],[+4 Level]],Encounter_Diff[Player Level],0))</f>
        <v>300</v>
      </c>
      <c r="BX50" s="36">
        <f>INDEX(Encounter_Diff[Medium], MATCH(PartyCompare_5[[#This Row],[+4 Level]],Encounter_Diff[Player Level],0))</f>
        <v>600</v>
      </c>
      <c r="BY50" s="36">
        <f>INDEX(Encounter_Diff[Hard], MATCH(PartyCompare_5[[#This Row],[+4 Level]],Encounter_Diff[Player Level],0))</f>
        <v>900</v>
      </c>
      <c r="BZ50" s="36">
        <f>INDEX(Encounter_Diff[Deadly], MATCH(PartyCompare_5[[#This Row],[+4 Level]],Encounter_Diff[Player Level],0))</f>
        <v>1400</v>
      </c>
      <c r="CA50" s="63">
        <f>SUM(PartyCompare_5[+4 (Easy)])/INDEX(Encounter_Mod[[Small]:[Large]], MATCH(PartyCompare_5[[#This Row],[Mob Size]], Encounter_Mod[Type], 0), MATCH(PartyCompare_5[[#This Row],[Party Size]],Encounter_Mod[[#Headers],[Small]:[Large]],0))</f>
        <v>300</v>
      </c>
      <c r="CB50" s="38">
        <f>SUM(PartyCompare_5[+4 (Medium)])/INDEX(Encounter_Mod[[Small]:[Large]], MATCH(PartyCompare_5[[#This Row],[Mob Size]], Encounter_Mod[Type], 0), MATCH(PartyCompare_5[[#This Row],[Party Size]],Encounter_Mod[[#Headers],[Small]:[Large]],0))</f>
        <v>600</v>
      </c>
      <c r="CC50" s="38">
        <f>SUM(PartyCompare_5[+4 (Hard)])/INDEX(Encounter_Mod[[Small]:[Large]], MATCH(PartyCompare_5[[#This Row],[Mob Size]], Encounter_Mod[Type], 0), MATCH(PartyCompare_5[[#This Row],[Party Size]],Encounter_Mod[[#Headers],[Small]:[Large]],0))</f>
        <v>900</v>
      </c>
      <c r="CD50" s="38">
        <f>SUM(PartyCompare_5[+4 (Deadly)])/INDEX(Encounter_Mod[[Small]:[Large]], MATCH(PartyCompare_5[[#This Row],[Mob Size]], Encounter_Mod[Type], 0), MATCH(PartyCompare_5[[#This Row],[Party Size]],Encounter_Mod[[#Headers],[Small]:[Large]],0))</f>
        <v>1400</v>
      </c>
      <c r="CE50" s="46">
        <f>(PartyCompare_5[[#This Row],[+4 Easy]]-INDEX(PartyCompare_0[+4 Easy], MATCH(PartyCompare_5[[#This Row],[Mob Size]],PartyCompare_5[Mob Size],0)))/INDEX(PartyCompare_0[+4 Easy], MATCH(PartyCompare_5[[#This Row],[Mob Size]],PartyCompare_5[Mob Size],0))</f>
        <v>-0.54999999999999993</v>
      </c>
      <c r="CF50" s="39">
        <f>(PartyCompare_5[[#This Row],[+4 Medium]]-INDEX(PartyCompare_0[+4 Medium], MATCH(PartyCompare_5[[#This Row],[Mob Size]],PartyCompare_5[Mob Size],0)))/INDEX(PartyCompare_0[+4 Medium], MATCH(PartyCompare_5[[#This Row],[Mob Size]],PartyCompare_5[Mob Size],0))</f>
        <v>-0.54999999999999993</v>
      </c>
      <c r="CG50" s="39">
        <f>(PartyCompare_5[[#This Row],[+4 Hard]]-INDEX(PartyCompare_0[+4 Hard], MATCH(PartyCompare_5[[#This Row],[Mob Size]],PartyCompare_5[Mob Size],0)))/INDEX(PartyCompare_0[+4 Hard], MATCH(PartyCompare_5[[#This Row],[Mob Size]],PartyCompare_5[Mob Size],0))</f>
        <v>-0.55000000000000004</v>
      </c>
      <c r="CH50" s="34">
        <f>(PartyCompare_5[[#This Row],[+4 Deadly]]-INDEX(PartyCompare_0[+4 Deadly], MATCH(PartyCompare_5[[#This Row],[Mob Size]],PartyCompare_5[Mob Size],0)))/INDEX(PartyCompare_0[+4 Deadly], MATCH(PartyCompare_5[[#This Row],[Mob Size]],PartyCompare_5[Mob Size],0))</f>
        <v>-0.52272727272727271</v>
      </c>
      <c r="CI50" s="48">
        <f>AVERAGE(PartyCompare_5[[#This Row],[+4 Easy Deviation]:[+4 Deadly Deviation]])</f>
        <v>-0.54318181818181821</v>
      </c>
    </row>
    <row r="51" spans="12:87" x14ac:dyDescent="0.2">
      <c r="L51" s="233"/>
      <c r="M51" s="91"/>
      <c r="N51" s="90"/>
      <c r="O51" s="32">
        <f>INDEX(Encounter_Diff[Easy], MATCH(PartyCompare_5[[#This Row],[Level]],Encounter_Diff[Player Level],0))</f>
        <v>0</v>
      </c>
      <c r="P51" s="32">
        <f>INDEX(Encounter_Diff[Medium], MATCH(PartyCompare_5[[#This Row],[Level]],Encounter_Diff[Player Level],0))</f>
        <v>0</v>
      </c>
      <c r="Q51" s="32">
        <f>INDEX(Encounter_Diff[Hard], MATCH(PartyCompare_5[[#This Row],[Level]],Encounter_Diff[Player Level],0))</f>
        <v>0</v>
      </c>
      <c r="R51" s="30">
        <f>INDEX(Encounter_Diff[Deadly], MATCH(PartyCompare_5[[#This Row],[Level]],Encounter_Diff[Player Level],0))</f>
        <v>0</v>
      </c>
      <c r="S51" s="97" t="str">
        <f t="shared" ref="S51:S56" si="5">S50</f>
        <v>2, 2</v>
      </c>
      <c r="T51" s="32" t="str">
        <f>IF(COUNT(PartyCompare_5[Level])&lt;=2,"Small", IF(COUNT(PartyCompare_5[Level])&lt;=5,"Med", IF(COUNT(PartyCompare_5[Level])&lt;=8, "Large", "TOO BIG!")))</f>
        <v>Small</v>
      </c>
      <c r="U51" s="73" t="s">
        <v>109</v>
      </c>
      <c r="V51" s="77" t="str">
        <f>INDEX(Encounter_Mod[Count], MATCH(PartyCompare_5[[#This Row],[Mob Size]], Encounter_Mod[Type],0))</f>
        <v>3-6</v>
      </c>
      <c r="W51" s="81">
        <f>SUM(PartyCompare_5[(Easy)])/INDEX(Encounter_Mod[[Small]:[Large]], MATCH(PartyCompare_5[[#This Row],[Mob Size]], Encounter_Mod[Type], 0), MATCH(PartyCompare_5[[#This Row],[Party Size]],Encounter_Mod[[#Headers],[Small]:[Large]],0))</f>
        <v>40</v>
      </c>
      <c r="X51" s="42">
        <f>SUM(PartyCompare_5[(Medium)])/INDEX(Encounter_Mod[[Small]:[Large]], MATCH(PartyCompare_5[[#This Row],[Mob Size]], Encounter_Mod[Type], 0), MATCH(PartyCompare_5[[#This Row],[Party Size]],Encounter_Mod[[#Headers],[Small]:[Large]],0))</f>
        <v>80</v>
      </c>
      <c r="Y51" s="42">
        <f>SUM(PartyCompare_5[(Hard)])/INDEX(Encounter_Mod[[Small]:[Large]], MATCH(PartyCompare_5[[#This Row],[Mob Size]], Encounter_Mod[Type], 0), MATCH(PartyCompare_5[[#This Row],[Party Size]],Encounter_Mod[[#Headers],[Small]:[Large]],0))</f>
        <v>120</v>
      </c>
      <c r="Z51" s="43">
        <f>SUM(PartyCompare_5[(Deadly)])/INDEX(Encounter_Mod[[Small]:[Large]], MATCH(PartyCompare_5[[#This Row],[Mob Size]], Encounter_Mod[Type], 0), MATCH(PartyCompare_5[[#This Row],[Party Size]],Encounter_Mod[[#Headers],[Small]:[Large]],0))</f>
        <v>160</v>
      </c>
      <c r="AA51" s="46">
        <f>(PartyCompare_5[[#This Row],[Easy]]-INDEX(PartyCompare_0[Easy], MATCH(PartyCompare_5[[#This Row],[Mob Size]],PartyCompare_0[Mob Size],0)))/INDEX(PartyCompare_0[Easy], MATCH(PartyCompare_5[[#This Row],[Mob Size]],PartyCompare_0[Mob Size],0))</f>
        <v>-0.2</v>
      </c>
      <c r="AB51" s="33">
        <f>(PartyCompare_5[[#This Row],[Medium]]-INDEX(PartyCompare_0[Medium], MATCH(PartyCompare_5[[#This Row],[Mob Size]],PartyCompare_0[Mob Size],0)))/INDEX(PartyCompare_0[Medium], MATCH(PartyCompare_5[[#This Row],[Mob Size]],PartyCompare_0[Mob Size],0))</f>
        <v>-0.2</v>
      </c>
      <c r="AC51" s="33">
        <f>(PartyCompare_5[[#This Row],[Hard]]-INDEX(PartyCompare_0[Hard], MATCH(PartyCompare_5[[#This Row],[Mob Size]],PartyCompare_0[Mob Size],0)))/INDEX(PartyCompare_0[Hard], MATCH(PartyCompare_5[[#This Row],[Mob Size]],PartyCompare_0[Mob Size],0))</f>
        <v>-0.2</v>
      </c>
      <c r="AD51" s="34">
        <f>(PartyCompare_5[[#This Row],[Deadly]]-INDEX(PartyCompare_0[Deadly], MATCH(PartyCompare_5[[#This Row],[Mob Size]],PartyCompare_0[Mob Size],0)))/INDEX(PartyCompare_0[Deadly], MATCH(PartyCompare_5[[#This Row],[Mob Size]],PartyCompare_0[Mob Size],0))</f>
        <v>-0.2</v>
      </c>
      <c r="AE51" s="48">
        <f>AVERAGE(PartyCompare_5[[#This Row],[Easy Deviation]:[Deadly Deviation]])</f>
        <v>-0.2</v>
      </c>
      <c r="AF51" s="36">
        <f>IF(ISNUMBER(PartyCompare_5[[#This Row],[Level]]), PartyCompare_5[[#This Row],[Level]]+1, PartyCompare_5[[#This Row],[Level]])</f>
        <v>0</v>
      </c>
      <c r="AG51" s="36">
        <f>INDEX(Encounter_Diff[Easy], MATCH(PartyCompare_5[[#This Row],[+1 Level]],Encounter_Diff[Player Level],0))</f>
        <v>0</v>
      </c>
      <c r="AH51" s="36">
        <f>INDEX(Encounter_Diff[Medium], MATCH(PartyCompare_5[[#This Row],[+1 Level]],Encounter_Diff[Player Level],0))</f>
        <v>0</v>
      </c>
      <c r="AI51" s="36">
        <f>INDEX(Encounter_Diff[Hard], MATCH(PartyCompare_5[[#This Row],[+1 Level]],Encounter_Diff[Player Level],0))</f>
        <v>0</v>
      </c>
      <c r="AJ51" s="36">
        <f>INDEX(Encounter_Diff[Deadly], MATCH(PartyCompare_5[[#This Row],[+1 Level]],Encounter_Diff[Player Level],0))</f>
        <v>0</v>
      </c>
      <c r="AK51" s="63">
        <f>SUM(PartyCompare_5[+1 (Easy)])/INDEX(Encounter_Mod[[Small]:[Large]], MATCH(PartyCompare_5[[#This Row],[Mob Size]], Encounter_Mod[Type], 0), MATCH(PartyCompare_5[[#This Row],[Party Size]],Encounter_Mod[[#Headers],[Small]:[Large]],0))</f>
        <v>60</v>
      </c>
      <c r="AL51" s="38">
        <f>SUM(PartyCompare_5[+1 (Medium)])/INDEX(Encounter_Mod[[Small]:[Large]], MATCH(PartyCompare_5[[#This Row],[Mob Size]], Encounter_Mod[Type], 0), MATCH(PartyCompare_5[[#This Row],[Party Size]],Encounter_Mod[[#Headers],[Small]:[Large]],0))</f>
        <v>120</v>
      </c>
      <c r="AM51" s="38">
        <f>SUM(PartyCompare_5[+1 (Hard)])/INDEX(Encounter_Mod[[Small]:[Large]], MATCH(PartyCompare_5[[#This Row],[Mob Size]], Encounter_Mod[Type], 0), MATCH(PartyCompare_5[[#This Row],[Party Size]],Encounter_Mod[[#Headers],[Small]:[Large]],0))</f>
        <v>180</v>
      </c>
      <c r="AN51" s="38">
        <f>SUM(PartyCompare_5[+1 (Deadly)])/INDEX(Encounter_Mod[[Small]:[Large]], MATCH(PartyCompare_5[[#This Row],[Mob Size]], Encounter_Mod[Type], 0), MATCH(PartyCompare_5[[#This Row],[Party Size]],Encounter_Mod[[#Headers],[Small]:[Large]],0))</f>
        <v>320</v>
      </c>
      <c r="AO51" s="46">
        <f>(PartyCompare_5[[#This Row],[+1 Easy]]-INDEX(PartyCompare_0[+1 Easy], MATCH(PartyCompare_5[[#This Row],[Mob Size]],PartyCompare_5[Mob Size],0)))/INDEX(PartyCompare_0[+1 Easy], MATCH(PartyCompare_5[[#This Row],[Mob Size]],PartyCompare_5[Mob Size],0))</f>
        <v>-0.4</v>
      </c>
      <c r="AP51" s="39">
        <f>(PartyCompare_5[[#This Row],[+1 Medium]]-INDEX(PartyCompare_0[+1 Medium], MATCH(PartyCompare_5[[#This Row],[Mob Size]],PartyCompare_5[Mob Size],0)))/INDEX(PartyCompare_0[+1 Medium], MATCH(PartyCompare_5[[#This Row],[Mob Size]],PartyCompare_5[Mob Size],0))</f>
        <v>-0.4</v>
      </c>
      <c r="AQ51" s="39">
        <f>(PartyCompare_5[[#This Row],[+1 Hard]]-INDEX(PartyCompare_0[+1 Hard], MATCH(PartyCompare_5[[#This Row],[Mob Size]],PartyCompare_5[Mob Size],0)))/INDEX(PartyCompare_0[+1 Hard], MATCH(PartyCompare_5[[#This Row],[Mob Size]],PartyCompare_5[Mob Size],0))</f>
        <v>-0.4</v>
      </c>
      <c r="AR51" s="34">
        <f>(PartyCompare_5[[#This Row],[+1 Deadly]]-INDEX(PartyCompare_0[+1 Deadly], MATCH(PartyCompare_5[[#This Row],[Mob Size]],PartyCompare_5[Mob Size],0)))/INDEX(PartyCompare_0[+1 Deadly], MATCH(PartyCompare_5[[#This Row],[Mob Size]],PartyCompare_5[Mob Size],0))</f>
        <v>-0.2</v>
      </c>
      <c r="AS51" s="48">
        <f>AVERAGE(PartyCompare_5[[#This Row],[+1 Easy Deviation]:[+1 Deadly Deviation]])</f>
        <v>-0.35000000000000003</v>
      </c>
      <c r="AT51" s="36">
        <f>IF(ISNUMBER(PartyCompare_5[[#This Row],[Level]]), PartyCompare_5[[#This Row],[Level]]+2, PartyCompare_5[[#This Row],[Level]])</f>
        <v>0</v>
      </c>
      <c r="AU51" s="36">
        <f>INDEX(Encounter_Diff[Easy], MATCH(PartyCompare_5[[#This Row],[+2 Level]],Encounter_Diff[Player Level],0))</f>
        <v>0</v>
      </c>
      <c r="AV51" s="36">
        <f>INDEX(Encounter_Diff[Medium], MATCH(PartyCompare_5[[#This Row],[+2 Level]],Encounter_Diff[Player Level],0))</f>
        <v>0</v>
      </c>
      <c r="AW51" s="36">
        <f>INDEX(Encounter_Diff[Hard], MATCH(PartyCompare_5[[#This Row],[+2 Level]],Encounter_Diff[Player Level],0))</f>
        <v>0</v>
      </c>
      <c r="AX51" s="36">
        <f>INDEX(Encounter_Diff[Deadly], MATCH(PartyCompare_5[[#This Row],[+2 Level]],Encounter_Diff[Player Level],0))</f>
        <v>0</v>
      </c>
      <c r="AY51" s="63">
        <f>SUM(PartyCompare_5[+2 (Easy)])/INDEX(Encounter_Mod[[Small]:[Large]], MATCH(PartyCompare_5[[#This Row],[Mob Size]], Encounter_Mod[Type], 0), MATCH(PartyCompare_5[[#This Row],[Party Size]],Encounter_Mod[[#Headers],[Small]:[Large]],0))</f>
        <v>100</v>
      </c>
      <c r="AZ51" s="38">
        <f>SUM(PartyCompare_5[+2 (Medium)])/INDEX(Encounter_Mod[[Small]:[Large]], MATCH(PartyCompare_5[[#This Row],[Mob Size]], Encounter_Mod[Type], 0), MATCH(PartyCompare_5[[#This Row],[Party Size]],Encounter_Mod[[#Headers],[Small]:[Large]],0))</f>
        <v>200</v>
      </c>
      <c r="BA51" s="38">
        <f>SUM(PartyCompare_5[+2 (Hard)])/INDEX(Encounter_Mod[[Small]:[Large]], MATCH(PartyCompare_5[[#This Row],[Mob Size]], Encounter_Mod[Type], 0), MATCH(PartyCompare_5[[#This Row],[Party Size]],Encounter_Mod[[#Headers],[Small]:[Large]],0))</f>
        <v>300</v>
      </c>
      <c r="BB51" s="38">
        <f>SUM(PartyCompare_5[+2 (Deadly)])/INDEX(Encounter_Mod[[Small]:[Large]], MATCH(PartyCompare_5[[#This Row],[Mob Size]], Encounter_Mod[Type], 0), MATCH(PartyCompare_5[[#This Row],[Party Size]],Encounter_Mod[[#Headers],[Small]:[Large]],0))</f>
        <v>400</v>
      </c>
      <c r="BC51" s="46">
        <f>(PartyCompare_5[[#This Row],[+2 Easy]]-INDEX(PartyCompare_0[+2 Easy], MATCH(PartyCompare_5[[#This Row],[Mob Size]],PartyCompare_5[Mob Size],0)))/INDEX(PartyCompare_0[+2 Easy], MATCH(PartyCompare_5[[#This Row],[Mob Size]],PartyCompare_5[Mob Size],0))</f>
        <v>-0.33333333333333331</v>
      </c>
      <c r="BD51" s="39">
        <f>(PartyCompare_5[[#This Row],[+2 Medium]]-INDEX(PartyCompare_0[+2 Medium], MATCH(PartyCompare_5[[#This Row],[Mob Size]],PartyCompare_5[Mob Size],0)))/INDEX(PartyCompare_0[+2 Medium], MATCH(PartyCompare_5[[#This Row],[Mob Size]],PartyCompare_5[Mob Size],0))</f>
        <v>-0.33333333333333331</v>
      </c>
      <c r="BE51" s="39">
        <f>(PartyCompare_5[[#This Row],[+2 Hard]]-INDEX(PartyCompare_0[+2 Hard], MATCH(PartyCompare_5[[#This Row],[Mob Size]],PartyCompare_5[Mob Size],0)))/INDEX(PartyCompare_0[+2 Hard], MATCH(PartyCompare_5[[#This Row],[Mob Size]],PartyCompare_5[Mob Size],0))</f>
        <v>-0.33333333333333331</v>
      </c>
      <c r="BF51" s="34">
        <f>(PartyCompare_5[[#This Row],[+2 Deadly]]-INDEX(PartyCompare_0[+2 Deadly], MATCH(PartyCompare_5[[#This Row],[Mob Size]],PartyCompare_5[Mob Size],0)))/INDEX(PartyCompare_0[+2 Deadly], MATCH(PartyCompare_5[[#This Row],[Mob Size]],PartyCompare_5[Mob Size],0))</f>
        <v>-0.5</v>
      </c>
      <c r="BG51" s="48">
        <f>AVERAGE(PartyCompare_5[[#This Row],[+2 Easy Deviation]:[+2 Deadly Deviation]])</f>
        <v>-0.375</v>
      </c>
      <c r="BH51" s="36">
        <f>IF(ISNUMBER(PartyCompare_5[[#This Row],[Level]]), PartyCompare_5[[#This Row],[Level]]+3, PartyCompare_5[[#This Row],[Level]])</f>
        <v>0</v>
      </c>
      <c r="BI51" s="36">
        <f>INDEX(Encounter_Diff[Easy], MATCH(PartyCompare_5[[#This Row],[+3 Level]],Encounter_Diff[Player Level],0))</f>
        <v>0</v>
      </c>
      <c r="BJ51" s="36">
        <f>INDEX(Encounter_Diff[Medium], MATCH(PartyCompare_5[[#This Row],[+3 Level]],Encounter_Diff[Player Level],0))</f>
        <v>0</v>
      </c>
      <c r="BK51" s="36">
        <f>INDEX(Encounter_Diff[Hard], MATCH(PartyCompare_5[[#This Row],[+3 Level]],Encounter_Diff[Player Level],0))</f>
        <v>0</v>
      </c>
      <c r="BL51" s="36">
        <f>INDEX(Encounter_Diff[Deadly], MATCH(PartyCompare_5[[#This Row],[+3 Level]],Encounter_Diff[Player Level],0))</f>
        <v>0</v>
      </c>
      <c r="BM51" s="63">
        <f>SUM(PartyCompare_5[+3 (Easy)])/INDEX(Encounter_Mod[[Small]:[Large]], MATCH(PartyCompare_5[[#This Row],[Mob Size]], Encounter_Mod[Type], 0), MATCH(PartyCompare_5[[#This Row],[Party Size]],Encounter_Mod[[#Headers],[Small]:[Large]],0))</f>
        <v>200</v>
      </c>
      <c r="BN51" s="38">
        <f>SUM(PartyCompare_5[+3 (Medium)])/INDEX(Encounter_Mod[[Small]:[Large]], MATCH(PartyCompare_5[[#This Row],[Mob Size]], Encounter_Mod[Type], 0), MATCH(PartyCompare_5[[#This Row],[Party Size]],Encounter_Mod[[#Headers],[Small]:[Large]],0))</f>
        <v>400</v>
      </c>
      <c r="BO51" s="38">
        <f>SUM(PartyCompare_5[+3 (Hard)])/INDEX(Encounter_Mod[[Small]:[Large]], MATCH(PartyCompare_5[[#This Row],[Mob Size]], Encounter_Mod[Type], 0), MATCH(PartyCompare_5[[#This Row],[Party Size]],Encounter_Mod[[#Headers],[Small]:[Large]],0))</f>
        <v>600</v>
      </c>
      <c r="BP51" s="38">
        <f>SUM(PartyCompare_5[+3 (Deadly)])/INDEX(Encounter_Mod[[Small]:[Large]], MATCH(PartyCompare_5[[#This Row],[Mob Size]], Encounter_Mod[Type], 0), MATCH(PartyCompare_5[[#This Row],[Party Size]],Encounter_Mod[[#Headers],[Small]:[Large]],0))</f>
        <v>880</v>
      </c>
      <c r="BQ51" s="46">
        <f>(PartyCompare_5[[#This Row],[+3 Easy]]-INDEX(PartyCompare_0[+3 Easy], MATCH(PartyCompare_5[[#This Row],[Mob Size]],PartyCompare_5[Mob Size],0)))/INDEX(PartyCompare_0[+3 Easy], MATCH(PartyCompare_5[[#This Row],[Mob Size]],PartyCompare_5[Mob Size],0))</f>
        <v>-0.2</v>
      </c>
      <c r="BR51" s="39">
        <f>(PartyCompare_5[[#This Row],[+3 Medium]]-INDEX(PartyCompare_0[+3 Medium], MATCH(PartyCompare_5[[#This Row],[Mob Size]],PartyCompare_5[Mob Size],0)))/INDEX(PartyCompare_0[+3 Medium], MATCH(PartyCompare_5[[#This Row],[Mob Size]],PartyCompare_5[Mob Size],0))</f>
        <v>-0.2</v>
      </c>
      <c r="BS51" s="39">
        <f>(PartyCompare_5[[#This Row],[+3 Hard]]-INDEX(PartyCompare_0[+3 Hard], MATCH(PartyCompare_5[[#This Row],[Mob Size]],PartyCompare_5[Mob Size],0)))/INDEX(PartyCompare_0[+3 Hard], MATCH(PartyCompare_5[[#This Row],[Mob Size]],PartyCompare_5[Mob Size],0))</f>
        <v>-0.2</v>
      </c>
      <c r="BT51" s="34">
        <f>(PartyCompare_5[[#This Row],[+3 Deadly]]-INDEX(PartyCompare_0[+3 Deadly], MATCH(PartyCompare_5[[#This Row],[Mob Size]],PartyCompare_5[Mob Size],0)))/INDEX(PartyCompare_0[+3 Deadly], MATCH(PartyCompare_5[[#This Row],[Mob Size]],PartyCompare_5[Mob Size],0))</f>
        <v>-0.12</v>
      </c>
      <c r="BU51" s="48">
        <f>AVERAGE(PartyCompare_5[[#This Row],[+3 Easy Deviation]:[+3 Deadly Deviation]])</f>
        <v>-0.18000000000000002</v>
      </c>
      <c r="BV51" s="36">
        <f>IF(ISNUMBER(PartyCompare_5[[#This Row],[Level]]), PartyCompare_5[[#This Row],[Level]]+4, PartyCompare_5[[#This Row],[Level]])</f>
        <v>0</v>
      </c>
      <c r="BW51" s="36">
        <f>INDEX(Encounter_Diff[Easy], MATCH(PartyCompare_5[[#This Row],[+4 Level]],Encounter_Diff[Player Level],0))</f>
        <v>0</v>
      </c>
      <c r="BX51" s="36">
        <f>INDEX(Encounter_Diff[Medium], MATCH(PartyCompare_5[[#This Row],[+4 Level]],Encounter_Diff[Player Level],0))</f>
        <v>0</v>
      </c>
      <c r="BY51" s="36">
        <f>INDEX(Encounter_Diff[Hard], MATCH(PartyCompare_5[[#This Row],[+4 Level]],Encounter_Diff[Player Level],0))</f>
        <v>0</v>
      </c>
      <c r="BZ51" s="36">
        <f>INDEX(Encounter_Diff[Deadly], MATCH(PartyCompare_5[[#This Row],[+4 Level]],Encounter_Diff[Player Level],0))</f>
        <v>0</v>
      </c>
      <c r="CA51" s="63">
        <f>SUM(PartyCompare_5[+4 (Easy)])/INDEX(Encounter_Mod[[Small]:[Large]], MATCH(PartyCompare_5[[#This Row],[Mob Size]], Encounter_Mod[Type], 0), MATCH(PartyCompare_5[[#This Row],[Party Size]],Encounter_Mod[[#Headers],[Small]:[Large]],0))</f>
        <v>240</v>
      </c>
      <c r="CB51" s="38">
        <f>SUM(PartyCompare_5[+4 (Medium)])/INDEX(Encounter_Mod[[Small]:[Large]], MATCH(PartyCompare_5[[#This Row],[Mob Size]], Encounter_Mod[Type], 0), MATCH(PartyCompare_5[[#This Row],[Party Size]],Encounter_Mod[[#Headers],[Small]:[Large]],0))</f>
        <v>480</v>
      </c>
      <c r="CC51" s="38">
        <f>SUM(PartyCompare_5[+4 (Hard)])/INDEX(Encounter_Mod[[Small]:[Large]], MATCH(PartyCompare_5[[#This Row],[Mob Size]], Encounter_Mod[Type], 0), MATCH(PartyCompare_5[[#This Row],[Party Size]],Encounter_Mod[[#Headers],[Small]:[Large]],0))</f>
        <v>720</v>
      </c>
      <c r="CD51" s="38">
        <f>SUM(PartyCompare_5[+4 (Deadly)])/INDEX(Encounter_Mod[[Small]:[Large]], MATCH(PartyCompare_5[[#This Row],[Mob Size]], Encounter_Mod[Type], 0), MATCH(PartyCompare_5[[#This Row],[Party Size]],Encounter_Mod[[#Headers],[Small]:[Large]],0))</f>
        <v>1120</v>
      </c>
      <c r="CE51" s="46">
        <f>(PartyCompare_5[[#This Row],[+4 Easy]]-INDEX(PartyCompare_0[+4 Easy], MATCH(PartyCompare_5[[#This Row],[Mob Size]],PartyCompare_5[Mob Size],0)))/INDEX(PartyCompare_0[+4 Easy], MATCH(PartyCompare_5[[#This Row],[Mob Size]],PartyCompare_5[Mob Size],0))</f>
        <v>-0.52</v>
      </c>
      <c r="CF51" s="39">
        <f>(PartyCompare_5[[#This Row],[+4 Medium]]-INDEX(PartyCompare_0[+4 Medium], MATCH(PartyCompare_5[[#This Row],[Mob Size]],PartyCompare_5[Mob Size],0)))/INDEX(PartyCompare_0[+4 Medium], MATCH(PartyCompare_5[[#This Row],[Mob Size]],PartyCompare_5[Mob Size],0))</f>
        <v>-0.52</v>
      </c>
      <c r="CG51" s="39">
        <f>(PartyCompare_5[[#This Row],[+4 Hard]]-INDEX(PartyCompare_0[+4 Hard], MATCH(PartyCompare_5[[#This Row],[Mob Size]],PartyCompare_5[Mob Size],0)))/INDEX(PartyCompare_0[+4 Hard], MATCH(PartyCompare_5[[#This Row],[Mob Size]],PartyCompare_5[Mob Size],0))</f>
        <v>-0.52</v>
      </c>
      <c r="CH51" s="34">
        <f>(PartyCompare_5[[#This Row],[+4 Deadly]]-INDEX(PartyCompare_0[+4 Deadly], MATCH(PartyCompare_5[[#This Row],[Mob Size]],PartyCompare_5[Mob Size],0)))/INDEX(PartyCompare_0[+4 Deadly], MATCH(PartyCompare_5[[#This Row],[Mob Size]],PartyCompare_5[Mob Size],0))</f>
        <v>-0.49090909090909091</v>
      </c>
      <c r="CI51" s="48">
        <f>AVERAGE(PartyCompare_5[[#This Row],[+4 Easy Deviation]:[+4 Deadly Deviation]])</f>
        <v>-0.5127272727272727</v>
      </c>
    </row>
    <row r="52" spans="12:87" x14ac:dyDescent="0.2">
      <c r="L52" s="233"/>
      <c r="M52" s="91"/>
      <c r="N52" s="90"/>
      <c r="O52" s="32">
        <f>INDEX(Encounter_Diff[Easy], MATCH(PartyCompare_5[[#This Row],[Level]],Encounter_Diff[Player Level],0))</f>
        <v>0</v>
      </c>
      <c r="P52" s="32">
        <f>INDEX(Encounter_Diff[Medium], MATCH(PartyCompare_5[[#This Row],[Level]],Encounter_Diff[Player Level],0))</f>
        <v>0</v>
      </c>
      <c r="Q52" s="32">
        <f>INDEX(Encounter_Diff[Hard], MATCH(PartyCompare_5[[#This Row],[Level]],Encounter_Diff[Player Level],0))</f>
        <v>0</v>
      </c>
      <c r="R52" s="30">
        <f>INDEX(Encounter_Diff[Deadly], MATCH(PartyCompare_5[[#This Row],[Level]],Encounter_Diff[Player Level],0))</f>
        <v>0</v>
      </c>
      <c r="S52" s="97" t="str">
        <f t="shared" si="5"/>
        <v>2, 2</v>
      </c>
      <c r="T52" s="32" t="str">
        <f>IF(COUNT(PartyCompare_5[Level])&lt;=2,"Small", IF(COUNT(PartyCompare_5[Level])&lt;=5,"Med", IF(COUNT(PartyCompare_5[Level])&lt;=8, "Large", "TOO BIG!")))</f>
        <v>Small</v>
      </c>
      <c r="U52" s="73" t="s">
        <v>110</v>
      </c>
      <c r="V52" s="77" t="str">
        <f>INDEX(Encounter_Mod[Count], MATCH(PartyCompare_5[[#This Row],[Mob Size]], Encounter_Mod[Type],0))</f>
        <v>7-10</v>
      </c>
      <c r="W52" s="81">
        <f>SUM(PartyCompare_5[(Easy)])/INDEX(Encounter_Mod[[Small]:[Large]], MATCH(PartyCompare_5[[#This Row],[Mob Size]], Encounter_Mod[Type], 0), MATCH(PartyCompare_5[[#This Row],[Party Size]],Encounter_Mod[[#Headers],[Small]:[Large]],0))</f>
        <v>33.333333333333336</v>
      </c>
      <c r="X52" s="42">
        <f>SUM(PartyCompare_5[(Medium)])/INDEX(Encounter_Mod[[Small]:[Large]], MATCH(PartyCompare_5[[#This Row],[Mob Size]], Encounter_Mod[Type], 0), MATCH(PartyCompare_5[[#This Row],[Party Size]],Encounter_Mod[[#Headers],[Small]:[Large]],0))</f>
        <v>66.666666666666671</v>
      </c>
      <c r="Y52" s="42">
        <f>SUM(PartyCompare_5[(Hard)])/INDEX(Encounter_Mod[[Small]:[Large]], MATCH(PartyCompare_5[[#This Row],[Mob Size]], Encounter_Mod[Type], 0), MATCH(PartyCompare_5[[#This Row],[Party Size]],Encounter_Mod[[#Headers],[Small]:[Large]],0))</f>
        <v>100</v>
      </c>
      <c r="Z52" s="43">
        <f>SUM(PartyCompare_5[(Deadly)])/INDEX(Encounter_Mod[[Small]:[Large]], MATCH(PartyCompare_5[[#This Row],[Mob Size]], Encounter_Mod[Type], 0), MATCH(PartyCompare_5[[#This Row],[Party Size]],Encounter_Mod[[#Headers],[Small]:[Large]],0))</f>
        <v>133.33333333333334</v>
      </c>
      <c r="AA52" s="46">
        <f>(PartyCompare_5[[#This Row],[Easy]]-INDEX(PartyCompare_0[Easy], MATCH(PartyCompare_5[[#This Row],[Mob Size]],PartyCompare_0[Mob Size],0)))/INDEX(PartyCompare_0[Easy], MATCH(PartyCompare_5[[#This Row],[Mob Size]],PartyCompare_0[Mob Size],0))</f>
        <v>-0.1666666666666666</v>
      </c>
      <c r="AB52" s="33">
        <f>(PartyCompare_5[[#This Row],[Medium]]-INDEX(PartyCompare_0[Medium], MATCH(PartyCompare_5[[#This Row],[Mob Size]],PartyCompare_0[Mob Size],0)))/INDEX(PartyCompare_0[Medium], MATCH(PartyCompare_5[[#This Row],[Mob Size]],PartyCompare_0[Mob Size],0))</f>
        <v>-0.1666666666666666</v>
      </c>
      <c r="AC52" s="33">
        <f>(PartyCompare_5[[#This Row],[Hard]]-INDEX(PartyCompare_0[Hard], MATCH(PartyCompare_5[[#This Row],[Mob Size]],PartyCompare_0[Mob Size],0)))/INDEX(PartyCompare_0[Hard], MATCH(PartyCompare_5[[#This Row],[Mob Size]],PartyCompare_0[Mob Size],0))</f>
        <v>-0.16666666666666666</v>
      </c>
      <c r="AD52" s="34">
        <f>(PartyCompare_5[[#This Row],[Deadly]]-INDEX(PartyCompare_0[Deadly], MATCH(PartyCompare_5[[#This Row],[Mob Size]],PartyCompare_0[Mob Size],0)))/INDEX(PartyCompare_0[Deadly], MATCH(PartyCompare_5[[#This Row],[Mob Size]],PartyCompare_0[Mob Size],0))</f>
        <v>-0.1666666666666666</v>
      </c>
      <c r="AE52" s="48">
        <f>AVERAGE(PartyCompare_5[[#This Row],[Easy Deviation]:[Deadly Deviation]])</f>
        <v>-0.16666666666666663</v>
      </c>
      <c r="AF52" s="36">
        <f>IF(ISNUMBER(PartyCompare_5[[#This Row],[Level]]), PartyCompare_5[[#This Row],[Level]]+1, PartyCompare_5[[#This Row],[Level]])</f>
        <v>0</v>
      </c>
      <c r="AG52" s="36">
        <f>INDEX(Encounter_Diff[Easy], MATCH(PartyCompare_5[[#This Row],[+1 Level]],Encounter_Diff[Player Level],0))</f>
        <v>0</v>
      </c>
      <c r="AH52" s="36">
        <f>INDEX(Encounter_Diff[Medium], MATCH(PartyCompare_5[[#This Row],[+1 Level]],Encounter_Diff[Player Level],0))</f>
        <v>0</v>
      </c>
      <c r="AI52" s="36">
        <f>INDEX(Encounter_Diff[Hard], MATCH(PartyCompare_5[[#This Row],[+1 Level]],Encounter_Diff[Player Level],0))</f>
        <v>0</v>
      </c>
      <c r="AJ52" s="36">
        <f>INDEX(Encounter_Diff[Deadly], MATCH(PartyCompare_5[[#This Row],[+1 Level]],Encounter_Diff[Player Level],0))</f>
        <v>0</v>
      </c>
      <c r="AK52" s="63">
        <f>SUM(PartyCompare_5[+1 (Easy)])/INDEX(Encounter_Mod[[Small]:[Large]], MATCH(PartyCompare_5[[#This Row],[Mob Size]], Encounter_Mod[Type], 0), MATCH(PartyCompare_5[[#This Row],[Party Size]],Encounter_Mod[[#Headers],[Small]:[Large]],0))</f>
        <v>50</v>
      </c>
      <c r="AL52" s="38">
        <f>SUM(PartyCompare_5[+1 (Medium)])/INDEX(Encounter_Mod[[Small]:[Large]], MATCH(PartyCompare_5[[#This Row],[Mob Size]], Encounter_Mod[Type], 0), MATCH(PartyCompare_5[[#This Row],[Party Size]],Encounter_Mod[[#Headers],[Small]:[Large]],0))</f>
        <v>100</v>
      </c>
      <c r="AM52" s="38">
        <f>SUM(PartyCompare_5[+1 (Hard)])/INDEX(Encounter_Mod[[Small]:[Large]], MATCH(PartyCompare_5[[#This Row],[Mob Size]], Encounter_Mod[Type], 0), MATCH(PartyCompare_5[[#This Row],[Party Size]],Encounter_Mod[[#Headers],[Small]:[Large]],0))</f>
        <v>150</v>
      </c>
      <c r="AN52" s="38">
        <f>SUM(PartyCompare_5[+1 (Deadly)])/INDEX(Encounter_Mod[[Small]:[Large]], MATCH(PartyCompare_5[[#This Row],[Mob Size]], Encounter_Mod[Type], 0), MATCH(PartyCompare_5[[#This Row],[Party Size]],Encounter_Mod[[#Headers],[Small]:[Large]],0))</f>
        <v>266.66666666666669</v>
      </c>
      <c r="AO52" s="46">
        <f>(PartyCompare_5[[#This Row],[+1 Easy]]-INDEX(PartyCompare_0[+1 Easy], MATCH(PartyCompare_5[[#This Row],[Mob Size]],PartyCompare_5[Mob Size],0)))/INDEX(PartyCompare_0[+1 Easy], MATCH(PartyCompare_5[[#This Row],[Mob Size]],PartyCompare_5[Mob Size],0))</f>
        <v>-0.375</v>
      </c>
      <c r="AP52" s="39">
        <f>(PartyCompare_5[[#This Row],[+1 Medium]]-INDEX(PartyCompare_0[+1 Medium], MATCH(PartyCompare_5[[#This Row],[Mob Size]],PartyCompare_5[Mob Size],0)))/INDEX(PartyCompare_0[+1 Medium], MATCH(PartyCompare_5[[#This Row],[Mob Size]],PartyCompare_5[Mob Size],0))</f>
        <v>-0.375</v>
      </c>
      <c r="AQ52" s="39">
        <f>(PartyCompare_5[[#This Row],[+1 Hard]]-INDEX(PartyCompare_0[+1 Hard], MATCH(PartyCompare_5[[#This Row],[Mob Size]],PartyCompare_5[Mob Size],0)))/INDEX(PartyCompare_0[+1 Hard], MATCH(PartyCompare_5[[#This Row],[Mob Size]],PartyCompare_5[Mob Size],0))</f>
        <v>-0.375</v>
      </c>
      <c r="AR52" s="34">
        <f>(PartyCompare_5[[#This Row],[+1 Deadly]]-INDEX(PartyCompare_0[+1 Deadly], MATCH(PartyCompare_5[[#This Row],[Mob Size]],PartyCompare_5[Mob Size],0)))/INDEX(PartyCompare_0[+1 Deadly], MATCH(PartyCompare_5[[#This Row],[Mob Size]],PartyCompare_5[Mob Size],0))</f>
        <v>-0.1666666666666666</v>
      </c>
      <c r="AS52" s="48">
        <f>AVERAGE(PartyCompare_5[[#This Row],[+1 Easy Deviation]:[+1 Deadly Deviation]])</f>
        <v>-0.32291666666666663</v>
      </c>
      <c r="AT52" s="36">
        <f>IF(ISNUMBER(PartyCompare_5[[#This Row],[Level]]), PartyCompare_5[[#This Row],[Level]]+2, PartyCompare_5[[#This Row],[Level]])</f>
        <v>0</v>
      </c>
      <c r="AU52" s="36">
        <f>INDEX(Encounter_Diff[Easy], MATCH(PartyCompare_5[[#This Row],[+2 Level]],Encounter_Diff[Player Level],0))</f>
        <v>0</v>
      </c>
      <c r="AV52" s="36">
        <f>INDEX(Encounter_Diff[Medium], MATCH(PartyCompare_5[[#This Row],[+2 Level]],Encounter_Diff[Player Level],0))</f>
        <v>0</v>
      </c>
      <c r="AW52" s="36">
        <f>INDEX(Encounter_Diff[Hard], MATCH(PartyCompare_5[[#This Row],[+2 Level]],Encounter_Diff[Player Level],0))</f>
        <v>0</v>
      </c>
      <c r="AX52" s="36">
        <f>INDEX(Encounter_Diff[Deadly], MATCH(PartyCompare_5[[#This Row],[+2 Level]],Encounter_Diff[Player Level],0))</f>
        <v>0</v>
      </c>
      <c r="AY52" s="63">
        <f>SUM(PartyCompare_5[+2 (Easy)])/INDEX(Encounter_Mod[[Small]:[Large]], MATCH(PartyCompare_5[[#This Row],[Mob Size]], Encounter_Mod[Type], 0), MATCH(PartyCompare_5[[#This Row],[Party Size]],Encounter_Mod[[#Headers],[Small]:[Large]],0))</f>
        <v>83.333333333333329</v>
      </c>
      <c r="AZ52" s="38">
        <f>SUM(PartyCompare_5[+2 (Medium)])/INDEX(Encounter_Mod[[Small]:[Large]], MATCH(PartyCompare_5[[#This Row],[Mob Size]], Encounter_Mod[Type], 0), MATCH(PartyCompare_5[[#This Row],[Party Size]],Encounter_Mod[[#Headers],[Small]:[Large]],0))</f>
        <v>166.66666666666666</v>
      </c>
      <c r="BA52" s="38">
        <f>SUM(PartyCompare_5[+2 (Hard)])/INDEX(Encounter_Mod[[Small]:[Large]], MATCH(PartyCompare_5[[#This Row],[Mob Size]], Encounter_Mod[Type], 0), MATCH(PartyCompare_5[[#This Row],[Party Size]],Encounter_Mod[[#Headers],[Small]:[Large]],0))</f>
        <v>250</v>
      </c>
      <c r="BB52" s="38">
        <f>SUM(PartyCompare_5[+2 (Deadly)])/INDEX(Encounter_Mod[[Small]:[Large]], MATCH(PartyCompare_5[[#This Row],[Mob Size]], Encounter_Mod[Type], 0), MATCH(PartyCompare_5[[#This Row],[Party Size]],Encounter_Mod[[#Headers],[Small]:[Large]],0))</f>
        <v>333.33333333333331</v>
      </c>
      <c r="BC52" s="46">
        <f>(PartyCompare_5[[#This Row],[+2 Easy]]-INDEX(PartyCompare_0[+2 Easy], MATCH(PartyCompare_5[[#This Row],[Mob Size]],PartyCompare_5[Mob Size],0)))/INDEX(PartyCompare_0[+2 Easy], MATCH(PartyCompare_5[[#This Row],[Mob Size]],PartyCompare_5[Mob Size],0))</f>
        <v>-0.30555555555555558</v>
      </c>
      <c r="BD52" s="39">
        <f>(PartyCompare_5[[#This Row],[+2 Medium]]-INDEX(PartyCompare_0[+2 Medium], MATCH(PartyCompare_5[[#This Row],[Mob Size]],PartyCompare_5[Mob Size],0)))/INDEX(PartyCompare_0[+2 Medium], MATCH(PartyCompare_5[[#This Row],[Mob Size]],PartyCompare_5[Mob Size],0))</f>
        <v>-0.30555555555555558</v>
      </c>
      <c r="BE52" s="39">
        <f>(PartyCompare_5[[#This Row],[+2 Hard]]-INDEX(PartyCompare_0[+2 Hard], MATCH(PartyCompare_5[[#This Row],[Mob Size]],PartyCompare_5[Mob Size],0)))/INDEX(PartyCompare_0[+2 Hard], MATCH(PartyCompare_5[[#This Row],[Mob Size]],PartyCompare_5[Mob Size],0))</f>
        <v>-0.30555555555555558</v>
      </c>
      <c r="BF52" s="34">
        <f>(PartyCompare_5[[#This Row],[+2 Deadly]]-INDEX(PartyCompare_0[+2 Deadly], MATCH(PartyCompare_5[[#This Row],[Mob Size]],PartyCompare_5[Mob Size],0)))/INDEX(PartyCompare_0[+2 Deadly], MATCH(PartyCompare_5[[#This Row],[Mob Size]],PartyCompare_5[Mob Size],0))</f>
        <v>-0.47916666666666669</v>
      </c>
      <c r="BG52" s="48">
        <f>AVERAGE(PartyCompare_5[[#This Row],[+2 Easy Deviation]:[+2 Deadly Deviation]])</f>
        <v>-0.34895833333333337</v>
      </c>
      <c r="BH52" s="36">
        <f>IF(ISNUMBER(PartyCompare_5[[#This Row],[Level]]), PartyCompare_5[[#This Row],[Level]]+3, PartyCompare_5[[#This Row],[Level]])</f>
        <v>0</v>
      </c>
      <c r="BI52" s="36">
        <f>INDEX(Encounter_Diff[Easy], MATCH(PartyCompare_5[[#This Row],[+3 Level]],Encounter_Diff[Player Level],0))</f>
        <v>0</v>
      </c>
      <c r="BJ52" s="36">
        <f>INDEX(Encounter_Diff[Medium], MATCH(PartyCompare_5[[#This Row],[+3 Level]],Encounter_Diff[Player Level],0))</f>
        <v>0</v>
      </c>
      <c r="BK52" s="36">
        <f>INDEX(Encounter_Diff[Hard], MATCH(PartyCompare_5[[#This Row],[+3 Level]],Encounter_Diff[Player Level],0))</f>
        <v>0</v>
      </c>
      <c r="BL52" s="36">
        <f>INDEX(Encounter_Diff[Deadly], MATCH(PartyCompare_5[[#This Row],[+3 Level]],Encounter_Diff[Player Level],0))</f>
        <v>0</v>
      </c>
      <c r="BM52" s="63">
        <f>SUM(PartyCompare_5[+3 (Easy)])/INDEX(Encounter_Mod[[Small]:[Large]], MATCH(PartyCompare_5[[#This Row],[Mob Size]], Encounter_Mod[Type], 0), MATCH(PartyCompare_5[[#This Row],[Party Size]],Encounter_Mod[[#Headers],[Small]:[Large]],0))</f>
        <v>166.66666666666666</v>
      </c>
      <c r="BN52" s="38">
        <f>SUM(PartyCompare_5[+3 (Medium)])/INDEX(Encounter_Mod[[Small]:[Large]], MATCH(PartyCompare_5[[#This Row],[Mob Size]], Encounter_Mod[Type], 0), MATCH(PartyCompare_5[[#This Row],[Party Size]],Encounter_Mod[[#Headers],[Small]:[Large]],0))</f>
        <v>333.33333333333331</v>
      </c>
      <c r="BO52" s="38">
        <f>SUM(PartyCompare_5[+3 (Hard)])/INDEX(Encounter_Mod[[Small]:[Large]], MATCH(PartyCompare_5[[#This Row],[Mob Size]], Encounter_Mod[Type], 0), MATCH(PartyCompare_5[[#This Row],[Party Size]],Encounter_Mod[[#Headers],[Small]:[Large]],0))</f>
        <v>500</v>
      </c>
      <c r="BP52" s="38">
        <f>SUM(PartyCompare_5[+3 (Deadly)])/INDEX(Encounter_Mod[[Small]:[Large]], MATCH(PartyCompare_5[[#This Row],[Mob Size]], Encounter_Mod[Type], 0), MATCH(PartyCompare_5[[#This Row],[Party Size]],Encounter_Mod[[#Headers],[Small]:[Large]],0))</f>
        <v>733.33333333333337</v>
      </c>
      <c r="BQ52" s="46">
        <f>(PartyCompare_5[[#This Row],[+3 Easy]]-INDEX(PartyCompare_0[+3 Easy], MATCH(PartyCompare_5[[#This Row],[Mob Size]],PartyCompare_5[Mob Size],0)))/INDEX(PartyCompare_0[+3 Easy], MATCH(PartyCompare_5[[#This Row],[Mob Size]],PartyCompare_5[Mob Size],0))</f>
        <v>-0.16666666666666671</v>
      </c>
      <c r="BR52" s="39">
        <f>(PartyCompare_5[[#This Row],[+3 Medium]]-INDEX(PartyCompare_0[+3 Medium], MATCH(PartyCompare_5[[#This Row],[Mob Size]],PartyCompare_5[Mob Size],0)))/INDEX(PartyCompare_0[+3 Medium], MATCH(PartyCompare_5[[#This Row],[Mob Size]],PartyCompare_5[Mob Size],0))</f>
        <v>-0.16666666666666671</v>
      </c>
      <c r="BS52" s="39">
        <f>(PartyCompare_5[[#This Row],[+3 Hard]]-INDEX(PartyCompare_0[+3 Hard], MATCH(PartyCompare_5[[#This Row],[Mob Size]],PartyCompare_5[Mob Size],0)))/INDEX(PartyCompare_0[+3 Hard], MATCH(PartyCompare_5[[#This Row],[Mob Size]],PartyCompare_5[Mob Size],0))</f>
        <v>-0.16666666666666666</v>
      </c>
      <c r="BT52" s="34">
        <f>(PartyCompare_5[[#This Row],[+3 Deadly]]-INDEX(PartyCompare_0[+3 Deadly], MATCH(PartyCompare_5[[#This Row],[Mob Size]],PartyCompare_5[Mob Size],0)))/INDEX(PartyCompare_0[+3 Deadly], MATCH(PartyCompare_5[[#This Row],[Mob Size]],PartyCompare_5[Mob Size],0))</f>
        <v>-8.3333333333333287E-2</v>
      </c>
      <c r="BU52" s="48">
        <f>AVERAGE(PartyCompare_5[[#This Row],[+3 Easy Deviation]:[+3 Deadly Deviation]])</f>
        <v>-0.14583333333333334</v>
      </c>
      <c r="BV52" s="36">
        <f>IF(ISNUMBER(PartyCompare_5[[#This Row],[Level]]), PartyCompare_5[[#This Row],[Level]]+4, PartyCompare_5[[#This Row],[Level]])</f>
        <v>0</v>
      </c>
      <c r="BW52" s="36">
        <f>INDEX(Encounter_Diff[Easy], MATCH(PartyCompare_5[[#This Row],[+4 Level]],Encounter_Diff[Player Level],0))</f>
        <v>0</v>
      </c>
      <c r="BX52" s="36">
        <f>INDEX(Encounter_Diff[Medium], MATCH(PartyCompare_5[[#This Row],[+4 Level]],Encounter_Diff[Player Level],0))</f>
        <v>0</v>
      </c>
      <c r="BY52" s="36">
        <f>INDEX(Encounter_Diff[Hard], MATCH(PartyCompare_5[[#This Row],[+4 Level]],Encounter_Diff[Player Level],0))</f>
        <v>0</v>
      </c>
      <c r="BZ52" s="36">
        <f>INDEX(Encounter_Diff[Deadly], MATCH(PartyCompare_5[[#This Row],[+4 Level]],Encounter_Diff[Player Level],0))</f>
        <v>0</v>
      </c>
      <c r="CA52" s="63">
        <f>SUM(PartyCompare_5[+4 (Easy)])/INDEX(Encounter_Mod[[Small]:[Large]], MATCH(PartyCompare_5[[#This Row],[Mob Size]], Encounter_Mod[Type], 0), MATCH(PartyCompare_5[[#This Row],[Party Size]],Encounter_Mod[[#Headers],[Small]:[Large]],0))</f>
        <v>200</v>
      </c>
      <c r="CB52" s="38">
        <f>SUM(PartyCompare_5[+4 (Medium)])/INDEX(Encounter_Mod[[Small]:[Large]], MATCH(PartyCompare_5[[#This Row],[Mob Size]], Encounter_Mod[Type], 0), MATCH(PartyCompare_5[[#This Row],[Party Size]],Encounter_Mod[[#Headers],[Small]:[Large]],0))</f>
        <v>400</v>
      </c>
      <c r="CC52" s="38">
        <f>SUM(PartyCompare_5[+4 (Hard)])/INDEX(Encounter_Mod[[Small]:[Large]], MATCH(PartyCompare_5[[#This Row],[Mob Size]], Encounter_Mod[Type], 0), MATCH(PartyCompare_5[[#This Row],[Party Size]],Encounter_Mod[[#Headers],[Small]:[Large]],0))</f>
        <v>600</v>
      </c>
      <c r="CD52" s="38">
        <f>SUM(PartyCompare_5[+4 (Deadly)])/INDEX(Encounter_Mod[[Small]:[Large]], MATCH(PartyCompare_5[[#This Row],[Mob Size]], Encounter_Mod[Type], 0), MATCH(PartyCompare_5[[#This Row],[Party Size]],Encounter_Mod[[#Headers],[Small]:[Large]],0))</f>
        <v>933.33333333333337</v>
      </c>
      <c r="CE52" s="46">
        <f>(PartyCompare_5[[#This Row],[+4 Easy]]-INDEX(PartyCompare_0[+4 Easy], MATCH(PartyCompare_5[[#This Row],[Mob Size]],PartyCompare_5[Mob Size],0)))/INDEX(PartyCompare_0[+4 Easy], MATCH(PartyCompare_5[[#This Row],[Mob Size]],PartyCompare_5[Mob Size],0))</f>
        <v>-0.5</v>
      </c>
      <c r="CF52" s="39">
        <f>(PartyCompare_5[[#This Row],[+4 Medium]]-INDEX(PartyCompare_0[+4 Medium], MATCH(PartyCompare_5[[#This Row],[Mob Size]],PartyCompare_5[Mob Size],0)))/INDEX(PartyCompare_0[+4 Medium], MATCH(PartyCompare_5[[#This Row],[Mob Size]],PartyCompare_5[Mob Size],0))</f>
        <v>-0.5</v>
      </c>
      <c r="CG52" s="39">
        <f>(PartyCompare_5[[#This Row],[+4 Hard]]-INDEX(PartyCompare_0[+4 Hard], MATCH(PartyCompare_5[[#This Row],[Mob Size]],PartyCompare_5[Mob Size],0)))/INDEX(PartyCompare_0[+4 Hard], MATCH(PartyCompare_5[[#This Row],[Mob Size]],PartyCompare_5[Mob Size],0))</f>
        <v>-0.5</v>
      </c>
      <c r="CH52" s="34">
        <f>(PartyCompare_5[[#This Row],[+4 Deadly]]-INDEX(PartyCompare_0[+4 Deadly], MATCH(PartyCompare_5[[#This Row],[Mob Size]],PartyCompare_5[Mob Size],0)))/INDEX(PartyCompare_0[+4 Deadly], MATCH(PartyCompare_5[[#This Row],[Mob Size]],PartyCompare_5[Mob Size],0))</f>
        <v>-0.46969696969696967</v>
      </c>
      <c r="CI52" s="48">
        <f>AVERAGE(PartyCompare_5[[#This Row],[+4 Easy Deviation]:[+4 Deadly Deviation]])</f>
        <v>-0.49242424242424243</v>
      </c>
    </row>
    <row r="53" spans="12:87" x14ac:dyDescent="0.2">
      <c r="L53" s="233"/>
      <c r="M53" s="91"/>
      <c r="N53" s="90"/>
      <c r="O53" s="32">
        <f>INDEX(Encounter_Diff[Easy], MATCH(PartyCompare_5[[#This Row],[Level]],Encounter_Diff[Player Level],0))</f>
        <v>0</v>
      </c>
      <c r="P53" s="32">
        <f>INDEX(Encounter_Diff[Medium], MATCH(PartyCompare_5[[#This Row],[Level]],Encounter_Diff[Player Level],0))</f>
        <v>0</v>
      </c>
      <c r="Q53" s="32">
        <f>INDEX(Encounter_Diff[Hard], MATCH(PartyCompare_5[[#This Row],[Level]],Encounter_Diff[Player Level],0))</f>
        <v>0</v>
      </c>
      <c r="R53" s="30">
        <f>INDEX(Encounter_Diff[Deadly], MATCH(PartyCompare_5[[#This Row],[Level]],Encounter_Diff[Player Level],0))</f>
        <v>0</v>
      </c>
      <c r="S53" s="97" t="str">
        <f t="shared" si="5"/>
        <v>2, 2</v>
      </c>
      <c r="T53" s="32" t="str">
        <f>IF(COUNT(PartyCompare_5[Level])&lt;=2,"Small", IF(COUNT(PartyCompare_5[Level])&lt;=5,"Med", IF(COUNT(PartyCompare_5[Level])&lt;=8, "Large", "TOO BIG!")))</f>
        <v>Small</v>
      </c>
      <c r="U53" s="73" t="s">
        <v>111</v>
      </c>
      <c r="V53" s="77" t="str">
        <f>INDEX(Encounter_Mod[Count], MATCH(PartyCompare_5[[#This Row],[Mob Size]], Encounter_Mod[Type],0))</f>
        <v>11-14</v>
      </c>
      <c r="W53" s="81">
        <f>SUM(PartyCompare_5[(Easy)])/INDEX(Encounter_Mod[[Small]:[Large]], MATCH(PartyCompare_5[[#This Row],[Mob Size]], Encounter_Mod[Type], 0), MATCH(PartyCompare_5[[#This Row],[Party Size]],Encounter_Mod[[#Headers],[Small]:[Large]],0))</f>
        <v>25</v>
      </c>
      <c r="X53" s="42">
        <f>SUM(PartyCompare_5[(Medium)])/INDEX(Encounter_Mod[[Small]:[Large]], MATCH(PartyCompare_5[[#This Row],[Mob Size]], Encounter_Mod[Type], 0), MATCH(PartyCompare_5[[#This Row],[Party Size]],Encounter_Mod[[#Headers],[Small]:[Large]],0))</f>
        <v>50</v>
      </c>
      <c r="Y53" s="42">
        <f>SUM(PartyCompare_5[(Hard)])/INDEX(Encounter_Mod[[Small]:[Large]], MATCH(PartyCompare_5[[#This Row],[Mob Size]], Encounter_Mod[Type], 0), MATCH(PartyCompare_5[[#This Row],[Party Size]],Encounter_Mod[[#Headers],[Small]:[Large]],0))</f>
        <v>75</v>
      </c>
      <c r="Z53" s="43">
        <f>SUM(PartyCompare_5[(Deadly)])/INDEX(Encounter_Mod[[Small]:[Large]], MATCH(PartyCompare_5[[#This Row],[Mob Size]], Encounter_Mod[Type], 0), MATCH(PartyCompare_5[[#This Row],[Party Size]],Encounter_Mod[[#Headers],[Small]:[Large]],0))</f>
        <v>100</v>
      </c>
      <c r="AA53" s="46">
        <f>(PartyCompare_5[[#This Row],[Easy]]-INDEX(PartyCompare_0[Easy], MATCH(PartyCompare_5[[#This Row],[Mob Size]],PartyCompare_0[Mob Size],0)))/INDEX(PartyCompare_0[Easy], MATCH(PartyCompare_5[[#This Row],[Mob Size]],PartyCompare_0[Mob Size],0))</f>
        <v>-0.25000000000000006</v>
      </c>
      <c r="AB53" s="33">
        <f>(PartyCompare_5[[#This Row],[Medium]]-INDEX(PartyCompare_0[Medium], MATCH(PartyCompare_5[[#This Row],[Mob Size]],PartyCompare_0[Mob Size],0)))/INDEX(PartyCompare_0[Medium], MATCH(PartyCompare_5[[#This Row],[Mob Size]],PartyCompare_0[Mob Size],0))</f>
        <v>-0.25000000000000006</v>
      </c>
      <c r="AC53" s="33">
        <f>(PartyCompare_5[[#This Row],[Hard]]-INDEX(PartyCompare_0[Hard], MATCH(PartyCompare_5[[#This Row],[Mob Size]],PartyCompare_0[Mob Size],0)))/INDEX(PartyCompare_0[Hard], MATCH(PartyCompare_5[[#This Row],[Mob Size]],PartyCompare_0[Mob Size],0))</f>
        <v>-0.25</v>
      </c>
      <c r="AD53" s="34">
        <f>(PartyCompare_5[[#This Row],[Deadly]]-INDEX(PartyCompare_0[Deadly], MATCH(PartyCompare_5[[#This Row],[Mob Size]],PartyCompare_0[Mob Size],0)))/INDEX(PartyCompare_0[Deadly], MATCH(PartyCompare_5[[#This Row],[Mob Size]],PartyCompare_0[Mob Size],0))</f>
        <v>-0.25000000000000006</v>
      </c>
      <c r="AE53" s="48">
        <f>AVERAGE(PartyCompare_5[[#This Row],[Easy Deviation]:[Deadly Deviation]])</f>
        <v>-0.25000000000000006</v>
      </c>
      <c r="AF53" s="36">
        <f>IF(ISNUMBER(PartyCompare_5[[#This Row],[Level]]), PartyCompare_5[[#This Row],[Level]]+1, PartyCompare_5[[#This Row],[Level]])</f>
        <v>0</v>
      </c>
      <c r="AG53" s="36">
        <f>INDEX(Encounter_Diff[Easy], MATCH(PartyCompare_5[[#This Row],[+1 Level]],Encounter_Diff[Player Level],0))</f>
        <v>0</v>
      </c>
      <c r="AH53" s="36">
        <f>INDEX(Encounter_Diff[Medium], MATCH(PartyCompare_5[[#This Row],[+1 Level]],Encounter_Diff[Player Level],0))</f>
        <v>0</v>
      </c>
      <c r="AI53" s="36">
        <f>INDEX(Encounter_Diff[Hard], MATCH(PartyCompare_5[[#This Row],[+1 Level]],Encounter_Diff[Player Level],0))</f>
        <v>0</v>
      </c>
      <c r="AJ53" s="36">
        <f>INDEX(Encounter_Diff[Deadly], MATCH(PartyCompare_5[[#This Row],[+1 Level]],Encounter_Diff[Player Level],0))</f>
        <v>0</v>
      </c>
      <c r="AK53" s="63">
        <f>SUM(PartyCompare_5[+1 (Easy)])/INDEX(Encounter_Mod[[Small]:[Large]], MATCH(PartyCompare_5[[#This Row],[Mob Size]], Encounter_Mod[Type], 0), MATCH(PartyCompare_5[[#This Row],[Party Size]],Encounter_Mod[[#Headers],[Small]:[Large]],0))</f>
        <v>37.5</v>
      </c>
      <c r="AL53" s="38">
        <f>SUM(PartyCompare_5[+1 (Medium)])/INDEX(Encounter_Mod[[Small]:[Large]], MATCH(PartyCompare_5[[#This Row],[Mob Size]], Encounter_Mod[Type], 0), MATCH(PartyCompare_5[[#This Row],[Party Size]],Encounter_Mod[[#Headers],[Small]:[Large]],0))</f>
        <v>75</v>
      </c>
      <c r="AM53" s="38">
        <f>SUM(PartyCompare_5[+1 (Hard)])/INDEX(Encounter_Mod[[Small]:[Large]], MATCH(PartyCompare_5[[#This Row],[Mob Size]], Encounter_Mod[Type], 0), MATCH(PartyCompare_5[[#This Row],[Party Size]],Encounter_Mod[[#Headers],[Small]:[Large]],0))</f>
        <v>112.5</v>
      </c>
      <c r="AN53" s="38">
        <f>SUM(PartyCompare_5[+1 (Deadly)])/INDEX(Encounter_Mod[[Small]:[Large]], MATCH(PartyCompare_5[[#This Row],[Mob Size]], Encounter_Mod[Type], 0), MATCH(PartyCompare_5[[#This Row],[Party Size]],Encounter_Mod[[#Headers],[Small]:[Large]],0))</f>
        <v>200</v>
      </c>
      <c r="AO53" s="46">
        <f>(PartyCompare_5[[#This Row],[+1 Easy]]-INDEX(PartyCompare_0[+1 Easy], MATCH(PartyCompare_5[[#This Row],[Mob Size]],PartyCompare_5[Mob Size],0)))/INDEX(PartyCompare_0[+1 Easy], MATCH(PartyCompare_5[[#This Row],[Mob Size]],PartyCompare_5[Mob Size],0))</f>
        <v>-0.43750000000000006</v>
      </c>
      <c r="AP53" s="39">
        <f>(PartyCompare_5[[#This Row],[+1 Medium]]-INDEX(PartyCompare_0[+1 Medium], MATCH(PartyCompare_5[[#This Row],[Mob Size]],PartyCompare_5[Mob Size],0)))/INDEX(PartyCompare_0[+1 Medium], MATCH(PartyCompare_5[[#This Row],[Mob Size]],PartyCompare_5[Mob Size],0))</f>
        <v>-0.43750000000000006</v>
      </c>
      <c r="AQ53" s="39">
        <f>(PartyCompare_5[[#This Row],[+1 Hard]]-INDEX(PartyCompare_0[+1 Hard], MATCH(PartyCompare_5[[#This Row],[Mob Size]],PartyCompare_5[Mob Size],0)))/INDEX(PartyCompare_0[+1 Hard], MATCH(PartyCompare_5[[#This Row],[Mob Size]],PartyCompare_5[Mob Size],0))</f>
        <v>-0.4375</v>
      </c>
      <c r="AR53" s="34">
        <f>(PartyCompare_5[[#This Row],[+1 Deadly]]-INDEX(PartyCompare_0[+1 Deadly], MATCH(PartyCompare_5[[#This Row],[Mob Size]],PartyCompare_5[Mob Size],0)))/INDEX(PartyCompare_0[+1 Deadly], MATCH(PartyCompare_5[[#This Row],[Mob Size]],PartyCompare_5[Mob Size],0))</f>
        <v>-0.25000000000000006</v>
      </c>
      <c r="AS53" s="48">
        <f>AVERAGE(PartyCompare_5[[#This Row],[+1 Easy Deviation]:[+1 Deadly Deviation]])</f>
        <v>-0.390625</v>
      </c>
      <c r="AT53" s="36">
        <f>IF(ISNUMBER(PartyCompare_5[[#This Row],[Level]]), PartyCompare_5[[#This Row],[Level]]+2, PartyCompare_5[[#This Row],[Level]])</f>
        <v>0</v>
      </c>
      <c r="AU53" s="36">
        <f>INDEX(Encounter_Diff[Easy], MATCH(PartyCompare_5[[#This Row],[+2 Level]],Encounter_Diff[Player Level],0))</f>
        <v>0</v>
      </c>
      <c r="AV53" s="36">
        <f>INDEX(Encounter_Diff[Medium], MATCH(PartyCompare_5[[#This Row],[+2 Level]],Encounter_Diff[Player Level],0))</f>
        <v>0</v>
      </c>
      <c r="AW53" s="36">
        <f>INDEX(Encounter_Diff[Hard], MATCH(PartyCompare_5[[#This Row],[+2 Level]],Encounter_Diff[Player Level],0))</f>
        <v>0</v>
      </c>
      <c r="AX53" s="36">
        <f>INDEX(Encounter_Diff[Deadly], MATCH(PartyCompare_5[[#This Row],[+2 Level]],Encounter_Diff[Player Level],0))</f>
        <v>0</v>
      </c>
      <c r="AY53" s="63">
        <f>SUM(PartyCompare_5[+2 (Easy)])/INDEX(Encounter_Mod[[Small]:[Large]], MATCH(PartyCompare_5[[#This Row],[Mob Size]], Encounter_Mod[Type], 0), MATCH(PartyCompare_5[[#This Row],[Party Size]],Encounter_Mod[[#Headers],[Small]:[Large]],0))</f>
        <v>62.5</v>
      </c>
      <c r="AZ53" s="38">
        <f>SUM(PartyCompare_5[+2 (Medium)])/INDEX(Encounter_Mod[[Small]:[Large]], MATCH(PartyCompare_5[[#This Row],[Mob Size]], Encounter_Mod[Type], 0), MATCH(PartyCompare_5[[#This Row],[Party Size]],Encounter_Mod[[#Headers],[Small]:[Large]],0))</f>
        <v>125</v>
      </c>
      <c r="BA53" s="38">
        <f>SUM(PartyCompare_5[+2 (Hard)])/INDEX(Encounter_Mod[[Small]:[Large]], MATCH(PartyCompare_5[[#This Row],[Mob Size]], Encounter_Mod[Type], 0), MATCH(PartyCompare_5[[#This Row],[Party Size]],Encounter_Mod[[#Headers],[Small]:[Large]],0))</f>
        <v>187.5</v>
      </c>
      <c r="BB53" s="38">
        <f>SUM(PartyCompare_5[+2 (Deadly)])/INDEX(Encounter_Mod[[Small]:[Large]], MATCH(PartyCompare_5[[#This Row],[Mob Size]], Encounter_Mod[Type], 0), MATCH(PartyCompare_5[[#This Row],[Party Size]],Encounter_Mod[[#Headers],[Small]:[Large]],0))</f>
        <v>250</v>
      </c>
      <c r="BC53" s="46">
        <f>(PartyCompare_5[[#This Row],[+2 Easy]]-INDEX(PartyCompare_0[+2 Easy], MATCH(PartyCompare_5[[#This Row],[Mob Size]],PartyCompare_5[Mob Size],0)))/INDEX(PartyCompare_0[+2 Easy], MATCH(PartyCompare_5[[#This Row],[Mob Size]],PartyCompare_5[Mob Size],0))</f>
        <v>-0.375</v>
      </c>
      <c r="BD53" s="39">
        <f>(PartyCompare_5[[#This Row],[+2 Medium]]-INDEX(PartyCompare_0[+2 Medium], MATCH(PartyCompare_5[[#This Row],[Mob Size]],PartyCompare_5[Mob Size],0)))/INDEX(PartyCompare_0[+2 Medium], MATCH(PartyCompare_5[[#This Row],[Mob Size]],PartyCompare_5[Mob Size],0))</f>
        <v>-0.375</v>
      </c>
      <c r="BE53" s="39">
        <f>(PartyCompare_5[[#This Row],[+2 Hard]]-INDEX(PartyCompare_0[+2 Hard], MATCH(PartyCompare_5[[#This Row],[Mob Size]],PartyCompare_5[Mob Size],0)))/INDEX(PartyCompare_0[+2 Hard], MATCH(PartyCompare_5[[#This Row],[Mob Size]],PartyCompare_5[Mob Size],0))</f>
        <v>-0.375</v>
      </c>
      <c r="BF53" s="34">
        <f>(PartyCompare_5[[#This Row],[+2 Deadly]]-INDEX(PartyCompare_0[+2 Deadly], MATCH(PartyCompare_5[[#This Row],[Mob Size]],PartyCompare_5[Mob Size],0)))/INDEX(PartyCompare_0[+2 Deadly], MATCH(PartyCompare_5[[#This Row],[Mob Size]],PartyCompare_5[Mob Size],0))</f>
        <v>-0.53125</v>
      </c>
      <c r="BG53" s="48">
        <f>AVERAGE(PartyCompare_5[[#This Row],[+2 Easy Deviation]:[+2 Deadly Deviation]])</f>
        <v>-0.4140625</v>
      </c>
      <c r="BH53" s="36">
        <f>IF(ISNUMBER(PartyCompare_5[[#This Row],[Level]]), PartyCompare_5[[#This Row],[Level]]+3, PartyCompare_5[[#This Row],[Level]])</f>
        <v>0</v>
      </c>
      <c r="BI53" s="36">
        <f>INDEX(Encounter_Diff[Easy], MATCH(PartyCompare_5[[#This Row],[+3 Level]],Encounter_Diff[Player Level],0))</f>
        <v>0</v>
      </c>
      <c r="BJ53" s="36">
        <f>INDEX(Encounter_Diff[Medium], MATCH(PartyCompare_5[[#This Row],[+3 Level]],Encounter_Diff[Player Level],0))</f>
        <v>0</v>
      </c>
      <c r="BK53" s="36">
        <f>INDEX(Encounter_Diff[Hard], MATCH(PartyCompare_5[[#This Row],[+3 Level]],Encounter_Diff[Player Level],0))</f>
        <v>0</v>
      </c>
      <c r="BL53" s="36">
        <f>INDEX(Encounter_Diff[Deadly], MATCH(PartyCompare_5[[#This Row],[+3 Level]],Encounter_Diff[Player Level],0))</f>
        <v>0</v>
      </c>
      <c r="BM53" s="63">
        <f>SUM(PartyCompare_5[+3 (Easy)])/INDEX(Encounter_Mod[[Small]:[Large]], MATCH(PartyCompare_5[[#This Row],[Mob Size]], Encounter_Mod[Type], 0), MATCH(PartyCompare_5[[#This Row],[Party Size]],Encounter_Mod[[#Headers],[Small]:[Large]],0))</f>
        <v>125</v>
      </c>
      <c r="BN53" s="38">
        <f>SUM(PartyCompare_5[+3 (Medium)])/INDEX(Encounter_Mod[[Small]:[Large]], MATCH(PartyCompare_5[[#This Row],[Mob Size]], Encounter_Mod[Type], 0), MATCH(PartyCompare_5[[#This Row],[Party Size]],Encounter_Mod[[#Headers],[Small]:[Large]],0))</f>
        <v>250</v>
      </c>
      <c r="BO53" s="38">
        <f>SUM(PartyCompare_5[+3 (Hard)])/INDEX(Encounter_Mod[[Small]:[Large]], MATCH(PartyCompare_5[[#This Row],[Mob Size]], Encounter_Mod[Type], 0), MATCH(PartyCompare_5[[#This Row],[Party Size]],Encounter_Mod[[#Headers],[Small]:[Large]],0))</f>
        <v>375</v>
      </c>
      <c r="BP53" s="38">
        <f>SUM(PartyCompare_5[+3 (Deadly)])/INDEX(Encounter_Mod[[Small]:[Large]], MATCH(PartyCompare_5[[#This Row],[Mob Size]], Encounter_Mod[Type], 0), MATCH(PartyCompare_5[[#This Row],[Party Size]],Encounter_Mod[[#Headers],[Small]:[Large]],0))</f>
        <v>550</v>
      </c>
      <c r="BQ53" s="46">
        <f>(PartyCompare_5[[#This Row],[+3 Easy]]-INDEX(PartyCompare_0[+3 Easy], MATCH(PartyCompare_5[[#This Row],[Mob Size]],PartyCompare_5[Mob Size],0)))/INDEX(PartyCompare_0[+3 Easy], MATCH(PartyCompare_5[[#This Row],[Mob Size]],PartyCompare_5[Mob Size],0))</f>
        <v>-0.24999999999999994</v>
      </c>
      <c r="BR53" s="39">
        <f>(PartyCompare_5[[#This Row],[+3 Medium]]-INDEX(PartyCompare_0[+3 Medium], MATCH(PartyCompare_5[[#This Row],[Mob Size]],PartyCompare_5[Mob Size],0)))/INDEX(PartyCompare_0[+3 Medium], MATCH(PartyCompare_5[[#This Row],[Mob Size]],PartyCompare_5[Mob Size],0))</f>
        <v>-0.24999999999999994</v>
      </c>
      <c r="BS53" s="39">
        <f>(PartyCompare_5[[#This Row],[+3 Hard]]-INDEX(PartyCompare_0[+3 Hard], MATCH(PartyCompare_5[[#This Row],[Mob Size]],PartyCompare_5[Mob Size],0)))/INDEX(PartyCompare_0[+3 Hard], MATCH(PartyCompare_5[[#This Row],[Mob Size]],PartyCompare_5[Mob Size],0))</f>
        <v>-0.25</v>
      </c>
      <c r="BT53" s="34">
        <f>(PartyCompare_5[[#This Row],[+3 Deadly]]-INDEX(PartyCompare_0[+3 Deadly], MATCH(PartyCompare_5[[#This Row],[Mob Size]],PartyCompare_5[Mob Size],0)))/INDEX(PartyCompare_0[+3 Deadly], MATCH(PartyCompare_5[[#This Row],[Mob Size]],PartyCompare_5[Mob Size],0))</f>
        <v>-0.17499999999999996</v>
      </c>
      <c r="BU53" s="48">
        <f>AVERAGE(PartyCompare_5[[#This Row],[+3 Easy Deviation]:[+3 Deadly Deviation]])</f>
        <v>-0.23124999999999996</v>
      </c>
      <c r="BV53" s="36">
        <f>IF(ISNUMBER(PartyCompare_5[[#This Row],[Level]]), PartyCompare_5[[#This Row],[Level]]+4, PartyCompare_5[[#This Row],[Level]])</f>
        <v>0</v>
      </c>
      <c r="BW53" s="36">
        <f>INDEX(Encounter_Diff[Easy], MATCH(PartyCompare_5[[#This Row],[+4 Level]],Encounter_Diff[Player Level],0))</f>
        <v>0</v>
      </c>
      <c r="BX53" s="36">
        <f>INDEX(Encounter_Diff[Medium], MATCH(PartyCompare_5[[#This Row],[+4 Level]],Encounter_Diff[Player Level],0))</f>
        <v>0</v>
      </c>
      <c r="BY53" s="36">
        <f>INDEX(Encounter_Diff[Hard], MATCH(PartyCompare_5[[#This Row],[+4 Level]],Encounter_Diff[Player Level],0))</f>
        <v>0</v>
      </c>
      <c r="BZ53" s="36">
        <f>INDEX(Encounter_Diff[Deadly], MATCH(PartyCompare_5[[#This Row],[+4 Level]],Encounter_Diff[Player Level],0))</f>
        <v>0</v>
      </c>
      <c r="CA53" s="63">
        <f>SUM(PartyCompare_5[+4 (Easy)])/INDEX(Encounter_Mod[[Small]:[Large]], MATCH(PartyCompare_5[[#This Row],[Mob Size]], Encounter_Mod[Type], 0), MATCH(PartyCompare_5[[#This Row],[Party Size]],Encounter_Mod[[#Headers],[Small]:[Large]],0))</f>
        <v>150</v>
      </c>
      <c r="CB53" s="38">
        <f>SUM(PartyCompare_5[+4 (Medium)])/INDEX(Encounter_Mod[[Small]:[Large]], MATCH(PartyCompare_5[[#This Row],[Mob Size]], Encounter_Mod[Type], 0), MATCH(PartyCompare_5[[#This Row],[Party Size]],Encounter_Mod[[#Headers],[Small]:[Large]],0))</f>
        <v>300</v>
      </c>
      <c r="CC53" s="38">
        <f>SUM(PartyCompare_5[+4 (Hard)])/INDEX(Encounter_Mod[[Small]:[Large]], MATCH(PartyCompare_5[[#This Row],[Mob Size]], Encounter_Mod[Type], 0), MATCH(PartyCompare_5[[#This Row],[Party Size]],Encounter_Mod[[#Headers],[Small]:[Large]],0))</f>
        <v>450</v>
      </c>
      <c r="CD53" s="38">
        <f>SUM(PartyCompare_5[+4 (Deadly)])/INDEX(Encounter_Mod[[Small]:[Large]], MATCH(PartyCompare_5[[#This Row],[Mob Size]], Encounter_Mod[Type], 0), MATCH(PartyCompare_5[[#This Row],[Party Size]],Encounter_Mod[[#Headers],[Small]:[Large]],0))</f>
        <v>700</v>
      </c>
      <c r="CE53" s="46">
        <f>(PartyCompare_5[[#This Row],[+4 Easy]]-INDEX(PartyCompare_0[+4 Easy], MATCH(PartyCompare_5[[#This Row],[Mob Size]],PartyCompare_5[Mob Size],0)))/INDEX(PartyCompare_0[+4 Easy], MATCH(PartyCompare_5[[#This Row],[Mob Size]],PartyCompare_5[Mob Size],0))</f>
        <v>-0.54999999999999993</v>
      </c>
      <c r="CF53" s="39">
        <f>(PartyCompare_5[[#This Row],[+4 Medium]]-INDEX(PartyCompare_0[+4 Medium], MATCH(PartyCompare_5[[#This Row],[Mob Size]],PartyCompare_5[Mob Size],0)))/INDEX(PartyCompare_0[+4 Medium], MATCH(PartyCompare_5[[#This Row],[Mob Size]],PartyCompare_5[Mob Size],0))</f>
        <v>-0.54999999999999993</v>
      </c>
      <c r="CG53" s="39">
        <f>(PartyCompare_5[[#This Row],[+4 Hard]]-INDEX(PartyCompare_0[+4 Hard], MATCH(PartyCompare_5[[#This Row],[Mob Size]],PartyCompare_5[Mob Size],0)))/INDEX(PartyCompare_0[+4 Hard], MATCH(PartyCompare_5[[#This Row],[Mob Size]],PartyCompare_5[Mob Size],0))</f>
        <v>-0.55000000000000004</v>
      </c>
      <c r="CH53" s="34">
        <f>(PartyCompare_5[[#This Row],[+4 Deadly]]-INDEX(PartyCompare_0[+4 Deadly], MATCH(PartyCompare_5[[#This Row],[Mob Size]],PartyCompare_5[Mob Size],0)))/INDEX(PartyCompare_0[+4 Deadly], MATCH(PartyCompare_5[[#This Row],[Mob Size]],PartyCompare_5[Mob Size],0))</f>
        <v>-0.52272727272727271</v>
      </c>
      <c r="CI53" s="48">
        <f>AVERAGE(PartyCompare_5[[#This Row],[+4 Easy Deviation]:[+4 Deadly Deviation]])</f>
        <v>-0.54318181818181821</v>
      </c>
    </row>
    <row r="54" spans="12:87" x14ac:dyDescent="0.2">
      <c r="L54" s="233"/>
      <c r="M54" s="91"/>
      <c r="N54" s="90"/>
      <c r="O54" s="32">
        <f>INDEX(Encounter_Diff[Easy], MATCH(PartyCompare_5[[#This Row],[Level]],Encounter_Diff[Player Level],0))</f>
        <v>0</v>
      </c>
      <c r="P54" s="32">
        <f>INDEX(Encounter_Diff[Medium], MATCH(PartyCompare_5[[#This Row],[Level]],Encounter_Diff[Player Level],0))</f>
        <v>0</v>
      </c>
      <c r="Q54" s="32">
        <f>INDEX(Encounter_Diff[Hard], MATCH(PartyCompare_5[[#This Row],[Level]],Encounter_Diff[Player Level],0))</f>
        <v>0</v>
      </c>
      <c r="R54" s="30">
        <f>INDEX(Encounter_Diff[Deadly], MATCH(PartyCompare_5[[#This Row],[Level]],Encounter_Diff[Player Level],0))</f>
        <v>0</v>
      </c>
      <c r="S54" s="97" t="str">
        <f t="shared" si="5"/>
        <v>2, 2</v>
      </c>
      <c r="T54" s="32" t="str">
        <f>IF(COUNT(PartyCompare_5[Level])&lt;=2,"Small", IF(COUNT(PartyCompare_5[Level])&lt;=5,"Med", IF(COUNT(PartyCompare_5[Level])&lt;=8, "Large", "TOO BIG!")))</f>
        <v>Small</v>
      </c>
      <c r="U54" s="73" t="s">
        <v>112</v>
      </c>
      <c r="V54" s="77" t="str">
        <f>INDEX(Encounter_Mod[Count], MATCH(PartyCompare_5[[#This Row],[Mob Size]], Encounter_Mod[Type],0))</f>
        <v>15+</v>
      </c>
      <c r="W54" s="81">
        <f>SUM(PartyCompare_5[(Easy)])/INDEX(Encounter_Mod[[Small]:[Large]], MATCH(PartyCompare_5[[#This Row],[Mob Size]], Encounter_Mod[Type], 0), MATCH(PartyCompare_5[[#This Row],[Party Size]],Encounter_Mod[[#Headers],[Small]:[Large]],0))</f>
        <v>20</v>
      </c>
      <c r="X54" s="42">
        <f>SUM(PartyCompare_5[(Medium)])/INDEX(Encounter_Mod[[Small]:[Large]], MATCH(PartyCompare_5[[#This Row],[Mob Size]], Encounter_Mod[Type], 0), MATCH(PartyCompare_5[[#This Row],[Party Size]],Encounter_Mod[[#Headers],[Small]:[Large]],0))</f>
        <v>40</v>
      </c>
      <c r="Y54" s="42">
        <f>SUM(PartyCompare_5[(Hard)])/INDEX(Encounter_Mod[[Small]:[Large]], MATCH(PartyCompare_5[[#This Row],[Mob Size]], Encounter_Mod[Type], 0), MATCH(PartyCompare_5[[#This Row],[Party Size]],Encounter_Mod[[#Headers],[Small]:[Large]],0))</f>
        <v>60</v>
      </c>
      <c r="Z54" s="43">
        <f>SUM(PartyCompare_5[(Deadly)])/INDEX(Encounter_Mod[[Small]:[Large]], MATCH(PartyCompare_5[[#This Row],[Mob Size]], Encounter_Mod[Type], 0), MATCH(PartyCompare_5[[#This Row],[Party Size]],Encounter_Mod[[#Headers],[Small]:[Large]],0))</f>
        <v>80</v>
      </c>
      <c r="AA54" s="46">
        <f>(PartyCompare_5[[#This Row],[Easy]]-INDEX(PartyCompare_0[Easy], MATCH(PartyCompare_5[[#This Row],[Mob Size]],PartyCompare_0[Mob Size],0)))/INDEX(PartyCompare_0[Easy], MATCH(PartyCompare_5[[#This Row],[Mob Size]],PartyCompare_0[Mob Size],0))</f>
        <v>-0.2</v>
      </c>
      <c r="AB54" s="33">
        <f>(PartyCompare_5[[#This Row],[Medium]]-INDEX(PartyCompare_0[Medium], MATCH(PartyCompare_5[[#This Row],[Mob Size]],PartyCompare_0[Mob Size],0)))/INDEX(PartyCompare_0[Medium], MATCH(PartyCompare_5[[#This Row],[Mob Size]],PartyCompare_0[Mob Size],0))</f>
        <v>-0.2</v>
      </c>
      <c r="AC54" s="33">
        <f>(PartyCompare_5[[#This Row],[Hard]]-INDEX(PartyCompare_0[Hard], MATCH(PartyCompare_5[[#This Row],[Mob Size]],PartyCompare_0[Mob Size],0)))/INDEX(PartyCompare_0[Hard], MATCH(PartyCompare_5[[#This Row],[Mob Size]],PartyCompare_0[Mob Size],0))</f>
        <v>-0.2</v>
      </c>
      <c r="AD54" s="34">
        <f>(PartyCompare_5[[#This Row],[Deadly]]-INDEX(PartyCompare_0[Deadly], MATCH(PartyCompare_5[[#This Row],[Mob Size]],PartyCompare_0[Mob Size],0)))/INDEX(PartyCompare_0[Deadly], MATCH(PartyCompare_5[[#This Row],[Mob Size]],PartyCompare_0[Mob Size],0))</f>
        <v>-0.2</v>
      </c>
      <c r="AE54" s="48">
        <f>AVERAGE(PartyCompare_5[[#This Row],[Easy Deviation]:[Deadly Deviation]])</f>
        <v>-0.2</v>
      </c>
      <c r="AF54" s="36">
        <f>IF(ISNUMBER(PartyCompare_5[[#This Row],[Level]]), PartyCompare_5[[#This Row],[Level]]+1, PartyCompare_5[[#This Row],[Level]])</f>
        <v>0</v>
      </c>
      <c r="AG54" s="36">
        <f>INDEX(Encounter_Diff[Easy], MATCH(PartyCompare_5[[#This Row],[+1 Level]],Encounter_Diff[Player Level],0))</f>
        <v>0</v>
      </c>
      <c r="AH54" s="36">
        <f>INDEX(Encounter_Diff[Medium], MATCH(PartyCompare_5[[#This Row],[+1 Level]],Encounter_Diff[Player Level],0))</f>
        <v>0</v>
      </c>
      <c r="AI54" s="36">
        <f>INDEX(Encounter_Diff[Hard], MATCH(PartyCompare_5[[#This Row],[+1 Level]],Encounter_Diff[Player Level],0))</f>
        <v>0</v>
      </c>
      <c r="AJ54" s="36">
        <f>INDEX(Encounter_Diff[Deadly], MATCH(PartyCompare_5[[#This Row],[+1 Level]],Encounter_Diff[Player Level],0))</f>
        <v>0</v>
      </c>
      <c r="AK54" s="63">
        <f>SUM(PartyCompare_5[+1 (Easy)])/INDEX(Encounter_Mod[[Small]:[Large]], MATCH(PartyCompare_5[[#This Row],[Mob Size]], Encounter_Mod[Type], 0), MATCH(PartyCompare_5[[#This Row],[Party Size]],Encounter_Mod[[#Headers],[Small]:[Large]],0))</f>
        <v>30</v>
      </c>
      <c r="AL54" s="38">
        <f>SUM(PartyCompare_5[+1 (Medium)])/INDEX(Encounter_Mod[[Small]:[Large]], MATCH(PartyCompare_5[[#This Row],[Mob Size]], Encounter_Mod[Type], 0), MATCH(PartyCompare_5[[#This Row],[Party Size]],Encounter_Mod[[#Headers],[Small]:[Large]],0))</f>
        <v>60</v>
      </c>
      <c r="AM54" s="38">
        <f>SUM(PartyCompare_5[+1 (Hard)])/INDEX(Encounter_Mod[[Small]:[Large]], MATCH(PartyCompare_5[[#This Row],[Mob Size]], Encounter_Mod[Type], 0), MATCH(PartyCompare_5[[#This Row],[Party Size]],Encounter_Mod[[#Headers],[Small]:[Large]],0))</f>
        <v>90</v>
      </c>
      <c r="AN54" s="38">
        <f>SUM(PartyCompare_5[+1 (Deadly)])/INDEX(Encounter_Mod[[Small]:[Large]], MATCH(PartyCompare_5[[#This Row],[Mob Size]], Encounter_Mod[Type], 0), MATCH(PartyCompare_5[[#This Row],[Party Size]],Encounter_Mod[[#Headers],[Small]:[Large]],0))</f>
        <v>160</v>
      </c>
      <c r="AO54" s="46">
        <f>(PartyCompare_5[[#This Row],[+1 Easy]]-INDEX(PartyCompare_0[+1 Easy], MATCH(PartyCompare_5[[#This Row],[Mob Size]],PartyCompare_5[Mob Size],0)))/INDEX(PartyCompare_0[+1 Easy], MATCH(PartyCompare_5[[#This Row],[Mob Size]],PartyCompare_5[Mob Size],0))</f>
        <v>-0.4</v>
      </c>
      <c r="AP54" s="39">
        <f>(PartyCompare_5[[#This Row],[+1 Medium]]-INDEX(PartyCompare_0[+1 Medium], MATCH(PartyCompare_5[[#This Row],[Mob Size]],PartyCompare_5[Mob Size],0)))/INDEX(PartyCompare_0[+1 Medium], MATCH(PartyCompare_5[[#This Row],[Mob Size]],PartyCompare_5[Mob Size],0))</f>
        <v>-0.4</v>
      </c>
      <c r="AQ54" s="39">
        <f>(PartyCompare_5[[#This Row],[+1 Hard]]-INDEX(PartyCompare_0[+1 Hard], MATCH(PartyCompare_5[[#This Row],[Mob Size]],PartyCompare_5[Mob Size],0)))/INDEX(PartyCompare_0[+1 Hard], MATCH(PartyCompare_5[[#This Row],[Mob Size]],PartyCompare_5[Mob Size],0))</f>
        <v>-0.4</v>
      </c>
      <c r="AR54" s="34">
        <f>(PartyCompare_5[[#This Row],[+1 Deadly]]-INDEX(PartyCompare_0[+1 Deadly], MATCH(PartyCompare_5[[#This Row],[Mob Size]],PartyCompare_5[Mob Size],0)))/INDEX(PartyCompare_0[+1 Deadly], MATCH(PartyCompare_5[[#This Row],[Mob Size]],PartyCompare_5[Mob Size],0))</f>
        <v>-0.2</v>
      </c>
      <c r="AS54" s="48">
        <f>AVERAGE(PartyCompare_5[[#This Row],[+1 Easy Deviation]:[+1 Deadly Deviation]])</f>
        <v>-0.35000000000000003</v>
      </c>
      <c r="AT54" s="36">
        <f>IF(ISNUMBER(PartyCompare_5[[#This Row],[Level]]), PartyCompare_5[[#This Row],[Level]]+2, PartyCompare_5[[#This Row],[Level]])</f>
        <v>0</v>
      </c>
      <c r="AU54" s="36">
        <f>INDEX(Encounter_Diff[Easy], MATCH(PartyCompare_5[[#This Row],[+2 Level]],Encounter_Diff[Player Level],0))</f>
        <v>0</v>
      </c>
      <c r="AV54" s="36">
        <f>INDEX(Encounter_Diff[Medium], MATCH(PartyCompare_5[[#This Row],[+2 Level]],Encounter_Diff[Player Level],0))</f>
        <v>0</v>
      </c>
      <c r="AW54" s="36">
        <f>INDEX(Encounter_Diff[Hard], MATCH(PartyCompare_5[[#This Row],[+2 Level]],Encounter_Diff[Player Level],0))</f>
        <v>0</v>
      </c>
      <c r="AX54" s="36">
        <f>INDEX(Encounter_Diff[Deadly], MATCH(PartyCompare_5[[#This Row],[+2 Level]],Encounter_Diff[Player Level],0))</f>
        <v>0</v>
      </c>
      <c r="AY54" s="63">
        <f>SUM(PartyCompare_5[+2 (Easy)])/INDEX(Encounter_Mod[[Small]:[Large]], MATCH(PartyCompare_5[[#This Row],[Mob Size]], Encounter_Mod[Type], 0), MATCH(PartyCompare_5[[#This Row],[Party Size]],Encounter_Mod[[#Headers],[Small]:[Large]],0))</f>
        <v>50</v>
      </c>
      <c r="AZ54" s="38">
        <f>SUM(PartyCompare_5[+2 (Medium)])/INDEX(Encounter_Mod[[Small]:[Large]], MATCH(PartyCompare_5[[#This Row],[Mob Size]], Encounter_Mod[Type], 0), MATCH(PartyCompare_5[[#This Row],[Party Size]],Encounter_Mod[[#Headers],[Small]:[Large]],0))</f>
        <v>100</v>
      </c>
      <c r="BA54" s="38">
        <f>SUM(PartyCompare_5[+2 (Hard)])/INDEX(Encounter_Mod[[Small]:[Large]], MATCH(PartyCompare_5[[#This Row],[Mob Size]], Encounter_Mod[Type], 0), MATCH(PartyCompare_5[[#This Row],[Party Size]],Encounter_Mod[[#Headers],[Small]:[Large]],0))</f>
        <v>150</v>
      </c>
      <c r="BB54" s="38">
        <f>SUM(PartyCompare_5[+2 (Deadly)])/INDEX(Encounter_Mod[[Small]:[Large]], MATCH(PartyCompare_5[[#This Row],[Mob Size]], Encounter_Mod[Type], 0), MATCH(PartyCompare_5[[#This Row],[Party Size]],Encounter_Mod[[#Headers],[Small]:[Large]],0))</f>
        <v>200</v>
      </c>
      <c r="BC54" s="46">
        <f>(PartyCompare_5[[#This Row],[+2 Easy]]-INDEX(PartyCompare_0[+2 Easy], MATCH(PartyCompare_5[[#This Row],[Mob Size]],PartyCompare_5[Mob Size],0)))/INDEX(PartyCompare_0[+2 Easy], MATCH(PartyCompare_5[[#This Row],[Mob Size]],PartyCompare_5[Mob Size],0))</f>
        <v>-0.33333333333333331</v>
      </c>
      <c r="BD54" s="39">
        <f>(PartyCompare_5[[#This Row],[+2 Medium]]-INDEX(PartyCompare_0[+2 Medium], MATCH(PartyCompare_5[[#This Row],[Mob Size]],PartyCompare_5[Mob Size],0)))/INDEX(PartyCompare_0[+2 Medium], MATCH(PartyCompare_5[[#This Row],[Mob Size]],PartyCompare_5[Mob Size],0))</f>
        <v>-0.33333333333333331</v>
      </c>
      <c r="BE54" s="39">
        <f>(PartyCompare_5[[#This Row],[+2 Hard]]-INDEX(PartyCompare_0[+2 Hard], MATCH(PartyCompare_5[[#This Row],[Mob Size]],PartyCompare_5[Mob Size],0)))/INDEX(PartyCompare_0[+2 Hard], MATCH(PartyCompare_5[[#This Row],[Mob Size]],PartyCompare_5[Mob Size],0))</f>
        <v>-0.33333333333333331</v>
      </c>
      <c r="BF54" s="34">
        <f>(PartyCompare_5[[#This Row],[+2 Deadly]]-INDEX(PartyCompare_0[+2 Deadly], MATCH(PartyCompare_5[[#This Row],[Mob Size]],PartyCompare_5[Mob Size],0)))/INDEX(PartyCompare_0[+2 Deadly], MATCH(PartyCompare_5[[#This Row],[Mob Size]],PartyCompare_5[Mob Size],0))</f>
        <v>-0.5</v>
      </c>
      <c r="BG54" s="48">
        <f>AVERAGE(PartyCompare_5[[#This Row],[+2 Easy Deviation]:[+2 Deadly Deviation]])</f>
        <v>-0.375</v>
      </c>
      <c r="BH54" s="36">
        <f>IF(ISNUMBER(PartyCompare_5[[#This Row],[Level]]), PartyCompare_5[[#This Row],[Level]]+3, PartyCompare_5[[#This Row],[Level]])</f>
        <v>0</v>
      </c>
      <c r="BI54" s="36">
        <f>INDEX(Encounter_Diff[Easy], MATCH(PartyCompare_5[[#This Row],[+3 Level]],Encounter_Diff[Player Level],0))</f>
        <v>0</v>
      </c>
      <c r="BJ54" s="36">
        <f>INDEX(Encounter_Diff[Medium], MATCH(PartyCompare_5[[#This Row],[+3 Level]],Encounter_Diff[Player Level],0))</f>
        <v>0</v>
      </c>
      <c r="BK54" s="36">
        <f>INDEX(Encounter_Diff[Hard], MATCH(PartyCompare_5[[#This Row],[+3 Level]],Encounter_Diff[Player Level],0))</f>
        <v>0</v>
      </c>
      <c r="BL54" s="36">
        <f>INDEX(Encounter_Diff[Deadly], MATCH(PartyCompare_5[[#This Row],[+3 Level]],Encounter_Diff[Player Level],0))</f>
        <v>0</v>
      </c>
      <c r="BM54" s="63">
        <f>SUM(PartyCompare_5[+3 (Easy)])/INDEX(Encounter_Mod[[Small]:[Large]], MATCH(PartyCompare_5[[#This Row],[Mob Size]], Encounter_Mod[Type], 0), MATCH(PartyCompare_5[[#This Row],[Party Size]],Encounter_Mod[[#Headers],[Small]:[Large]],0))</f>
        <v>100</v>
      </c>
      <c r="BN54" s="38">
        <f>SUM(PartyCompare_5[+3 (Medium)])/INDEX(Encounter_Mod[[Small]:[Large]], MATCH(PartyCompare_5[[#This Row],[Mob Size]], Encounter_Mod[Type], 0), MATCH(PartyCompare_5[[#This Row],[Party Size]],Encounter_Mod[[#Headers],[Small]:[Large]],0))</f>
        <v>200</v>
      </c>
      <c r="BO54" s="38">
        <f>SUM(PartyCompare_5[+3 (Hard)])/INDEX(Encounter_Mod[[Small]:[Large]], MATCH(PartyCompare_5[[#This Row],[Mob Size]], Encounter_Mod[Type], 0), MATCH(PartyCompare_5[[#This Row],[Party Size]],Encounter_Mod[[#Headers],[Small]:[Large]],0))</f>
        <v>300</v>
      </c>
      <c r="BP54" s="38">
        <f>SUM(PartyCompare_5[+3 (Deadly)])/INDEX(Encounter_Mod[[Small]:[Large]], MATCH(PartyCompare_5[[#This Row],[Mob Size]], Encounter_Mod[Type], 0), MATCH(PartyCompare_5[[#This Row],[Party Size]],Encounter_Mod[[#Headers],[Small]:[Large]],0))</f>
        <v>440</v>
      </c>
      <c r="BQ54" s="46">
        <f>(PartyCompare_5[[#This Row],[+3 Easy]]-INDEX(PartyCompare_0[+3 Easy], MATCH(PartyCompare_5[[#This Row],[Mob Size]],PartyCompare_5[Mob Size],0)))/INDEX(PartyCompare_0[+3 Easy], MATCH(PartyCompare_5[[#This Row],[Mob Size]],PartyCompare_5[Mob Size],0))</f>
        <v>-0.2</v>
      </c>
      <c r="BR54" s="39">
        <f>(PartyCompare_5[[#This Row],[+3 Medium]]-INDEX(PartyCompare_0[+3 Medium], MATCH(PartyCompare_5[[#This Row],[Mob Size]],PartyCompare_5[Mob Size],0)))/INDEX(PartyCompare_0[+3 Medium], MATCH(PartyCompare_5[[#This Row],[Mob Size]],PartyCompare_5[Mob Size],0))</f>
        <v>-0.2</v>
      </c>
      <c r="BS54" s="39">
        <f>(PartyCompare_5[[#This Row],[+3 Hard]]-INDEX(PartyCompare_0[+3 Hard], MATCH(PartyCompare_5[[#This Row],[Mob Size]],PartyCompare_5[Mob Size],0)))/INDEX(PartyCompare_0[+3 Hard], MATCH(PartyCompare_5[[#This Row],[Mob Size]],PartyCompare_5[Mob Size],0))</f>
        <v>-0.2</v>
      </c>
      <c r="BT54" s="34">
        <f>(PartyCompare_5[[#This Row],[+3 Deadly]]-INDEX(PartyCompare_0[+3 Deadly], MATCH(PartyCompare_5[[#This Row],[Mob Size]],PartyCompare_5[Mob Size],0)))/INDEX(PartyCompare_0[+3 Deadly], MATCH(PartyCompare_5[[#This Row],[Mob Size]],PartyCompare_5[Mob Size],0))</f>
        <v>-0.12</v>
      </c>
      <c r="BU54" s="48">
        <f>AVERAGE(PartyCompare_5[[#This Row],[+3 Easy Deviation]:[+3 Deadly Deviation]])</f>
        <v>-0.18000000000000002</v>
      </c>
      <c r="BV54" s="36">
        <f>IF(ISNUMBER(PartyCompare_5[[#This Row],[Level]]), PartyCompare_5[[#This Row],[Level]]+4, PartyCompare_5[[#This Row],[Level]])</f>
        <v>0</v>
      </c>
      <c r="BW54" s="36">
        <f>INDEX(Encounter_Diff[Easy], MATCH(PartyCompare_5[[#This Row],[+4 Level]],Encounter_Diff[Player Level],0))</f>
        <v>0</v>
      </c>
      <c r="BX54" s="36">
        <f>INDEX(Encounter_Diff[Medium], MATCH(PartyCompare_5[[#This Row],[+4 Level]],Encounter_Diff[Player Level],0))</f>
        <v>0</v>
      </c>
      <c r="BY54" s="36">
        <f>INDEX(Encounter_Diff[Hard], MATCH(PartyCompare_5[[#This Row],[+4 Level]],Encounter_Diff[Player Level],0))</f>
        <v>0</v>
      </c>
      <c r="BZ54" s="36">
        <f>INDEX(Encounter_Diff[Deadly], MATCH(PartyCompare_5[[#This Row],[+4 Level]],Encounter_Diff[Player Level],0))</f>
        <v>0</v>
      </c>
      <c r="CA54" s="63">
        <f>SUM(PartyCompare_5[+4 (Easy)])/INDEX(Encounter_Mod[[Small]:[Large]], MATCH(PartyCompare_5[[#This Row],[Mob Size]], Encounter_Mod[Type], 0), MATCH(PartyCompare_5[[#This Row],[Party Size]],Encounter_Mod[[#Headers],[Small]:[Large]],0))</f>
        <v>120</v>
      </c>
      <c r="CB54" s="38">
        <f>SUM(PartyCompare_5[+4 (Medium)])/INDEX(Encounter_Mod[[Small]:[Large]], MATCH(PartyCompare_5[[#This Row],[Mob Size]], Encounter_Mod[Type], 0), MATCH(PartyCompare_5[[#This Row],[Party Size]],Encounter_Mod[[#Headers],[Small]:[Large]],0))</f>
        <v>240</v>
      </c>
      <c r="CC54" s="38">
        <f>SUM(PartyCompare_5[+4 (Hard)])/INDEX(Encounter_Mod[[Small]:[Large]], MATCH(PartyCompare_5[[#This Row],[Mob Size]], Encounter_Mod[Type], 0), MATCH(PartyCompare_5[[#This Row],[Party Size]],Encounter_Mod[[#Headers],[Small]:[Large]],0))</f>
        <v>360</v>
      </c>
      <c r="CD54" s="38">
        <f>SUM(PartyCompare_5[+4 (Deadly)])/INDEX(Encounter_Mod[[Small]:[Large]], MATCH(PartyCompare_5[[#This Row],[Mob Size]], Encounter_Mod[Type], 0), MATCH(PartyCompare_5[[#This Row],[Party Size]],Encounter_Mod[[#Headers],[Small]:[Large]],0))</f>
        <v>560</v>
      </c>
      <c r="CE54" s="46">
        <f>(PartyCompare_5[[#This Row],[+4 Easy]]-INDEX(PartyCompare_0[+4 Easy], MATCH(PartyCompare_5[[#This Row],[Mob Size]],PartyCompare_5[Mob Size],0)))/INDEX(PartyCompare_0[+4 Easy], MATCH(PartyCompare_5[[#This Row],[Mob Size]],PartyCompare_5[Mob Size],0))</f>
        <v>-0.52</v>
      </c>
      <c r="CF54" s="39">
        <f>(PartyCompare_5[[#This Row],[+4 Medium]]-INDEX(PartyCompare_0[+4 Medium], MATCH(PartyCompare_5[[#This Row],[Mob Size]],PartyCompare_5[Mob Size],0)))/INDEX(PartyCompare_0[+4 Medium], MATCH(PartyCompare_5[[#This Row],[Mob Size]],PartyCompare_5[Mob Size],0))</f>
        <v>-0.52</v>
      </c>
      <c r="CG54" s="39">
        <f>(PartyCompare_5[[#This Row],[+4 Hard]]-INDEX(PartyCompare_0[+4 Hard], MATCH(PartyCompare_5[[#This Row],[Mob Size]],PartyCompare_5[Mob Size],0)))/INDEX(PartyCompare_0[+4 Hard], MATCH(PartyCompare_5[[#This Row],[Mob Size]],PartyCompare_5[Mob Size],0))</f>
        <v>-0.52</v>
      </c>
      <c r="CH54" s="34">
        <f>(PartyCompare_5[[#This Row],[+4 Deadly]]-INDEX(PartyCompare_0[+4 Deadly], MATCH(PartyCompare_5[[#This Row],[Mob Size]],PartyCompare_5[Mob Size],0)))/INDEX(PartyCompare_0[+4 Deadly], MATCH(PartyCompare_5[[#This Row],[Mob Size]],PartyCompare_5[Mob Size],0))</f>
        <v>-0.49090909090909091</v>
      </c>
      <c r="CI54" s="48">
        <f>AVERAGE(PartyCompare_5[[#This Row],[+4 Easy Deviation]:[+4 Deadly Deviation]])</f>
        <v>-0.5127272727272727</v>
      </c>
    </row>
    <row r="55" spans="12:87" x14ac:dyDescent="0.2">
      <c r="L55" s="233"/>
      <c r="M55" s="91"/>
      <c r="N55" s="90"/>
      <c r="O55" s="32">
        <f>INDEX(Encounter_Diff[Easy], MATCH(PartyCompare_5[[#This Row],[Level]],Encounter_Diff[Player Level],0))</f>
        <v>0</v>
      </c>
      <c r="P55" s="32">
        <f>INDEX(Encounter_Diff[Medium], MATCH(PartyCompare_5[[#This Row],[Level]],Encounter_Diff[Player Level],0))</f>
        <v>0</v>
      </c>
      <c r="Q55" s="32">
        <f>INDEX(Encounter_Diff[Hard], MATCH(PartyCompare_5[[#This Row],[Level]],Encounter_Diff[Player Level],0))</f>
        <v>0</v>
      </c>
      <c r="R55" s="30">
        <f>INDEX(Encounter_Diff[Deadly], MATCH(PartyCompare_5[[#This Row],[Level]],Encounter_Diff[Player Level],0))</f>
        <v>0</v>
      </c>
      <c r="S55" s="97" t="str">
        <f t="shared" si="5"/>
        <v>2, 2</v>
      </c>
      <c r="T55" s="45" t="s">
        <v>139</v>
      </c>
      <c r="U55" s="74" t="s">
        <v>139</v>
      </c>
      <c r="V55" s="78" t="s">
        <v>139</v>
      </c>
      <c r="W55" s="82" t="s">
        <v>139</v>
      </c>
      <c r="X55" s="45" t="s">
        <v>139</v>
      </c>
      <c r="Y55" s="45" t="s">
        <v>139</v>
      </c>
      <c r="Z55" s="41" t="s">
        <v>139</v>
      </c>
      <c r="AA55" s="44" t="s">
        <v>139</v>
      </c>
      <c r="AB55" s="45" t="s">
        <v>139</v>
      </c>
      <c r="AC55" s="45" t="s">
        <v>139</v>
      </c>
      <c r="AD55" s="41" t="s">
        <v>139</v>
      </c>
      <c r="AE55" s="49" t="s">
        <v>139</v>
      </c>
      <c r="AF55" s="36">
        <f>IF(ISNUMBER(PartyCompare_5[[#This Row],[Level]]), PartyCompare_5[[#This Row],[Level]]+1, PartyCompare_5[[#This Row],[Level]])</f>
        <v>0</v>
      </c>
      <c r="AG55" s="36">
        <f>INDEX(Encounter_Diff[Easy], MATCH(PartyCompare_5[[#This Row],[+1 Level]],Encounter_Diff[Player Level],0))</f>
        <v>0</v>
      </c>
      <c r="AH55" s="36">
        <f>INDEX(Encounter_Diff[Medium], MATCH(PartyCompare_5[[#This Row],[+1 Level]],Encounter_Diff[Player Level],0))</f>
        <v>0</v>
      </c>
      <c r="AI55" s="36">
        <f>INDEX(Encounter_Diff[Hard], MATCH(PartyCompare_5[[#This Row],[+1 Level]],Encounter_Diff[Player Level],0))</f>
        <v>0</v>
      </c>
      <c r="AJ55" s="36">
        <f>INDEX(Encounter_Diff[Deadly], MATCH(PartyCompare_5[[#This Row],[+1 Level]],Encounter_Diff[Player Level],0))</f>
        <v>0</v>
      </c>
      <c r="AK55" s="44" t="s">
        <v>139</v>
      </c>
      <c r="AL55" s="37" t="s">
        <v>139</v>
      </c>
      <c r="AM55" s="37" t="s">
        <v>139</v>
      </c>
      <c r="AN55" s="45" t="s">
        <v>139</v>
      </c>
      <c r="AO55" s="44" t="s">
        <v>139</v>
      </c>
      <c r="AP55" s="37" t="s">
        <v>139</v>
      </c>
      <c r="AQ55" s="37" t="s">
        <v>139</v>
      </c>
      <c r="AR55" s="41" t="s">
        <v>139</v>
      </c>
      <c r="AS55" s="49" t="s">
        <v>139</v>
      </c>
      <c r="AT55" s="36">
        <f>IF(ISNUMBER(PartyCompare_5[[#This Row],[Level]]), PartyCompare_5[[#This Row],[Level]]+2, PartyCompare_5[[#This Row],[Level]])</f>
        <v>0</v>
      </c>
      <c r="AU55" s="36">
        <f>INDEX(Encounter_Diff[Easy], MATCH(PartyCompare_5[[#This Row],[+2 Level]],Encounter_Diff[Player Level],0))</f>
        <v>0</v>
      </c>
      <c r="AV55" s="36">
        <f>INDEX(Encounter_Diff[Medium], MATCH(PartyCompare_5[[#This Row],[+2 Level]],Encounter_Diff[Player Level],0))</f>
        <v>0</v>
      </c>
      <c r="AW55" s="36">
        <f>INDEX(Encounter_Diff[Hard], MATCH(PartyCompare_5[[#This Row],[+2 Level]],Encounter_Diff[Player Level],0))</f>
        <v>0</v>
      </c>
      <c r="AX55" s="36">
        <f>INDEX(Encounter_Diff[Deadly], MATCH(PartyCompare_5[[#This Row],[+2 Level]],Encounter_Diff[Player Level],0))</f>
        <v>0</v>
      </c>
      <c r="AY55" s="44" t="s">
        <v>139</v>
      </c>
      <c r="AZ55" s="37" t="s">
        <v>139</v>
      </c>
      <c r="BA55" s="37" t="s">
        <v>139</v>
      </c>
      <c r="BB55" s="45" t="s">
        <v>139</v>
      </c>
      <c r="BC55" s="44" t="s">
        <v>139</v>
      </c>
      <c r="BD55" s="37" t="s">
        <v>139</v>
      </c>
      <c r="BE55" s="37" t="s">
        <v>139</v>
      </c>
      <c r="BF55" s="41" t="s">
        <v>139</v>
      </c>
      <c r="BG55" s="49" t="s">
        <v>139</v>
      </c>
      <c r="BH55" s="36">
        <f>IF(ISNUMBER(PartyCompare_5[[#This Row],[Level]]), PartyCompare_5[[#This Row],[Level]]+3, PartyCompare_5[[#This Row],[Level]])</f>
        <v>0</v>
      </c>
      <c r="BI55" s="36">
        <f>INDEX(Encounter_Diff[Easy], MATCH(PartyCompare_5[[#This Row],[+3 Level]],Encounter_Diff[Player Level],0))</f>
        <v>0</v>
      </c>
      <c r="BJ55" s="36">
        <f>INDEX(Encounter_Diff[Medium], MATCH(PartyCompare_5[[#This Row],[+3 Level]],Encounter_Diff[Player Level],0))</f>
        <v>0</v>
      </c>
      <c r="BK55" s="36">
        <f>INDEX(Encounter_Diff[Hard], MATCH(PartyCompare_5[[#This Row],[+3 Level]],Encounter_Diff[Player Level],0))</f>
        <v>0</v>
      </c>
      <c r="BL55" s="36">
        <f>INDEX(Encounter_Diff[Deadly], MATCH(PartyCompare_5[[#This Row],[+3 Level]],Encounter_Diff[Player Level],0))</f>
        <v>0</v>
      </c>
      <c r="BM55" s="44" t="s">
        <v>139</v>
      </c>
      <c r="BN55" s="37" t="s">
        <v>139</v>
      </c>
      <c r="BO55" s="37" t="s">
        <v>139</v>
      </c>
      <c r="BP55" s="45" t="s">
        <v>139</v>
      </c>
      <c r="BQ55" s="44" t="s">
        <v>139</v>
      </c>
      <c r="BR55" s="37" t="s">
        <v>139</v>
      </c>
      <c r="BS55" s="37" t="s">
        <v>139</v>
      </c>
      <c r="BT55" s="41" t="s">
        <v>139</v>
      </c>
      <c r="BU55" s="49" t="s">
        <v>139</v>
      </c>
      <c r="BV55" s="36">
        <f>IF(ISNUMBER(PartyCompare_5[[#This Row],[Level]]), PartyCompare_5[[#This Row],[Level]]+4, PartyCompare_5[[#This Row],[Level]])</f>
        <v>0</v>
      </c>
      <c r="BW55" s="36">
        <f>INDEX(Encounter_Diff[Easy], MATCH(PartyCompare_5[[#This Row],[+4 Level]],Encounter_Diff[Player Level],0))</f>
        <v>0</v>
      </c>
      <c r="BX55" s="36">
        <f>INDEX(Encounter_Diff[Medium], MATCH(PartyCompare_5[[#This Row],[+4 Level]],Encounter_Diff[Player Level],0))</f>
        <v>0</v>
      </c>
      <c r="BY55" s="36">
        <f>INDEX(Encounter_Diff[Hard], MATCH(PartyCompare_5[[#This Row],[+4 Level]],Encounter_Diff[Player Level],0))</f>
        <v>0</v>
      </c>
      <c r="BZ55" s="36">
        <f>INDEX(Encounter_Diff[Deadly], MATCH(PartyCompare_5[[#This Row],[+4 Level]],Encounter_Diff[Player Level],0))</f>
        <v>0</v>
      </c>
      <c r="CA55" s="44" t="s">
        <v>139</v>
      </c>
      <c r="CB55" s="37" t="s">
        <v>139</v>
      </c>
      <c r="CC55" s="37" t="s">
        <v>139</v>
      </c>
      <c r="CD55" s="45" t="s">
        <v>139</v>
      </c>
      <c r="CE55" s="44" t="s">
        <v>139</v>
      </c>
      <c r="CF55" s="37" t="s">
        <v>139</v>
      </c>
      <c r="CG55" s="37" t="s">
        <v>139</v>
      </c>
      <c r="CH55" s="41" t="s">
        <v>139</v>
      </c>
      <c r="CI55" s="49" t="s">
        <v>139</v>
      </c>
    </row>
    <row r="56" spans="12:87" ht="15.75" thickBot="1" x14ac:dyDescent="0.25">
      <c r="L56" s="234"/>
      <c r="M56" s="91"/>
      <c r="N56" s="90"/>
      <c r="O56" s="32">
        <f>INDEX(Encounter_Diff[Easy], MATCH(PartyCompare_5[[#This Row],[Level]],Encounter_Diff[Player Level],0))</f>
        <v>0</v>
      </c>
      <c r="P56" s="32">
        <f>INDEX(Encounter_Diff[Medium], MATCH(PartyCompare_5[[#This Row],[Level]],Encounter_Diff[Player Level],0))</f>
        <v>0</v>
      </c>
      <c r="Q56" s="32">
        <f>INDEX(Encounter_Diff[Hard], MATCH(PartyCompare_5[[#This Row],[Level]],Encounter_Diff[Player Level],0))</f>
        <v>0</v>
      </c>
      <c r="R56" s="30">
        <f>INDEX(Encounter_Diff[Deadly], MATCH(PartyCompare_5[[#This Row],[Level]],Encounter_Diff[Player Level],0))</f>
        <v>0</v>
      </c>
      <c r="S56" s="98" t="str">
        <f t="shared" si="5"/>
        <v>2, 2</v>
      </c>
      <c r="T56" s="45" t="s">
        <v>139</v>
      </c>
      <c r="U56" s="74" t="s">
        <v>139</v>
      </c>
      <c r="V56" s="80" t="s">
        <v>139</v>
      </c>
      <c r="W56" s="82" t="s">
        <v>139</v>
      </c>
      <c r="X56" s="45" t="s">
        <v>139</v>
      </c>
      <c r="Y56" s="45" t="s">
        <v>139</v>
      </c>
      <c r="Z56" s="41" t="s">
        <v>139</v>
      </c>
      <c r="AA56" s="44" t="s">
        <v>139</v>
      </c>
      <c r="AB56" s="45" t="s">
        <v>139</v>
      </c>
      <c r="AC56" s="45" t="s">
        <v>139</v>
      </c>
      <c r="AD56" s="41" t="s">
        <v>139</v>
      </c>
      <c r="AE56" s="49" t="s">
        <v>139</v>
      </c>
      <c r="AF56" s="36">
        <f>IF(ISNUMBER(PartyCompare_5[[#This Row],[Level]]), PartyCompare_5[[#This Row],[Level]]+1, PartyCompare_5[[#This Row],[Level]])</f>
        <v>0</v>
      </c>
      <c r="AG56" s="36">
        <f>INDEX(Encounter_Diff[Easy], MATCH(PartyCompare_5[[#This Row],[+1 Level]],Encounter_Diff[Player Level],0))</f>
        <v>0</v>
      </c>
      <c r="AH56" s="36">
        <f>INDEX(Encounter_Diff[Medium], MATCH(PartyCompare_5[[#This Row],[+1 Level]],Encounter_Diff[Player Level],0))</f>
        <v>0</v>
      </c>
      <c r="AI56" s="36">
        <f>INDEX(Encounter_Diff[Hard], MATCH(PartyCompare_5[[#This Row],[+1 Level]],Encounter_Diff[Player Level],0))</f>
        <v>0</v>
      </c>
      <c r="AJ56" s="36">
        <f>INDEX(Encounter_Diff[Deadly], MATCH(PartyCompare_5[[#This Row],[+1 Level]],Encounter_Diff[Player Level],0))</f>
        <v>0</v>
      </c>
      <c r="AK56" s="44" t="s">
        <v>139</v>
      </c>
      <c r="AL56" s="37" t="s">
        <v>139</v>
      </c>
      <c r="AM56" s="37" t="s">
        <v>139</v>
      </c>
      <c r="AN56" s="45" t="s">
        <v>139</v>
      </c>
      <c r="AO56" s="44" t="s">
        <v>139</v>
      </c>
      <c r="AP56" s="37" t="s">
        <v>139</v>
      </c>
      <c r="AQ56" s="37" t="s">
        <v>139</v>
      </c>
      <c r="AR56" s="41" t="s">
        <v>139</v>
      </c>
      <c r="AS56" s="49" t="s">
        <v>139</v>
      </c>
      <c r="AT56" s="53">
        <f>IF(ISNUMBER(PartyCompare_5[[#This Row],[Level]]), PartyCompare_5[[#This Row],[Level]]+2, PartyCompare_5[[#This Row],[Level]])</f>
        <v>0</v>
      </c>
      <c r="AU56" s="53">
        <f>INDEX(Encounter_Diff[Easy], MATCH(PartyCompare_5[[#This Row],[+2 Level]],Encounter_Diff[Player Level],0))</f>
        <v>0</v>
      </c>
      <c r="AV56" s="53">
        <f>INDEX(Encounter_Diff[Medium], MATCH(PartyCompare_5[[#This Row],[+2 Level]],Encounter_Diff[Player Level],0))</f>
        <v>0</v>
      </c>
      <c r="AW56" s="53">
        <f>INDEX(Encounter_Diff[Hard], MATCH(PartyCompare_5[[#This Row],[+2 Level]],Encounter_Diff[Player Level],0))</f>
        <v>0</v>
      </c>
      <c r="AX56" s="53">
        <f>INDEX(Encounter_Diff[Deadly], MATCH(PartyCompare_5[[#This Row],[+2 Level]],Encounter_Diff[Player Level],0))</f>
        <v>0</v>
      </c>
      <c r="AY56" s="61" t="s">
        <v>139</v>
      </c>
      <c r="AZ56" s="54" t="s">
        <v>139</v>
      </c>
      <c r="BA56" s="54" t="s">
        <v>139</v>
      </c>
      <c r="BB56" s="54" t="s">
        <v>139</v>
      </c>
      <c r="BC56" s="61" t="s">
        <v>139</v>
      </c>
      <c r="BD56" s="54" t="s">
        <v>139</v>
      </c>
      <c r="BE56" s="54" t="s">
        <v>139</v>
      </c>
      <c r="BF56" s="55" t="s">
        <v>139</v>
      </c>
      <c r="BG56" s="56" t="s">
        <v>139</v>
      </c>
      <c r="BH56" s="53">
        <f>IF(ISNUMBER(PartyCompare_5[[#This Row],[Level]]), PartyCompare_5[[#This Row],[Level]]+3, PartyCompare_5[[#This Row],[Level]])</f>
        <v>0</v>
      </c>
      <c r="BI56" s="53">
        <f>INDEX(Encounter_Diff[Easy], MATCH(PartyCompare_5[[#This Row],[+3 Level]],Encounter_Diff[Player Level],0))</f>
        <v>0</v>
      </c>
      <c r="BJ56" s="53">
        <f>INDEX(Encounter_Diff[Medium], MATCH(PartyCompare_5[[#This Row],[+3 Level]],Encounter_Diff[Player Level],0))</f>
        <v>0</v>
      </c>
      <c r="BK56" s="53">
        <f>INDEX(Encounter_Diff[Hard], MATCH(PartyCompare_5[[#This Row],[+3 Level]],Encounter_Diff[Player Level],0))</f>
        <v>0</v>
      </c>
      <c r="BL56" s="53">
        <f>INDEX(Encounter_Diff[Deadly], MATCH(PartyCompare_5[[#This Row],[+3 Level]],Encounter_Diff[Player Level],0))</f>
        <v>0</v>
      </c>
      <c r="BM56" s="61" t="s">
        <v>139</v>
      </c>
      <c r="BN56" s="54" t="s">
        <v>139</v>
      </c>
      <c r="BO56" s="54" t="s">
        <v>139</v>
      </c>
      <c r="BP56" s="54" t="s">
        <v>139</v>
      </c>
      <c r="BQ56" s="61" t="s">
        <v>139</v>
      </c>
      <c r="BR56" s="54" t="s">
        <v>139</v>
      </c>
      <c r="BS56" s="54" t="s">
        <v>139</v>
      </c>
      <c r="BT56" s="55" t="s">
        <v>139</v>
      </c>
      <c r="BU56" s="56" t="s">
        <v>139</v>
      </c>
      <c r="BV56" s="53">
        <f>IF(ISNUMBER(PartyCompare_5[[#This Row],[Level]]), PartyCompare_5[[#This Row],[Level]]+4, PartyCompare_5[[#This Row],[Level]])</f>
        <v>0</v>
      </c>
      <c r="BW56" s="53">
        <f>INDEX(Encounter_Diff[Easy], MATCH(PartyCompare_5[[#This Row],[+4 Level]],Encounter_Diff[Player Level],0))</f>
        <v>0</v>
      </c>
      <c r="BX56" s="53">
        <f>INDEX(Encounter_Diff[Medium], MATCH(PartyCompare_5[[#This Row],[+4 Level]],Encounter_Diff[Player Level],0))</f>
        <v>0</v>
      </c>
      <c r="BY56" s="53">
        <f>INDEX(Encounter_Diff[Hard], MATCH(PartyCompare_5[[#This Row],[+4 Level]],Encounter_Diff[Player Level],0))</f>
        <v>0</v>
      </c>
      <c r="BZ56" s="53">
        <f>INDEX(Encounter_Diff[Deadly], MATCH(PartyCompare_5[[#This Row],[+4 Level]],Encounter_Diff[Player Level],0))</f>
        <v>0</v>
      </c>
      <c r="CA56" s="61" t="s">
        <v>139</v>
      </c>
      <c r="CB56" s="54" t="s">
        <v>139</v>
      </c>
      <c r="CC56" s="54" t="s">
        <v>139</v>
      </c>
      <c r="CD56" s="54" t="s">
        <v>139</v>
      </c>
      <c r="CE56" s="61" t="s">
        <v>139</v>
      </c>
      <c r="CF56" s="54" t="s">
        <v>139</v>
      </c>
      <c r="CG56" s="54" t="s">
        <v>139</v>
      </c>
      <c r="CH56" s="55" t="s">
        <v>139</v>
      </c>
      <c r="CI56" s="56" t="s">
        <v>139</v>
      </c>
    </row>
    <row r="57" spans="12:87" ht="15.75" x14ac:dyDescent="0.2">
      <c r="L57" s="40" t="s">
        <v>144</v>
      </c>
      <c r="M57" s="29" t="s">
        <v>134</v>
      </c>
      <c r="N57" s="72" t="s">
        <v>33</v>
      </c>
      <c r="O57" s="32" t="s">
        <v>140</v>
      </c>
      <c r="P57" s="32" t="s">
        <v>141</v>
      </c>
      <c r="Q57" s="32" t="s">
        <v>142</v>
      </c>
      <c r="R57" s="30" t="s">
        <v>143</v>
      </c>
      <c r="S57" s="96" t="s">
        <v>144</v>
      </c>
      <c r="T57" s="32" t="s">
        <v>119</v>
      </c>
      <c r="U57" s="73" t="s">
        <v>120</v>
      </c>
      <c r="V57" s="79" t="s">
        <v>224</v>
      </c>
      <c r="W57" s="29" t="s">
        <v>36</v>
      </c>
      <c r="X57" s="32" t="s">
        <v>37</v>
      </c>
      <c r="Y57" s="32" t="s">
        <v>38</v>
      </c>
      <c r="Z57" s="30" t="s">
        <v>40</v>
      </c>
      <c r="AA57" s="31" t="s">
        <v>129</v>
      </c>
      <c r="AB57" s="32" t="s">
        <v>130</v>
      </c>
      <c r="AC57" s="32" t="s">
        <v>131</v>
      </c>
      <c r="AD57" s="30" t="s">
        <v>132</v>
      </c>
      <c r="AE57" s="47" t="s">
        <v>133</v>
      </c>
      <c r="AF57" s="41" t="s">
        <v>154</v>
      </c>
      <c r="AG57" s="37" t="s">
        <v>155</v>
      </c>
      <c r="AH57" s="37" t="s">
        <v>156</v>
      </c>
      <c r="AI57" s="37" t="s">
        <v>157</v>
      </c>
      <c r="AJ57" s="37" t="s">
        <v>158</v>
      </c>
      <c r="AK57" s="44" t="s">
        <v>159</v>
      </c>
      <c r="AL57" s="37" t="s">
        <v>160</v>
      </c>
      <c r="AM57" s="37" t="s">
        <v>161</v>
      </c>
      <c r="AN57" s="41" t="s">
        <v>162</v>
      </c>
      <c r="AO57" s="37" t="s">
        <v>163</v>
      </c>
      <c r="AP57" s="37" t="s">
        <v>164</v>
      </c>
      <c r="AQ57" s="37" t="s">
        <v>165</v>
      </c>
      <c r="AR57" s="41" t="s">
        <v>166</v>
      </c>
      <c r="AS57" s="49" t="s">
        <v>167</v>
      </c>
      <c r="AT57" s="57" t="s">
        <v>196</v>
      </c>
      <c r="AU57" s="58" t="s">
        <v>197</v>
      </c>
      <c r="AV57" s="58" t="s">
        <v>198</v>
      </c>
      <c r="AW57" s="58" t="s">
        <v>199</v>
      </c>
      <c r="AX57" s="58" t="s">
        <v>200</v>
      </c>
      <c r="AY57" s="65" t="s">
        <v>201</v>
      </c>
      <c r="AZ57" s="58" t="s">
        <v>202</v>
      </c>
      <c r="BA57" s="58" t="s">
        <v>203</v>
      </c>
      <c r="BB57" s="58" t="s">
        <v>204</v>
      </c>
      <c r="BC57" s="65" t="s">
        <v>205</v>
      </c>
      <c r="BD57" s="58" t="s">
        <v>206</v>
      </c>
      <c r="BE57" s="58" t="s">
        <v>207</v>
      </c>
      <c r="BF57" s="57" t="s">
        <v>208</v>
      </c>
      <c r="BG57" s="59" t="s">
        <v>209</v>
      </c>
      <c r="BH57" s="57" t="s">
        <v>168</v>
      </c>
      <c r="BI57" s="58" t="s">
        <v>169</v>
      </c>
      <c r="BJ57" s="58" t="s">
        <v>170</v>
      </c>
      <c r="BK57" s="58" t="s">
        <v>171</v>
      </c>
      <c r="BL57" s="58" t="s">
        <v>172</v>
      </c>
      <c r="BM57" s="65" t="s">
        <v>173</v>
      </c>
      <c r="BN57" s="58" t="s">
        <v>174</v>
      </c>
      <c r="BO57" s="58" t="s">
        <v>175</v>
      </c>
      <c r="BP57" s="58" t="s">
        <v>176</v>
      </c>
      <c r="BQ57" s="65" t="s">
        <v>177</v>
      </c>
      <c r="BR57" s="58" t="s">
        <v>178</v>
      </c>
      <c r="BS57" s="58" t="s">
        <v>179</v>
      </c>
      <c r="BT57" s="58" t="s">
        <v>180</v>
      </c>
      <c r="BU57" s="59" t="s">
        <v>181</v>
      </c>
      <c r="BV57" s="58" t="s">
        <v>182</v>
      </c>
      <c r="BW57" s="65" t="s">
        <v>183</v>
      </c>
      <c r="BX57" s="58" t="s">
        <v>184</v>
      </c>
      <c r="BY57" s="58" t="s">
        <v>185</v>
      </c>
      <c r="BZ57" s="58" t="s">
        <v>186</v>
      </c>
      <c r="CA57" s="65" t="s">
        <v>187</v>
      </c>
      <c r="CB57" s="58" t="s">
        <v>188</v>
      </c>
      <c r="CC57" s="58" t="s">
        <v>189</v>
      </c>
      <c r="CD57" s="58" t="s">
        <v>190</v>
      </c>
      <c r="CE57" s="65" t="s">
        <v>191</v>
      </c>
      <c r="CF57" s="58" t="s">
        <v>192</v>
      </c>
      <c r="CG57" s="58" t="s">
        <v>193</v>
      </c>
      <c r="CH57" s="58" t="s">
        <v>194</v>
      </c>
      <c r="CI57" s="59" t="s">
        <v>195</v>
      </c>
    </row>
    <row r="58" spans="12:87" x14ac:dyDescent="0.2">
      <c r="L58" s="232" t="s">
        <v>231</v>
      </c>
      <c r="M58" s="91" t="s">
        <v>150</v>
      </c>
      <c r="N58" s="90">
        <v>1</v>
      </c>
      <c r="O58" s="32">
        <f>INDEX(Encounter_Diff[Easy], MATCH(PartyCompare_6[[#This Row],[Level]],Encounter_Diff[Player Level],0))</f>
        <v>25</v>
      </c>
      <c r="P58" s="32">
        <f>INDEX(Encounter_Diff[Medium], MATCH(PartyCompare_6[[#This Row],[Level]],Encounter_Diff[Player Level],0))</f>
        <v>50</v>
      </c>
      <c r="Q58" s="32">
        <f>INDEX(Encounter_Diff[Hard], MATCH(PartyCompare_6[[#This Row],[Level]],Encounter_Diff[Player Level],0))</f>
        <v>75</v>
      </c>
      <c r="R58" s="30">
        <f>INDEX(Encounter_Diff[Deadly], MATCH(PartyCompare_6[[#This Row],[Level]],Encounter_Diff[Player Level],0))</f>
        <v>100</v>
      </c>
      <c r="S58" s="97" t="str">
        <f>L58</f>
        <v>1, 1, 1, 1</v>
      </c>
      <c r="T58" s="32" t="str">
        <f>IF(COUNT(PartyCompare_6[Level])&lt;=2,"Small", IF(COUNT(PartyCompare_6[Level])&lt;=5,"Med", IF(COUNT(PartyCompare_6[Level])&lt;=8, "Large", "TOO BIG!")))</f>
        <v>Med</v>
      </c>
      <c r="U58" s="73" t="s">
        <v>107</v>
      </c>
      <c r="V58" s="77" t="str">
        <f>INDEX(Encounter_Mod[Count], MATCH(PartyCompare_6[[#This Row],[Mob Size]], Encounter_Mod[Type],0))</f>
        <v>1</v>
      </c>
      <c r="W58" s="81">
        <f>SUM(PartyCompare_6[(Easy)])/INDEX(Encounter_Mod[[Small]:[Large]], MATCH(PartyCompare_6[[#This Row],[Mob Size]], Encounter_Mod[Type], 0), MATCH(PartyCompare_6[[#This Row],[Party Size]],Encounter_Mod[[#Headers],[Small]:[Large]],0))</f>
        <v>100</v>
      </c>
      <c r="X58" s="42">
        <f>SUM(PartyCompare_6[(Medium)])/INDEX(Encounter_Mod[[Small]:[Large]], MATCH(PartyCompare_6[[#This Row],[Mob Size]], Encounter_Mod[Type], 0), MATCH(PartyCompare_6[[#This Row],[Party Size]],Encounter_Mod[[#Headers],[Small]:[Large]],0))</f>
        <v>200</v>
      </c>
      <c r="Y58" s="42">
        <f>SUM(PartyCompare_6[(Hard)])/INDEX(Encounter_Mod[[Small]:[Large]], MATCH(PartyCompare_6[[#This Row],[Mob Size]], Encounter_Mod[Type], 0), MATCH(PartyCompare_6[[#This Row],[Party Size]],Encounter_Mod[[#Headers],[Small]:[Large]],0))</f>
        <v>300</v>
      </c>
      <c r="Z58" s="43">
        <f>SUM(PartyCompare_6[(Deadly)])/INDEX(Encounter_Mod[[Small]:[Large]], MATCH(PartyCompare_6[[#This Row],[Mob Size]], Encounter_Mod[Type], 0), MATCH(PartyCompare_6[[#This Row],[Party Size]],Encounter_Mod[[#Headers],[Small]:[Large]],0))</f>
        <v>400</v>
      </c>
      <c r="AA58" s="46">
        <f>(PartyCompare_6[[#This Row],[Easy]]-INDEX(PartyCompare_0[Easy], MATCH(PartyCompare_6[[#This Row],[Mob Size]],PartyCompare_0[Mob Size],0)))/INDEX(PartyCompare_0[Easy], MATCH(PartyCompare_6[[#This Row],[Mob Size]],PartyCompare_0[Mob Size],0))</f>
        <v>0</v>
      </c>
      <c r="AB58" s="33">
        <f>(PartyCompare_6[[#This Row],[Medium]]-INDEX(PartyCompare_0[Medium], MATCH(PartyCompare_6[[#This Row],[Mob Size]],PartyCompare_0[Mob Size],0)))/INDEX(PartyCompare_0[Medium], MATCH(PartyCompare_6[[#This Row],[Mob Size]],PartyCompare_0[Mob Size],0))</f>
        <v>0</v>
      </c>
      <c r="AC58" s="33">
        <f>(PartyCompare_6[[#This Row],[Hard]]-INDEX(PartyCompare_0[Hard], MATCH(PartyCompare_6[[#This Row],[Mob Size]],PartyCompare_0[Mob Size],0)))/INDEX(PartyCompare_0[Hard], MATCH(PartyCompare_6[[#This Row],[Mob Size]],PartyCompare_0[Mob Size],0))</f>
        <v>0</v>
      </c>
      <c r="AD58" s="34">
        <f>(PartyCompare_6[[#This Row],[Deadly]]-INDEX(PartyCompare_0[Deadly], MATCH(PartyCompare_6[[#This Row],[Mob Size]],PartyCompare_0[Mob Size],0)))/INDEX(PartyCompare_0[Deadly], MATCH(PartyCompare_6[[#This Row],[Mob Size]],PartyCompare_0[Mob Size],0))</f>
        <v>0</v>
      </c>
      <c r="AE58" s="48">
        <f>AVERAGE(PartyCompare_6[[#This Row],[Easy Deviation]:[Deadly Deviation]])</f>
        <v>0</v>
      </c>
      <c r="AF58" s="36">
        <f>IF(ISNUMBER(PartyCompare_6[[#This Row],[Level]]), PartyCompare_6[[#This Row],[Level]]+1, PartyCompare_6[[#This Row],[Level]])</f>
        <v>2</v>
      </c>
      <c r="AG58" s="36">
        <f>INDEX(Encounter_Diff[Easy], MATCH(PartyCompare_6[[#This Row],[+1 Level]],Encounter_Diff[Player Level],0))</f>
        <v>50</v>
      </c>
      <c r="AH58" s="36">
        <f>INDEX(Encounter_Diff[Medium], MATCH(PartyCompare_6[[#This Row],[+1 Level]],Encounter_Diff[Player Level],0))</f>
        <v>100</v>
      </c>
      <c r="AI58" s="36">
        <f>INDEX(Encounter_Diff[Hard], MATCH(PartyCompare_6[[#This Row],[+1 Level]],Encounter_Diff[Player Level],0))</f>
        <v>150</v>
      </c>
      <c r="AJ58" s="36">
        <f>INDEX(Encounter_Diff[Deadly], MATCH(PartyCompare_6[[#This Row],[+1 Level]],Encounter_Diff[Player Level],0))</f>
        <v>200</v>
      </c>
      <c r="AK58" s="63">
        <f>SUM(PartyCompare_6[+1 (Easy)])/INDEX(Encounter_Mod[[Small]:[Large]], MATCH(PartyCompare_6[[#This Row],[Mob Size]], Encounter_Mod[Type], 0), MATCH(PartyCompare_6[[#This Row],[Party Size]],Encounter_Mod[[#Headers],[Small]:[Large]],0))</f>
        <v>200</v>
      </c>
      <c r="AL58" s="38">
        <f>SUM(PartyCompare_6[+1 (Medium)])/INDEX(Encounter_Mod[[Small]:[Large]], MATCH(PartyCompare_6[[#This Row],[Mob Size]], Encounter_Mod[Type], 0), MATCH(PartyCompare_6[[#This Row],[Party Size]],Encounter_Mod[[#Headers],[Small]:[Large]],0))</f>
        <v>400</v>
      </c>
      <c r="AM58" s="38">
        <f>SUM(PartyCompare_6[+1 (Hard)])/INDEX(Encounter_Mod[[Small]:[Large]], MATCH(PartyCompare_6[[#This Row],[Mob Size]], Encounter_Mod[Type], 0), MATCH(PartyCompare_6[[#This Row],[Party Size]],Encounter_Mod[[#Headers],[Small]:[Large]],0))</f>
        <v>600</v>
      </c>
      <c r="AN58" s="38">
        <f>SUM(PartyCompare_6[+1 (Deadly)])/INDEX(Encounter_Mod[[Small]:[Large]], MATCH(PartyCompare_6[[#This Row],[Mob Size]], Encounter_Mod[Type], 0), MATCH(PartyCompare_6[[#This Row],[Party Size]],Encounter_Mod[[#Headers],[Small]:[Large]],0))</f>
        <v>800</v>
      </c>
      <c r="AO58" s="46">
        <f>(PartyCompare_6[[#This Row],[+1 Easy]]-INDEX(PartyCompare_0[+1 Easy], MATCH(PartyCompare_6[[#This Row],[Mob Size]],PartyCompare_6[Mob Size],0)))/INDEX(PartyCompare_0[+1 Easy], MATCH(PartyCompare_6[[#This Row],[Mob Size]],PartyCompare_6[Mob Size],0))</f>
        <v>0</v>
      </c>
      <c r="AP58" s="39">
        <f>(PartyCompare_6[[#This Row],[+1 Medium]]-INDEX(PartyCompare_0[+1 Medium], MATCH(PartyCompare_6[[#This Row],[Mob Size]],PartyCompare_6[Mob Size],0)))/INDEX(PartyCompare_0[+1 Medium], MATCH(PartyCompare_6[[#This Row],[Mob Size]],PartyCompare_6[Mob Size],0))</f>
        <v>0</v>
      </c>
      <c r="AQ58" s="39">
        <f>(PartyCompare_6[[#This Row],[+1 Hard]]-INDEX(PartyCompare_0[+1 Hard], MATCH(PartyCompare_6[[#This Row],[Mob Size]],PartyCompare_6[Mob Size],0)))/INDEX(PartyCompare_0[+1 Hard], MATCH(PartyCompare_6[[#This Row],[Mob Size]],PartyCompare_6[Mob Size],0))</f>
        <v>0</v>
      </c>
      <c r="AR58" s="34">
        <f>(PartyCompare_6[[#This Row],[+1 Deadly]]-INDEX(PartyCompare_0[+1 Deadly], MATCH(PartyCompare_6[[#This Row],[Mob Size]],PartyCompare_6[Mob Size],0)))/INDEX(PartyCompare_0[+1 Deadly], MATCH(PartyCompare_6[[#This Row],[Mob Size]],PartyCompare_6[Mob Size],0))</f>
        <v>0</v>
      </c>
      <c r="AS58" s="48">
        <f>AVERAGE(PartyCompare_6[[#This Row],[+1 Easy Deviation]:[+1 Deadly Deviation]])</f>
        <v>0</v>
      </c>
      <c r="AT58" s="36">
        <f>IF(ISNUMBER(PartyCompare_6[[#This Row],[Level]]), PartyCompare_6[[#This Row],[Level]]+2, PartyCompare_6[[#This Row],[Level]])</f>
        <v>3</v>
      </c>
      <c r="AU58" s="36">
        <f>INDEX(Encounter_Diff[Easy], MATCH(PartyCompare_6[[#This Row],[+2 Level]],Encounter_Diff[Player Level],0))</f>
        <v>75</v>
      </c>
      <c r="AV58" s="36">
        <f>INDEX(Encounter_Diff[Medium], MATCH(PartyCompare_6[[#This Row],[+2 Level]],Encounter_Diff[Player Level],0))</f>
        <v>150</v>
      </c>
      <c r="AW58" s="36">
        <f>INDEX(Encounter_Diff[Hard], MATCH(PartyCompare_6[[#This Row],[+2 Level]],Encounter_Diff[Player Level],0))</f>
        <v>225</v>
      </c>
      <c r="AX58" s="36">
        <f>INDEX(Encounter_Diff[Deadly], MATCH(PartyCompare_6[[#This Row],[+2 Level]],Encounter_Diff[Player Level],0))</f>
        <v>400</v>
      </c>
      <c r="AY58" s="63">
        <f>SUM(PartyCompare_6[+2 (Easy)])/INDEX(Encounter_Mod[[Small]:[Large]], MATCH(PartyCompare_6[[#This Row],[Mob Size]], Encounter_Mod[Type], 0), MATCH(PartyCompare_6[[#This Row],[Party Size]],Encounter_Mod[[#Headers],[Small]:[Large]],0))</f>
        <v>300</v>
      </c>
      <c r="AZ58" s="38">
        <f>SUM(PartyCompare_6[+2 (Medium)])/INDEX(Encounter_Mod[[Small]:[Large]], MATCH(PartyCompare_6[[#This Row],[Mob Size]], Encounter_Mod[Type], 0), MATCH(PartyCompare_6[[#This Row],[Party Size]],Encounter_Mod[[#Headers],[Small]:[Large]],0))</f>
        <v>600</v>
      </c>
      <c r="BA58" s="38">
        <f>SUM(PartyCompare_6[+2 (Hard)])/INDEX(Encounter_Mod[[Small]:[Large]], MATCH(PartyCompare_6[[#This Row],[Mob Size]], Encounter_Mod[Type], 0), MATCH(PartyCompare_6[[#This Row],[Party Size]],Encounter_Mod[[#Headers],[Small]:[Large]],0))</f>
        <v>900</v>
      </c>
      <c r="BB58" s="38">
        <f>SUM(PartyCompare_6[+2 (Deadly)])/INDEX(Encounter_Mod[[Small]:[Large]], MATCH(PartyCompare_6[[#This Row],[Mob Size]], Encounter_Mod[Type], 0), MATCH(PartyCompare_6[[#This Row],[Party Size]],Encounter_Mod[[#Headers],[Small]:[Large]],0))</f>
        <v>1600</v>
      </c>
      <c r="BC58" s="60">
        <f>(PartyCompare_6[[#This Row],[+2 Easy]]-INDEX(PartyCompare_0[+2 Easy], MATCH(PartyCompare_6[[#This Row],[Mob Size]],PartyCompare_6[Mob Size],0)))/INDEX(PartyCompare_0[+2 Easy], MATCH(PartyCompare_6[[#This Row],[Mob Size]],PartyCompare_6[Mob Size],0))</f>
        <v>0</v>
      </c>
      <c r="BD58" s="39">
        <f>(PartyCompare_6[[#This Row],[+2 Medium]]-INDEX(PartyCompare_0[+2 Medium], MATCH(PartyCompare_6[[#This Row],[Mob Size]],PartyCompare_6[Mob Size],0)))/INDEX(PartyCompare_0[+2 Medium], MATCH(PartyCompare_6[[#This Row],[Mob Size]],PartyCompare_6[Mob Size],0))</f>
        <v>0</v>
      </c>
      <c r="BE58" s="39">
        <f>(PartyCompare_6[[#This Row],[+2 Hard]]-INDEX(PartyCompare_0[+2 Hard], MATCH(PartyCompare_6[[#This Row],[Mob Size]],PartyCompare_6[Mob Size],0)))/INDEX(PartyCompare_0[+2 Hard], MATCH(PartyCompare_6[[#This Row],[Mob Size]],PartyCompare_6[Mob Size],0))</f>
        <v>0</v>
      </c>
      <c r="BF58" s="34">
        <f>(PartyCompare_6[[#This Row],[+2 Deadly]]-INDEX(PartyCompare_0[+2 Deadly], MATCH(PartyCompare_6[[#This Row],[Mob Size]],PartyCompare_6[Mob Size],0)))/INDEX(PartyCompare_0[+2 Deadly], MATCH(PartyCompare_6[[#This Row],[Mob Size]],PartyCompare_6[Mob Size],0))</f>
        <v>0</v>
      </c>
      <c r="BG58" s="48">
        <f>AVERAGE(PartyCompare_6[[#This Row],[+2 Easy Deviation]:[+2 Deadly Deviation]])</f>
        <v>0</v>
      </c>
      <c r="BH58" s="36">
        <f>IF(ISNUMBER(PartyCompare_6[[#This Row],[Level]]), PartyCompare_6[[#This Row],[Level]]+3, PartyCompare_6[[#This Row],[Level]])</f>
        <v>4</v>
      </c>
      <c r="BI58" s="36">
        <f>INDEX(Encounter_Diff[Easy], MATCH(PartyCompare_6[[#This Row],[+3 Level]],Encounter_Diff[Player Level],0))</f>
        <v>125</v>
      </c>
      <c r="BJ58" s="36">
        <f>INDEX(Encounter_Diff[Medium], MATCH(PartyCompare_6[[#This Row],[+3 Level]],Encounter_Diff[Player Level],0))</f>
        <v>250</v>
      </c>
      <c r="BK58" s="36">
        <f>INDEX(Encounter_Diff[Hard], MATCH(PartyCompare_6[[#This Row],[+3 Level]],Encounter_Diff[Player Level],0))</f>
        <v>375</v>
      </c>
      <c r="BL58" s="36">
        <f>INDEX(Encounter_Diff[Deadly], MATCH(PartyCompare_6[[#This Row],[+3 Level]],Encounter_Diff[Player Level],0))</f>
        <v>500</v>
      </c>
      <c r="BM58" s="63">
        <f>SUM(PartyCompare_6[+3 (Easy)])/INDEX(Encounter_Mod[[Small]:[Large]], MATCH(PartyCompare_6[[#This Row],[Mob Size]], Encounter_Mod[Type], 0), MATCH(PartyCompare_6[[#This Row],[Party Size]],Encounter_Mod[[#Headers],[Small]:[Large]],0))</f>
        <v>500</v>
      </c>
      <c r="BN58" s="38">
        <f>SUM(PartyCompare_6[+3 (Medium)])/INDEX(Encounter_Mod[[Small]:[Large]], MATCH(PartyCompare_6[[#This Row],[Mob Size]], Encounter_Mod[Type], 0), MATCH(PartyCompare_6[[#This Row],[Party Size]],Encounter_Mod[[#Headers],[Small]:[Large]],0))</f>
        <v>1000</v>
      </c>
      <c r="BO58" s="38">
        <f>SUM(PartyCompare_6[+3 (Hard)])/INDEX(Encounter_Mod[[Small]:[Large]], MATCH(PartyCompare_6[[#This Row],[Mob Size]], Encounter_Mod[Type], 0), MATCH(PartyCompare_6[[#This Row],[Party Size]],Encounter_Mod[[#Headers],[Small]:[Large]],0))</f>
        <v>1500</v>
      </c>
      <c r="BP58" s="38">
        <f>SUM(PartyCompare_6[+3 (Deadly)])/INDEX(Encounter_Mod[[Small]:[Large]], MATCH(PartyCompare_6[[#This Row],[Mob Size]], Encounter_Mod[Type], 0), MATCH(PartyCompare_6[[#This Row],[Party Size]],Encounter_Mod[[#Headers],[Small]:[Large]],0))</f>
        <v>2000</v>
      </c>
      <c r="BQ58" s="60">
        <f>(PartyCompare_6[[#This Row],[+3 Easy]]-INDEX(PartyCompare_0[+3 Easy], MATCH(PartyCompare_6[[#This Row],[Mob Size]],PartyCompare_6[Mob Size],0)))/INDEX(PartyCompare_0[+3 Easy], MATCH(PartyCompare_6[[#This Row],[Mob Size]],PartyCompare_6[Mob Size],0))</f>
        <v>0</v>
      </c>
      <c r="BR58" s="39">
        <f>(PartyCompare_6[[#This Row],[+3 Medium]]-INDEX(PartyCompare_0[+3 Medium], MATCH(PartyCompare_6[[#This Row],[Mob Size]],PartyCompare_6[Mob Size],0)))/INDEX(PartyCompare_0[+3 Medium], MATCH(PartyCompare_6[[#This Row],[Mob Size]],PartyCompare_6[Mob Size],0))</f>
        <v>0</v>
      </c>
      <c r="BS58" s="39">
        <f>(PartyCompare_6[[#This Row],[+3 Hard]]-INDEX(PartyCompare_0[+3 Hard], MATCH(PartyCompare_6[[#This Row],[Mob Size]],PartyCompare_6[Mob Size],0)))/INDEX(PartyCompare_0[+3 Hard], MATCH(PartyCompare_6[[#This Row],[Mob Size]],PartyCompare_6[Mob Size],0))</f>
        <v>0</v>
      </c>
      <c r="BT58" s="34">
        <f>(PartyCompare_6[[#This Row],[+3 Deadly]]-INDEX(PartyCompare_0[+3 Deadly], MATCH(PartyCompare_6[[#This Row],[Mob Size]],PartyCompare_6[Mob Size],0)))/INDEX(PartyCompare_0[+3 Deadly], MATCH(PartyCompare_6[[#This Row],[Mob Size]],PartyCompare_6[Mob Size],0))</f>
        <v>0</v>
      </c>
      <c r="BU58" s="48">
        <f>AVERAGE(PartyCompare_6[[#This Row],[+3 Easy Deviation]:[+3 Deadly Deviation]])</f>
        <v>0</v>
      </c>
      <c r="BV58" s="36">
        <f>IF(ISNUMBER(PartyCompare_6[[#This Row],[Level]]), PartyCompare_6[[#This Row],[Level]]+4, PartyCompare_6[[#This Row],[Level]])</f>
        <v>5</v>
      </c>
      <c r="BW58" s="36">
        <f>INDEX(Encounter_Diff[Easy], MATCH(PartyCompare_6[[#This Row],[+4 Level]],Encounter_Diff[Player Level],0))</f>
        <v>250</v>
      </c>
      <c r="BX58" s="36">
        <f>INDEX(Encounter_Diff[Medium], MATCH(PartyCompare_6[[#This Row],[+4 Level]],Encounter_Diff[Player Level],0))</f>
        <v>500</v>
      </c>
      <c r="BY58" s="36">
        <f>INDEX(Encounter_Diff[Hard], MATCH(PartyCompare_6[[#This Row],[+4 Level]],Encounter_Diff[Player Level],0))</f>
        <v>750</v>
      </c>
      <c r="BZ58" s="36">
        <f>INDEX(Encounter_Diff[Deadly], MATCH(PartyCompare_6[[#This Row],[+4 Level]],Encounter_Diff[Player Level],0))</f>
        <v>1100</v>
      </c>
      <c r="CA58" s="63">
        <f>SUM(PartyCompare_6[+4 (Easy)])/INDEX(Encounter_Mod[[Small]:[Large]], MATCH(PartyCompare_6[[#This Row],[Mob Size]], Encounter_Mod[Type], 0), MATCH(PartyCompare_6[[#This Row],[Party Size]],Encounter_Mod[[#Headers],[Small]:[Large]],0))</f>
        <v>1000</v>
      </c>
      <c r="CB58" s="38">
        <f>SUM(PartyCompare_6[+4 (Medium)])/INDEX(Encounter_Mod[[Small]:[Large]], MATCH(PartyCompare_6[[#This Row],[Mob Size]], Encounter_Mod[Type], 0), MATCH(PartyCompare_6[[#This Row],[Party Size]],Encounter_Mod[[#Headers],[Small]:[Large]],0))</f>
        <v>2000</v>
      </c>
      <c r="CC58" s="38">
        <f>SUM(PartyCompare_6[+4 (Hard)])/INDEX(Encounter_Mod[[Small]:[Large]], MATCH(PartyCompare_6[[#This Row],[Mob Size]], Encounter_Mod[Type], 0), MATCH(PartyCompare_6[[#This Row],[Party Size]],Encounter_Mod[[#Headers],[Small]:[Large]],0))</f>
        <v>3000</v>
      </c>
      <c r="CD58" s="38">
        <f>SUM(PartyCompare_6[+4 (Deadly)])/INDEX(Encounter_Mod[[Small]:[Large]], MATCH(PartyCompare_6[[#This Row],[Mob Size]], Encounter_Mod[Type], 0), MATCH(PartyCompare_6[[#This Row],[Party Size]],Encounter_Mod[[#Headers],[Small]:[Large]],0))</f>
        <v>4400</v>
      </c>
      <c r="CE58" s="60">
        <f>(PartyCompare_6[[#This Row],[+4 Easy]]-INDEX(PartyCompare_0[+4 Easy], MATCH(PartyCompare_6[[#This Row],[Mob Size]],PartyCompare_6[Mob Size],0)))/INDEX(PartyCompare_0[+4 Easy], MATCH(PartyCompare_6[[#This Row],[Mob Size]],PartyCompare_6[Mob Size],0))</f>
        <v>0</v>
      </c>
      <c r="CF58" s="39">
        <f>(PartyCompare_6[[#This Row],[+4 Medium]]-INDEX(PartyCompare_0[+4 Medium], MATCH(PartyCompare_6[[#This Row],[Mob Size]],PartyCompare_6[Mob Size],0)))/INDEX(PartyCompare_0[+4 Medium], MATCH(PartyCompare_6[[#This Row],[Mob Size]],PartyCompare_6[Mob Size],0))</f>
        <v>0</v>
      </c>
      <c r="CG58" s="39">
        <f>(PartyCompare_6[[#This Row],[+4 Hard]]-INDEX(PartyCompare_0[+4 Hard], MATCH(PartyCompare_6[[#This Row],[Mob Size]],PartyCompare_6[Mob Size],0)))/INDEX(PartyCompare_0[+4 Hard], MATCH(PartyCompare_6[[#This Row],[Mob Size]],PartyCompare_6[Mob Size],0))</f>
        <v>0</v>
      </c>
      <c r="CH58" s="34">
        <f>(PartyCompare_6[[#This Row],[+4 Deadly]]-INDEX(PartyCompare_0[+4 Deadly], MATCH(PartyCompare_6[[#This Row],[Mob Size]],PartyCompare_6[Mob Size],0)))/INDEX(PartyCompare_0[+4 Deadly], MATCH(PartyCompare_6[[#This Row],[Mob Size]],PartyCompare_6[Mob Size],0))</f>
        <v>0</v>
      </c>
      <c r="CI58" s="48">
        <f>AVERAGE(PartyCompare_6[[#This Row],[+4 Easy Deviation]:[+4 Deadly Deviation]])</f>
        <v>0</v>
      </c>
    </row>
    <row r="59" spans="12:87" x14ac:dyDescent="0.2">
      <c r="L59" s="233"/>
      <c r="M59" s="91" t="s">
        <v>152</v>
      </c>
      <c r="N59" s="90">
        <v>1</v>
      </c>
      <c r="O59" s="32">
        <f>INDEX(Encounter_Diff[Easy], MATCH(PartyCompare_6[[#This Row],[Level]],Encounter_Diff[Player Level],0))</f>
        <v>25</v>
      </c>
      <c r="P59" s="32">
        <f>INDEX(Encounter_Diff[Medium], MATCH(PartyCompare_6[[#This Row],[Level]],Encounter_Diff[Player Level],0))</f>
        <v>50</v>
      </c>
      <c r="Q59" s="32">
        <f>INDEX(Encounter_Diff[Hard], MATCH(PartyCompare_6[[#This Row],[Level]],Encounter_Diff[Player Level],0))</f>
        <v>75</v>
      </c>
      <c r="R59" s="30">
        <f>INDEX(Encounter_Diff[Deadly], MATCH(PartyCompare_6[[#This Row],[Level]],Encounter_Diff[Player Level],0))</f>
        <v>100</v>
      </c>
      <c r="S59" s="97" t="str">
        <f>S58</f>
        <v>1, 1, 1, 1</v>
      </c>
      <c r="T59" s="32" t="str">
        <f>IF(COUNT(PartyCompare_6[Level])&lt;=2,"Small", IF(COUNT(PartyCompare_6[Level])&lt;=5,"Med", IF(COUNT(PartyCompare_6[Level])&lt;=8, "Large", "TOO BIG!")))</f>
        <v>Med</v>
      </c>
      <c r="U59" s="73" t="s">
        <v>108</v>
      </c>
      <c r="V59" s="77" t="str">
        <f>INDEX(Encounter_Mod[Count], MATCH(PartyCompare_6[[#This Row],[Mob Size]], Encounter_Mod[Type],0))</f>
        <v>2</v>
      </c>
      <c r="W59" s="81">
        <f>SUM(PartyCompare_6[(Easy)])/INDEX(Encounter_Mod[[Small]:[Large]], MATCH(PartyCompare_6[[#This Row],[Mob Size]], Encounter_Mod[Type], 0), MATCH(PartyCompare_6[[#This Row],[Party Size]],Encounter_Mod[[#Headers],[Small]:[Large]],0))</f>
        <v>66.666666666666671</v>
      </c>
      <c r="X59" s="42">
        <f>SUM(PartyCompare_6[(Medium)])/INDEX(Encounter_Mod[[Small]:[Large]], MATCH(PartyCompare_6[[#This Row],[Mob Size]], Encounter_Mod[Type], 0), MATCH(PartyCompare_6[[#This Row],[Party Size]],Encounter_Mod[[#Headers],[Small]:[Large]],0))</f>
        <v>133.33333333333334</v>
      </c>
      <c r="Y59" s="42">
        <f>SUM(PartyCompare_6[(Hard)])/INDEX(Encounter_Mod[[Small]:[Large]], MATCH(PartyCompare_6[[#This Row],[Mob Size]], Encounter_Mod[Type], 0), MATCH(PartyCompare_6[[#This Row],[Party Size]],Encounter_Mod[[#Headers],[Small]:[Large]],0))</f>
        <v>200</v>
      </c>
      <c r="Z59" s="43">
        <f>SUM(PartyCompare_6[(Deadly)])/INDEX(Encounter_Mod[[Small]:[Large]], MATCH(PartyCompare_6[[#This Row],[Mob Size]], Encounter_Mod[Type], 0), MATCH(PartyCompare_6[[#This Row],[Party Size]],Encounter_Mod[[#Headers],[Small]:[Large]],0))</f>
        <v>266.66666666666669</v>
      </c>
      <c r="AA59" s="46">
        <f>(PartyCompare_6[[#This Row],[Easy]]-INDEX(PartyCompare_0[Easy], MATCH(PartyCompare_6[[#This Row],[Mob Size]],PartyCompare_0[Mob Size],0)))/INDEX(PartyCompare_0[Easy], MATCH(PartyCompare_6[[#This Row],[Mob Size]],PartyCompare_0[Mob Size],0))</f>
        <v>0</v>
      </c>
      <c r="AB59" s="33">
        <f>(PartyCompare_6[[#This Row],[Medium]]-INDEX(PartyCompare_0[Medium], MATCH(PartyCompare_6[[#This Row],[Mob Size]],PartyCompare_0[Mob Size],0)))/INDEX(PartyCompare_0[Medium], MATCH(PartyCompare_6[[#This Row],[Mob Size]],PartyCompare_0[Mob Size],0))</f>
        <v>0</v>
      </c>
      <c r="AC59" s="33">
        <f>(PartyCompare_6[[#This Row],[Hard]]-INDEX(PartyCompare_0[Hard], MATCH(PartyCompare_6[[#This Row],[Mob Size]],PartyCompare_0[Mob Size],0)))/INDEX(PartyCompare_0[Hard], MATCH(PartyCompare_6[[#This Row],[Mob Size]],PartyCompare_0[Mob Size],0))</f>
        <v>0</v>
      </c>
      <c r="AD59" s="34">
        <f>(PartyCompare_6[[#This Row],[Deadly]]-INDEX(PartyCompare_0[Deadly], MATCH(PartyCompare_6[[#This Row],[Mob Size]],PartyCompare_0[Mob Size],0)))/INDEX(PartyCompare_0[Deadly], MATCH(PartyCompare_6[[#This Row],[Mob Size]],PartyCompare_0[Mob Size],0))</f>
        <v>0</v>
      </c>
      <c r="AE59" s="48">
        <f>AVERAGE(PartyCompare_6[[#This Row],[Easy Deviation]:[Deadly Deviation]])</f>
        <v>0</v>
      </c>
      <c r="AF59" s="36">
        <f>IF(ISNUMBER(PartyCompare_6[[#This Row],[Level]]), PartyCompare_6[[#This Row],[Level]]+1, PartyCompare_6[[#This Row],[Level]])</f>
        <v>2</v>
      </c>
      <c r="AG59" s="36">
        <f>INDEX(Encounter_Diff[Easy], MATCH(PartyCompare_6[[#This Row],[+1 Level]],Encounter_Diff[Player Level],0))</f>
        <v>50</v>
      </c>
      <c r="AH59" s="36">
        <f>INDEX(Encounter_Diff[Medium], MATCH(PartyCompare_6[[#This Row],[+1 Level]],Encounter_Diff[Player Level],0))</f>
        <v>100</v>
      </c>
      <c r="AI59" s="36">
        <f>INDEX(Encounter_Diff[Hard], MATCH(PartyCompare_6[[#This Row],[+1 Level]],Encounter_Diff[Player Level],0))</f>
        <v>150</v>
      </c>
      <c r="AJ59" s="36">
        <f>INDEX(Encounter_Diff[Deadly], MATCH(PartyCompare_6[[#This Row],[+1 Level]],Encounter_Diff[Player Level],0))</f>
        <v>200</v>
      </c>
      <c r="AK59" s="63">
        <f>SUM(PartyCompare_6[+1 (Easy)])/INDEX(Encounter_Mod[[Small]:[Large]], MATCH(PartyCompare_6[[#This Row],[Mob Size]], Encounter_Mod[Type], 0), MATCH(PartyCompare_6[[#This Row],[Party Size]],Encounter_Mod[[#Headers],[Small]:[Large]],0))</f>
        <v>133.33333333333334</v>
      </c>
      <c r="AL59" s="38">
        <f>SUM(PartyCompare_6[+1 (Medium)])/INDEX(Encounter_Mod[[Small]:[Large]], MATCH(PartyCompare_6[[#This Row],[Mob Size]], Encounter_Mod[Type], 0), MATCH(PartyCompare_6[[#This Row],[Party Size]],Encounter_Mod[[#Headers],[Small]:[Large]],0))</f>
        <v>266.66666666666669</v>
      </c>
      <c r="AM59" s="38">
        <f>SUM(PartyCompare_6[+1 (Hard)])/INDEX(Encounter_Mod[[Small]:[Large]], MATCH(PartyCompare_6[[#This Row],[Mob Size]], Encounter_Mod[Type], 0), MATCH(PartyCompare_6[[#This Row],[Party Size]],Encounter_Mod[[#Headers],[Small]:[Large]],0))</f>
        <v>400</v>
      </c>
      <c r="AN59" s="38">
        <f>SUM(PartyCompare_6[+1 (Deadly)])/INDEX(Encounter_Mod[[Small]:[Large]], MATCH(PartyCompare_6[[#This Row],[Mob Size]], Encounter_Mod[Type], 0), MATCH(PartyCompare_6[[#This Row],[Party Size]],Encounter_Mod[[#Headers],[Small]:[Large]],0))</f>
        <v>533.33333333333337</v>
      </c>
      <c r="AO59" s="46">
        <f>(PartyCompare_6[[#This Row],[+1 Easy]]-INDEX(PartyCompare_0[+1 Easy], MATCH(PartyCompare_6[[#This Row],[Mob Size]],PartyCompare_6[Mob Size],0)))/INDEX(PartyCompare_0[+1 Easy], MATCH(PartyCompare_6[[#This Row],[Mob Size]],PartyCompare_6[Mob Size],0))</f>
        <v>0</v>
      </c>
      <c r="AP59" s="39">
        <f>(PartyCompare_6[[#This Row],[+1 Medium]]-INDEX(PartyCompare_0[+1 Medium], MATCH(PartyCompare_6[[#This Row],[Mob Size]],PartyCompare_6[Mob Size],0)))/INDEX(PartyCompare_0[+1 Medium], MATCH(PartyCompare_6[[#This Row],[Mob Size]],PartyCompare_6[Mob Size],0))</f>
        <v>0</v>
      </c>
      <c r="AQ59" s="39">
        <f>(PartyCompare_6[[#This Row],[+1 Hard]]-INDEX(PartyCompare_0[+1 Hard], MATCH(PartyCompare_6[[#This Row],[Mob Size]],PartyCompare_6[Mob Size],0)))/INDEX(PartyCompare_0[+1 Hard], MATCH(PartyCompare_6[[#This Row],[Mob Size]],PartyCompare_6[Mob Size],0))</f>
        <v>0</v>
      </c>
      <c r="AR59" s="34">
        <f>(PartyCompare_6[[#This Row],[+1 Deadly]]-INDEX(PartyCompare_0[+1 Deadly], MATCH(PartyCompare_6[[#This Row],[Mob Size]],PartyCompare_6[Mob Size],0)))/INDEX(PartyCompare_0[+1 Deadly], MATCH(PartyCompare_6[[#This Row],[Mob Size]],PartyCompare_6[Mob Size],0))</f>
        <v>0</v>
      </c>
      <c r="AS59" s="48">
        <f>AVERAGE(PartyCompare_6[[#This Row],[+1 Easy Deviation]:[+1 Deadly Deviation]])</f>
        <v>0</v>
      </c>
      <c r="AT59" s="36">
        <f>IF(ISNUMBER(PartyCompare_6[[#This Row],[Level]]), PartyCompare_6[[#This Row],[Level]]+2, PartyCompare_6[[#This Row],[Level]])</f>
        <v>3</v>
      </c>
      <c r="AU59" s="36">
        <f>INDEX(Encounter_Diff[Easy], MATCH(PartyCompare_6[[#This Row],[+2 Level]],Encounter_Diff[Player Level],0))</f>
        <v>75</v>
      </c>
      <c r="AV59" s="36">
        <f>INDEX(Encounter_Diff[Medium], MATCH(PartyCompare_6[[#This Row],[+2 Level]],Encounter_Diff[Player Level],0))</f>
        <v>150</v>
      </c>
      <c r="AW59" s="36">
        <f>INDEX(Encounter_Diff[Hard], MATCH(PartyCompare_6[[#This Row],[+2 Level]],Encounter_Diff[Player Level],0))</f>
        <v>225</v>
      </c>
      <c r="AX59" s="36">
        <f>INDEX(Encounter_Diff[Deadly], MATCH(PartyCompare_6[[#This Row],[+2 Level]],Encounter_Diff[Player Level],0))</f>
        <v>400</v>
      </c>
      <c r="AY59" s="63">
        <f>SUM(PartyCompare_6[+2 (Easy)])/INDEX(Encounter_Mod[[Small]:[Large]], MATCH(PartyCompare_6[[#This Row],[Mob Size]], Encounter_Mod[Type], 0), MATCH(PartyCompare_6[[#This Row],[Party Size]],Encounter_Mod[[#Headers],[Small]:[Large]],0))</f>
        <v>200</v>
      </c>
      <c r="AZ59" s="38">
        <f>SUM(PartyCompare_6[+2 (Medium)])/INDEX(Encounter_Mod[[Small]:[Large]], MATCH(PartyCompare_6[[#This Row],[Mob Size]], Encounter_Mod[Type], 0), MATCH(PartyCompare_6[[#This Row],[Party Size]],Encounter_Mod[[#Headers],[Small]:[Large]],0))</f>
        <v>400</v>
      </c>
      <c r="BA59" s="38">
        <f>SUM(PartyCompare_6[+2 (Hard)])/INDEX(Encounter_Mod[[Small]:[Large]], MATCH(PartyCompare_6[[#This Row],[Mob Size]], Encounter_Mod[Type], 0), MATCH(PartyCompare_6[[#This Row],[Party Size]],Encounter_Mod[[#Headers],[Small]:[Large]],0))</f>
        <v>600</v>
      </c>
      <c r="BB59" s="38">
        <f>SUM(PartyCompare_6[+2 (Deadly)])/INDEX(Encounter_Mod[[Small]:[Large]], MATCH(PartyCompare_6[[#This Row],[Mob Size]], Encounter_Mod[Type], 0), MATCH(PartyCompare_6[[#This Row],[Party Size]],Encounter_Mod[[#Headers],[Small]:[Large]],0))</f>
        <v>1066.6666666666667</v>
      </c>
      <c r="BC59" s="46">
        <f>(PartyCompare_6[[#This Row],[+2 Easy]]-INDEX(PartyCompare_0[+2 Easy], MATCH(PartyCompare_6[[#This Row],[Mob Size]],PartyCompare_6[Mob Size],0)))/INDEX(PartyCompare_0[+2 Easy], MATCH(PartyCompare_6[[#This Row],[Mob Size]],PartyCompare_6[Mob Size],0))</f>
        <v>0</v>
      </c>
      <c r="BD59" s="39">
        <f>(PartyCompare_6[[#This Row],[+2 Medium]]-INDEX(PartyCompare_0[+2 Medium], MATCH(PartyCompare_6[[#This Row],[Mob Size]],PartyCompare_6[Mob Size],0)))/INDEX(PartyCompare_0[+2 Medium], MATCH(PartyCompare_6[[#This Row],[Mob Size]],PartyCompare_6[Mob Size],0))</f>
        <v>0</v>
      </c>
      <c r="BE59" s="39">
        <f>(PartyCompare_6[[#This Row],[+2 Hard]]-INDEX(PartyCompare_0[+2 Hard], MATCH(PartyCompare_6[[#This Row],[Mob Size]],PartyCompare_6[Mob Size],0)))/INDEX(PartyCompare_0[+2 Hard], MATCH(PartyCompare_6[[#This Row],[Mob Size]],PartyCompare_6[Mob Size],0))</f>
        <v>0</v>
      </c>
      <c r="BF59" s="34">
        <f>(PartyCompare_6[[#This Row],[+2 Deadly]]-INDEX(PartyCompare_0[+2 Deadly], MATCH(PartyCompare_6[[#This Row],[Mob Size]],PartyCompare_6[Mob Size],0)))/INDEX(PartyCompare_0[+2 Deadly], MATCH(PartyCompare_6[[#This Row],[Mob Size]],PartyCompare_6[Mob Size],0))</f>
        <v>0</v>
      </c>
      <c r="BG59" s="48">
        <f>AVERAGE(PartyCompare_6[[#This Row],[+2 Easy Deviation]:[+2 Deadly Deviation]])</f>
        <v>0</v>
      </c>
      <c r="BH59" s="36">
        <f>IF(ISNUMBER(PartyCompare_6[[#This Row],[Level]]), PartyCompare_6[[#This Row],[Level]]+3, PartyCompare_6[[#This Row],[Level]])</f>
        <v>4</v>
      </c>
      <c r="BI59" s="36">
        <f>INDEX(Encounter_Diff[Easy], MATCH(PartyCompare_6[[#This Row],[+3 Level]],Encounter_Diff[Player Level],0))</f>
        <v>125</v>
      </c>
      <c r="BJ59" s="36">
        <f>INDEX(Encounter_Diff[Medium], MATCH(PartyCompare_6[[#This Row],[+3 Level]],Encounter_Diff[Player Level],0))</f>
        <v>250</v>
      </c>
      <c r="BK59" s="36">
        <f>INDEX(Encounter_Diff[Hard], MATCH(PartyCompare_6[[#This Row],[+3 Level]],Encounter_Diff[Player Level],0))</f>
        <v>375</v>
      </c>
      <c r="BL59" s="36">
        <f>INDEX(Encounter_Diff[Deadly], MATCH(PartyCompare_6[[#This Row],[+3 Level]],Encounter_Diff[Player Level],0))</f>
        <v>500</v>
      </c>
      <c r="BM59" s="63">
        <f>SUM(PartyCompare_6[+3 (Easy)])/INDEX(Encounter_Mod[[Small]:[Large]], MATCH(PartyCompare_6[[#This Row],[Mob Size]], Encounter_Mod[Type], 0), MATCH(PartyCompare_6[[#This Row],[Party Size]],Encounter_Mod[[#Headers],[Small]:[Large]],0))</f>
        <v>333.33333333333331</v>
      </c>
      <c r="BN59" s="38">
        <f>SUM(PartyCompare_6[+3 (Medium)])/INDEX(Encounter_Mod[[Small]:[Large]], MATCH(PartyCompare_6[[#This Row],[Mob Size]], Encounter_Mod[Type], 0), MATCH(PartyCompare_6[[#This Row],[Party Size]],Encounter_Mod[[#Headers],[Small]:[Large]],0))</f>
        <v>666.66666666666663</v>
      </c>
      <c r="BO59" s="38">
        <f>SUM(PartyCompare_6[+3 (Hard)])/INDEX(Encounter_Mod[[Small]:[Large]], MATCH(PartyCompare_6[[#This Row],[Mob Size]], Encounter_Mod[Type], 0), MATCH(PartyCompare_6[[#This Row],[Party Size]],Encounter_Mod[[#Headers],[Small]:[Large]],0))</f>
        <v>1000</v>
      </c>
      <c r="BP59" s="38">
        <f>SUM(PartyCompare_6[+3 (Deadly)])/INDEX(Encounter_Mod[[Small]:[Large]], MATCH(PartyCompare_6[[#This Row],[Mob Size]], Encounter_Mod[Type], 0), MATCH(PartyCompare_6[[#This Row],[Party Size]],Encounter_Mod[[#Headers],[Small]:[Large]],0))</f>
        <v>1333.3333333333333</v>
      </c>
      <c r="BQ59" s="46">
        <f>(PartyCompare_6[[#This Row],[+3 Easy]]-INDEX(PartyCompare_0[+3 Easy], MATCH(PartyCompare_6[[#This Row],[Mob Size]],PartyCompare_6[Mob Size],0)))/INDEX(PartyCompare_0[+3 Easy], MATCH(PartyCompare_6[[#This Row],[Mob Size]],PartyCompare_6[Mob Size],0))</f>
        <v>0</v>
      </c>
      <c r="BR59" s="39">
        <f>(PartyCompare_6[[#This Row],[+3 Medium]]-INDEX(PartyCompare_0[+3 Medium], MATCH(PartyCompare_6[[#This Row],[Mob Size]],PartyCompare_6[Mob Size],0)))/INDEX(PartyCompare_0[+3 Medium], MATCH(PartyCompare_6[[#This Row],[Mob Size]],PartyCompare_6[Mob Size],0))</f>
        <v>0</v>
      </c>
      <c r="BS59" s="39">
        <f>(PartyCompare_6[[#This Row],[+3 Hard]]-INDEX(PartyCompare_0[+3 Hard], MATCH(PartyCompare_6[[#This Row],[Mob Size]],PartyCompare_6[Mob Size],0)))/INDEX(PartyCompare_0[+3 Hard], MATCH(PartyCompare_6[[#This Row],[Mob Size]],PartyCompare_6[Mob Size],0))</f>
        <v>0</v>
      </c>
      <c r="BT59" s="34">
        <f>(PartyCompare_6[[#This Row],[+3 Deadly]]-INDEX(PartyCompare_0[+3 Deadly], MATCH(PartyCompare_6[[#This Row],[Mob Size]],PartyCompare_6[Mob Size],0)))/INDEX(PartyCompare_0[+3 Deadly], MATCH(PartyCompare_6[[#This Row],[Mob Size]],PartyCompare_6[Mob Size],0))</f>
        <v>0</v>
      </c>
      <c r="BU59" s="48">
        <f>AVERAGE(PartyCompare_6[[#This Row],[+3 Easy Deviation]:[+3 Deadly Deviation]])</f>
        <v>0</v>
      </c>
      <c r="BV59" s="36">
        <f>IF(ISNUMBER(PartyCompare_6[[#This Row],[Level]]), PartyCompare_6[[#This Row],[Level]]+4, PartyCompare_6[[#This Row],[Level]])</f>
        <v>5</v>
      </c>
      <c r="BW59" s="36">
        <f>INDEX(Encounter_Diff[Easy], MATCH(PartyCompare_6[[#This Row],[+4 Level]],Encounter_Diff[Player Level],0))</f>
        <v>250</v>
      </c>
      <c r="BX59" s="36">
        <f>INDEX(Encounter_Diff[Medium], MATCH(PartyCompare_6[[#This Row],[+4 Level]],Encounter_Diff[Player Level],0))</f>
        <v>500</v>
      </c>
      <c r="BY59" s="36">
        <f>INDEX(Encounter_Diff[Hard], MATCH(PartyCompare_6[[#This Row],[+4 Level]],Encounter_Diff[Player Level],0))</f>
        <v>750</v>
      </c>
      <c r="BZ59" s="36">
        <f>INDEX(Encounter_Diff[Deadly], MATCH(PartyCompare_6[[#This Row],[+4 Level]],Encounter_Diff[Player Level],0))</f>
        <v>1100</v>
      </c>
      <c r="CA59" s="63">
        <f>SUM(PartyCompare_6[+4 (Easy)])/INDEX(Encounter_Mod[[Small]:[Large]], MATCH(PartyCompare_6[[#This Row],[Mob Size]], Encounter_Mod[Type], 0), MATCH(PartyCompare_6[[#This Row],[Party Size]],Encounter_Mod[[#Headers],[Small]:[Large]],0))</f>
        <v>666.66666666666663</v>
      </c>
      <c r="CB59" s="38">
        <f>SUM(PartyCompare_6[+4 (Medium)])/INDEX(Encounter_Mod[[Small]:[Large]], MATCH(PartyCompare_6[[#This Row],[Mob Size]], Encounter_Mod[Type], 0), MATCH(PartyCompare_6[[#This Row],[Party Size]],Encounter_Mod[[#Headers],[Small]:[Large]],0))</f>
        <v>1333.3333333333333</v>
      </c>
      <c r="CC59" s="38">
        <f>SUM(PartyCompare_6[+4 (Hard)])/INDEX(Encounter_Mod[[Small]:[Large]], MATCH(PartyCompare_6[[#This Row],[Mob Size]], Encounter_Mod[Type], 0), MATCH(PartyCompare_6[[#This Row],[Party Size]],Encounter_Mod[[#Headers],[Small]:[Large]],0))</f>
        <v>2000</v>
      </c>
      <c r="CD59" s="38">
        <f>SUM(PartyCompare_6[+4 (Deadly)])/INDEX(Encounter_Mod[[Small]:[Large]], MATCH(PartyCompare_6[[#This Row],[Mob Size]], Encounter_Mod[Type], 0), MATCH(PartyCompare_6[[#This Row],[Party Size]],Encounter_Mod[[#Headers],[Small]:[Large]],0))</f>
        <v>2933.3333333333335</v>
      </c>
      <c r="CE59" s="46">
        <f>(PartyCompare_6[[#This Row],[+4 Easy]]-INDEX(PartyCompare_0[+4 Easy], MATCH(PartyCompare_6[[#This Row],[Mob Size]],PartyCompare_6[Mob Size],0)))/INDEX(PartyCompare_0[+4 Easy], MATCH(PartyCompare_6[[#This Row],[Mob Size]],PartyCompare_6[Mob Size],0))</f>
        <v>0</v>
      </c>
      <c r="CF59" s="39">
        <f>(PartyCompare_6[[#This Row],[+4 Medium]]-INDEX(PartyCompare_0[+4 Medium], MATCH(PartyCompare_6[[#This Row],[Mob Size]],PartyCompare_6[Mob Size],0)))/INDEX(PartyCompare_0[+4 Medium], MATCH(PartyCompare_6[[#This Row],[Mob Size]],PartyCompare_6[Mob Size],0))</f>
        <v>0</v>
      </c>
      <c r="CG59" s="39">
        <f>(PartyCompare_6[[#This Row],[+4 Hard]]-INDEX(PartyCompare_0[+4 Hard], MATCH(PartyCompare_6[[#This Row],[Mob Size]],PartyCompare_6[Mob Size],0)))/INDEX(PartyCompare_0[+4 Hard], MATCH(PartyCompare_6[[#This Row],[Mob Size]],PartyCompare_6[Mob Size],0))</f>
        <v>0</v>
      </c>
      <c r="CH59" s="34">
        <f>(PartyCompare_6[[#This Row],[+4 Deadly]]-INDEX(PartyCompare_0[+4 Deadly], MATCH(PartyCompare_6[[#This Row],[Mob Size]],PartyCompare_6[Mob Size],0)))/INDEX(PartyCompare_0[+4 Deadly], MATCH(PartyCompare_6[[#This Row],[Mob Size]],PartyCompare_6[Mob Size],0))</f>
        <v>0</v>
      </c>
      <c r="CI59" s="48">
        <f>AVERAGE(PartyCompare_6[[#This Row],[+4 Easy Deviation]:[+4 Deadly Deviation]])</f>
        <v>0</v>
      </c>
    </row>
    <row r="60" spans="12:87" x14ac:dyDescent="0.2">
      <c r="L60" s="233"/>
      <c r="M60" s="91" t="s">
        <v>153</v>
      </c>
      <c r="N60" s="90">
        <v>1</v>
      </c>
      <c r="O60" s="32">
        <f>INDEX(Encounter_Diff[Easy], MATCH(PartyCompare_6[[#This Row],[Level]],Encounter_Diff[Player Level],0))</f>
        <v>25</v>
      </c>
      <c r="P60" s="32">
        <f>INDEX(Encounter_Diff[Medium], MATCH(PartyCompare_6[[#This Row],[Level]],Encounter_Diff[Player Level],0))</f>
        <v>50</v>
      </c>
      <c r="Q60" s="32">
        <f>INDEX(Encounter_Diff[Hard], MATCH(PartyCompare_6[[#This Row],[Level]],Encounter_Diff[Player Level],0))</f>
        <v>75</v>
      </c>
      <c r="R60" s="30">
        <f>INDEX(Encounter_Diff[Deadly], MATCH(PartyCompare_6[[#This Row],[Level]],Encounter_Diff[Player Level],0))</f>
        <v>100</v>
      </c>
      <c r="S60" s="97" t="str">
        <f t="shared" ref="S60:S65" si="6">S59</f>
        <v>1, 1, 1, 1</v>
      </c>
      <c r="T60" s="32" t="str">
        <f>IF(COUNT(PartyCompare_6[Level])&lt;=2,"Small", IF(COUNT(PartyCompare_6[Level])&lt;=5,"Med", IF(COUNT(PartyCompare_6[Level])&lt;=8, "Large", "TOO BIG!")))</f>
        <v>Med</v>
      </c>
      <c r="U60" s="73" t="s">
        <v>109</v>
      </c>
      <c r="V60" s="77" t="str">
        <f>INDEX(Encounter_Mod[Count], MATCH(PartyCompare_6[[#This Row],[Mob Size]], Encounter_Mod[Type],0))</f>
        <v>3-6</v>
      </c>
      <c r="W60" s="81">
        <f>SUM(PartyCompare_6[(Easy)])/INDEX(Encounter_Mod[[Small]:[Large]], MATCH(PartyCompare_6[[#This Row],[Mob Size]], Encounter_Mod[Type], 0), MATCH(PartyCompare_6[[#This Row],[Party Size]],Encounter_Mod[[#Headers],[Small]:[Large]],0))</f>
        <v>50</v>
      </c>
      <c r="X60" s="42">
        <f>SUM(PartyCompare_6[(Medium)])/INDEX(Encounter_Mod[[Small]:[Large]], MATCH(PartyCompare_6[[#This Row],[Mob Size]], Encounter_Mod[Type], 0), MATCH(PartyCompare_6[[#This Row],[Party Size]],Encounter_Mod[[#Headers],[Small]:[Large]],0))</f>
        <v>100</v>
      </c>
      <c r="Y60" s="42">
        <f>SUM(PartyCompare_6[(Hard)])/INDEX(Encounter_Mod[[Small]:[Large]], MATCH(PartyCompare_6[[#This Row],[Mob Size]], Encounter_Mod[Type], 0), MATCH(PartyCompare_6[[#This Row],[Party Size]],Encounter_Mod[[#Headers],[Small]:[Large]],0))</f>
        <v>150</v>
      </c>
      <c r="Z60" s="43">
        <f>SUM(PartyCompare_6[(Deadly)])/INDEX(Encounter_Mod[[Small]:[Large]], MATCH(PartyCompare_6[[#This Row],[Mob Size]], Encounter_Mod[Type], 0), MATCH(PartyCompare_6[[#This Row],[Party Size]],Encounter_Mod[[#Headers],[Small]:[Large]],0))</f>
        <v>200</v>
      </c>
      <c r="AA60" s="46">
        <f>(PartyCompare_6[[#This Row],[Easy]]-INDEX(PartyCompare_0[Easy], MATCH(PartyCompare_6[[#This Row],[Mob Size]],PartyCompare_0[Mob Size],0)))/INDEX(PartyCompare_0[Easy], MATCH(PartyCompare_6[[#This Row],[Mob Size]],PartyCompare_0[Mob Size],0))</f>
        <v>0</v>
      </c>
      <c r="AB60" s="33">
        <f>(PartyCompare_6[[#This Row],[Medium]]-INDEX(PartyCompare_0[Medium], MATCH(PartyCompare_6[[#This Row],[Mob Size]],PartyCompare_0[Mob Size],0)))/INDEX(PartyCompare_0[Medium], MATCH(PartyCompare_6[[#This Row],[Mob Size]],PartyCompare_0[Mob Size],0))</f>
        <v>0</v>
      </c>
      <c r="AC60" s="33">
        <f>(PartyCompare_6[[#This Row],[Hard]]-INDEX(PartyCompare_0[Hard], MATCH(PartyCompare_6[[#This Row],[Mob Size]],PartyCompare_0[Mob Size],0)))/INDEX(PartyCompare_0[Hard], MATCH(PartyCompare_6[[#This Row],[Mob Size]],PartyCompare_0[Mob Size],0))</f>
        <v>0</v>
      </c>
      <c r="AD60" s="34">
        <f>(PartyCompare_6[[#This Row],[Deadly]]-INDEX(PartyCompare_0[Deadly], MATCH(PartyCompare_6[[#This Row],[Mob Size]],PartyCompare_0[Mob Size],0)))/INDEX(PartyCompare_0[Deadly], MATCH(PartyCompare_6[[#This Row],[Mob Size]],PartyCompare_0[Mob Size],0))</f>
        <v>0</v>
      </c>
      <c r="AE60" s="48">
        <f>AVERAGE(PartyCompare_6[[#This Row],[Easy Deviation]:[Deadly Deviation]])</f>
        <v>0</v>
      </c>
      <c r="AF60" s="36">
        <f>IF(ISNUMBER(PartyCompare_6[[#This Row],[Level]]), PartyCompare_6[[#This Row],[Level]]+1, PartyCompare_6[[#This Row],[Level]])</f>
        <v>2</v>
      </c>
      <c r="AG60" s="36">
        <f>INDEX(Encounter_Diff[Easy], MATCH(PartyCompare_6[[#This Row],[+1 Level]],Encounter_Diff[Player Level],0))</f>
        <v>50</v>
      </c>
      <c r="AH60" s="36">
        <f>INDEX(Encounter_Diff[Medium], MATCH(PartyCompare_6[[#This Row],[+1 Level]],Encounter_Diff[Player Level],0))</f>
        <v>100</v>
      </c>
      <c r="AI60" s="36">
        <f>INDEX(Encounter_Diff[Hard], MATCH(PartyCompare_6[[#This Row],[+1 Level]],Encounter_Diff[Player Level],0))</f>
        <v>150</v>
      </c>
      <c r="AJ60" s="36">
        <f>INDEX(Encounter_Diff[Deadly], MATCH(PartyCompare_6[[#This Row],[+1 Level]],Encounter_Diff[Player Level],0))</f>
        <v>200</v>
      </c>
      <c r="AK60" s="63">
        <f>SUM(PartyCompare_6[+1 (Easy)])/INDEX(Encounter_Mod[[Small]:[Large]], MATCH(PartyCompare_6[[#This Row],[Mob Size]], Encounter_Mod[Type], 0), MATCH(PartyCompare_6[[#This Row],[Party Size]],Encounter_Mod[[#Headers],[Small]:[Large]],0))</f>
        <v>100</v>
      </c>
      <c r="AL60" s="38">
        <f>SUM(PartyCompare_6[+1 (Medium)])/INDEX(Encounter_Mod[[Small]:[Large]], MATCH(PartyCompare_6[[#This Row],[Mob Size]], Encounter_Mod[Type], 0), MATCH(PartyCompare_6[[#This Row],[Party Size]],Encounter_Mod[[#Headers],[Small]:[Large]],0))</f>
        <v>200</v>
      </c>
      <c r="AM60" s="38">
        <f>SUM(PartyCompare_6[+1 (Hard)])/INDEX(Encounter_Mod[[Small]:[Large]], MATCH(PartyCompare_6[[#This Row],[Mob Size]], Encounter_Mod[Type], 0), MATCH(PartyCompare_6[[#This Row],[Party Size]],Encounter_Mod[[#Headers],[Small]:[Large]],0))</f>
        <v>300</v>
      </c>
      <c r="AN60" s="38">
        <f>SUM(PartyCompare_6[+1 (Deadly)])/INDEX(Encounter_Mod[[Small]:[Large]], MATCH(PartyCompare_6[[#This Row],[Mob Size]], Encounter_Mod[Type], 0), MATCH(PartyCompare_6[[#This Row],[Party Size]],Encounter_Mod[[#Headers],[Small]:[Large]],0))</f>
        <v>400</v>
      </c>
      <c r="AO60" s="46">
        <f>(PartyCompare_6[[#This Row],[+1 Easy]]-INDEX(PartyCompare_0[+1 Easy], MATCH(PartyCompare_6[[#This Row],[Mob Size]],PartyCompare_6[Mob Size],0)))/INDEX(PartyCompare_0[+1 Easy], MATCH(PartyCompare_6[[#This Row],[Mob Size]],PartyCompare_6[Mob Size],0))</f>
        <v>0</v>
      </c>
      <c r="AP60" s="39">
        <f>(PartyCompare_6[[#This Row],[+1 Medium]]-INDEX(PartyCompare_0[+1 Medium], MATCH(PartyCompare_6[[#This Row],[Mob Size]],PartyCompare_6[Mob Size],0)))/INDEX(PartyCompare_0[+1 Medium], MATCH(PartyCompare_6[[#This Row],[Mob Size]],PartyCompare_6[Mob Size],0))</f>
        <v>0</v>
      </c>
      <c r="AQ60" s="39">
        <f>(PartyCompare_6[[#This Row],[+1 Hard]]-INDEX(PartyCompare_0[+1 Hard], MATCH(PartyCompare_6[[#This Row],[Mob Size]],PartyCompare_6[Mob Size],0)))/INDEX(PartyCompare_0[+1 Hard], MATCH(PartyCompare_6[[#This Row],[Mob Size]],PartyCompare_6[Mob Size],0))</f>
        <v>0</v>
      </c>
      <c r="AR60" s="34">
        <f>(PartyCompare_6[[#This Row],[+1 Deadly]]-INDEX(PartyCompare_0[+1 Deadly], MATCH(PartyCompare_6[[#This Row],[Mob Size]],PartyCompare_6[Mob Size],0)))/INDEX(PartyCompare_0[+1 Deadly], MATCH(PartyCompare_6[[#This Row],[Mob Size]],PartyCompare_6[Mob Size],0))</f>
        <v>0</v>
      </c>
      <c r="AS60" s="48">
        <f>AVERAGE(PartyCompare_6[[#This Row],[+1 Easy Deviation]:[+1 Deadly Deviation]])</f>
        <v>0</v>
      </c>
      <c r="AT60" s="36">
        <f>IF(ISNUMBER(PartyCompare_6[[#This Row],[Level]]), PartyCompare_6[[#This Row],[Level]]+2, PartyCompare_6[[#This Row],[Level]])</f>
        <v>3</v>
      </c>
      <c r="AU60" s="36">
        <f>INDEX(Encounter_Diff[Easy], MATCH(PartyCompare_6[[#This Row],[+2 Level]],Encounter_Diff[Player Level],0))</f>
        <v>75</v>
      </c>
      <c r="AV60" s="36">
        <f>INDEX(Encounter_Diff[Medium], MATCH(PartyCompare_6[[#This Row],[+2 Level]],Encounter_Diff[Player Level],0))</f>
        <v>150</v>
      </c>
      <c r="AW60" s="36">
        <f>INDEX(Encounter_Diff[Hard], MATCH(PartyCompare_6[[#This Row],[+2 Level]],Encounter_Diff[Player Level],0))</f>
        <v>225</v>
      </c>
      <c r="AX60" s="36">
        <f>INDEX(Encounter_Diff[Deadly], MATCH(PartyCompare_6[[#This Row],[+2 Level]],Encounter_Diff[Player Level],0))</f>
        <v>400</v>
      </c>
      <c r="AY60" s="63">
        <f>SUM(PartyCompare_6[+2 (Easy)])/INDEX(Encounter_Mod[[Small]:[Large]], MATCH(PartyCompare_6[[#This Row],[Mob Size]], Encounter_Mod[Type], 0), MATCH(PartyCompare_6[[#This Row],[Party Size]],Encounter_Mod[[#Headers],[Small]:[Large]],0))</f>
        <v>150</v>
      </c>
      <c r="AZ60" s="38">
        <f>SUM(PartyCompare_6[+2 (Medium)])/INDEX(Encounter_Mod[[Small]:[Large]], MATCH(PartyCompare_6[[#This Row],[Mob Size]], Encounter_Mod[Type], 0), MATCH(PartyCompare_6[[#This Row],[Party Size]],Encounter_Mod[[#Headers],[Small]:[Large]],0))</f>
        <v>300</v>
      </c>
      <c r="BA60" s="38">
        <f>SUM(PartyCompare_6[+2 (Hard)])/INDEX(Encounter_Mod[[Small]:[Large]], MATCH(PartyCompare_6[[#This Row],[Mob Size]], Encounter_Mod[Type], 0), MATCH(PartyCompare_6[[#This Row],[Party Size]],Encounter_Mod[[#Headers],[Small]:[Large]],0))</f>
        <v>450</v>
      </c>
      <c r="BB60" s="38">
        <f>SUM(PartyCompare_6[+2 (Deadly)])/INDEX(Encounter_Mod[[Small]:[Large]], MATCH(PartyCompare_6[[#This Row],[Mob Size]], Encounter_Mod[Type], 0), MATCH(PartyCompare_6[[#This Row],[Party Size]],Encounter_Mod[[#Headers],[Small]:[Large]],0))</f>
        <v>800</v>
      </c>
      <c r="BC60" s="46">
        <f>(PartyCompare_6[[#This Row],[+2 Easy]]-INDEX(PartyCompare_0[+2 Easy], MATCH(PartyCompare_6[[#This Row],[Mob Size]],PartyCompare_6[Mob Size],0)))/INDEX(PartyCompare_0[+2 Easy], MATCH(PartyCompare_6[[#This Row],[Mob Size]],PartyCompare_6[Mob Size],0))</f>
        <v>0</v>
      </c>
      <c r="BD60" s="39">
        <f>(PartyCompare_6[[#This Row],[+2 Medium]]-INDEX(PartyCompare_0[+2 Medium], MATCH(PartyCompare_6[[#This Row],[Mob Size]],PartyCompare_6[Mob Size],0)))/INDEX(PartyCompare_0[+2 Medium], MATCH(PartyCompare_6[[#This Row],[Mob Size]],PartyCompare_6[Mob Size],0))</f>
        <v>0</v>
      </c>
      <c r="BE60" s="39">
        <f>(PartyCompare_6[[#This Row],[+2 Hard]]-INDEX(PartyCompare_0[+2 Hard], MATCH(PartyCompare_6[[#This Row],[Mob Size]],PartyCompare_6[Mob Size],0)))/INDEX(PartyCompare_0[+2 Hard], MATCH(PartyCompare_6[[#This Row],[Mob Size]],PartyCompare_6[Mob Size],0))</f>
        <v>0</v>
      </c>
      <c r="BF60" s="34">
        <f>(PartyCompare_6[[#This Row],[+2 Deadly]]-INDEX(PartyCompare_0[+2 Deadly], MATCH(PartyCompare_6[[#This Row],[Mob Size]],PartyCompare_6[Mob Size],0)))/INDEX(PartyCompare_0[+2 Deadly], MATCH(PartyCompare_6[[#This Row],[Mob Size]],PartyCompare_6[Mob Size],0))</f>
        <v>0</v>
      </c>
      <c r="BG60" s="48">
        <f>AVERAGE(PartyCompare_6[[#This Row],[+2 Easy Deviation]:[+2 Deadly Deviation]])</f>
        <v>0</v>
      </c>
      <c r="BH60" s="36">
        <f>IF(ISNUMBER(PartyCompare_6[[#This Row],[Level]]), PartyCompare_6[[#This Row],[Level]]+3, PartyCompare_6[[#This Row],[Level]])</f>
        <v>4</v>
      </c>
      <c r="BI60" s="36">
        <f>INDEX(Encounter_Diff[Easy], MATCH(PartyCompare_6[[#This Row],[+3 Level]],Encounter_Diff[Player Level],0))</f>
        <v>125</v>
      </c>
      <c r="BJ60" s="36">
        <f>INDEX(Encounter_Diff[Medium], MATCH(PartyCompare_6[[#This Row],[+3 Level]],Encounter_Diff[Player Level],0))</f>
        <v>250</v>
      </c>
      <c r="BK60" s="36">
        <f>INDEX(Encounter_Diff[Hard], MATCH(PartyCompare_6[[#This Row],[+3 Level]],Encounter_Diff[Player Level],0))</f>
        <v>375</v>
      </c>
      <c r="BL60" s="36">
        <f>INDEX(Encounter_Diff[Deadly], MATCH(PartyCompare_6[[#This Row],[+3 Level]],Encounter_Diff[Player Level],0))</f>
        <v>500</v>
      </c>
      <c r="BM60" s="63">
        <f>SUM(PartyCompare_6[+3 (Easy)])/INDEX(Encounter_Mod[[Small]:[Large]], MATCH(PartyCompare_6[[#This Row],[Mob Size]], Encounter_Mod[Type], 0), MATCH(PartyCompare_6[[#This Row],[Party Size]],Encounter_Mod[[#Headers],[Small]:[Large]],0))</f>
        <v>250</v>
      </c>
      <c r="BN60" s="38">
        <f>SUM(PartyCompare_6[+3 (Medium)])/INDEX(Encounter_Mod[[Small]:[Large]], MATCH(PartyCompare_6[[#This Row],[Mob Size]], Encounter_Mod[Type], 0), MATCH(PartyCompare_6[[#This Row],[Party Size]],Encounter_Mod[[#Headers],[Small]:[Large]],0))</f>
        <v>500</v>
      </c>
      <c r="BO60" s="38">
        <f>SUM(PartyCompare_6[+3 (Hard)])/INDEX(Encounter_Mod[[Small]:[Large]], MATCH(PartyCompare_6[[#This Row],[Mob Size]], Encounter_Mod[Type], 0), MATCH(PartyCompare_6[[#This Row],[Party Size]],Encounter_Mod[[#Headers],[Small]:[Large]],0))</f>
        <v>750</v>
      </c>
      <c r="BP60" s="38">
        <f>SUM(PartyCompare_6[+3 (Deadly)])/INDEX(Encounter_Mod[[Small]:[Large]], MATCH(PartyCompare_6[[#This Row],[Mob Size]], Encounter_Mod[Type], 0), MATCH(PartyCompare_6[[#This Row],[Party Size]],Encounter_Mod[[#Headers],[Small]:[Large]],0))</f>
        <v>1000</v>
      </c>
      <c r="BQ60" s="46">
        <f>(PartyCompare_6[[#This Row],[+3 Easy]]-INDEX(PartyCompare_0[+3 Easy], MATCH(PartyCompare_6[[#This Row],[Mob Size]],PartyCompare_6[Mob Size],0)))/INDEX(PartyCompare_0[+3 Easy], MATCH(PartyCompare_6[[#This Row],[Mob Size]],PartyCompare_6[Mob Size],0))</f>
        <v>0</v>
      </c>
      <c r="BR60" s="39">
        <f>(PartyCompare_6[[#This Row],[+3 Medium]]-INDEX(PartyCompare_0[+3 Medium], MATCH(PartyCompare_6[[#This Row],[Mob Size]],PartyCompare_6[Mob Size],0)))/INDEX(PartyCompare_0[+3 Medium], MATCH(PartyCompare_6[[#This Row],[Mob Size]],PartyCompare_6[Mob Size],0))</f>
        <v>0</v>
      </c>
      <c r="BS60" s="39">
        <f>(PartyCompare_6[[#This Row],[+3 Hard]]-INDEX(PartyCompare_0[+3 Hard], MATCH(PartyCompare_6[[#This Row],[Mob Size]],PartyCompare_6[Mob Size],0)))/INDEX(PartyCompare_0[+3 Hard], MATCH(PartyCompare_6[[#This Row],[Mob Size]],PartyCompare_6[Mob Size],0))</f>
        <v>0</v>
      </c>
      <c r="BT60" s="34">
        <f>(PartyCompare_6[[#This Row],[+3 Deadly]]-INDEX(PartyCompare_0[+3 Deadly], MATCH(PartyCompare_6[[#This Row],[Mob Size]],PartyCompare_6[Mob Size],0)))/INDEX(PartyCompare_0[+3 Deadly], MATCH(PartyCompare_6[[#This Row],[Mob Size]],PartyCompare_6[Mob Size],0))</f>
        <v>0</v>
      </c>
      <c r="BU60" s="48">
        <f>AVERAGE(PartyCompare_6[[#This Row],[+3 Easy Deviation]:[+3 Deadly Deviation]])</f>
        <v>0</v>
      </c>
      <c r="BV60" s="36">
        <f>IF(ISNUMBER(PartyCompare_6[[#This Row],[Level]]), PartyCompare_6[[#This Row],[Level]]+4, PartyCompare_6[[#This Row],[Level]])</f>
        <v>5</v>
      </c>
      <c r="BW60" s="36">
        <f>INDEX(Encounter_Diff[Easy], MATCH(PartyCompare_6[[#This Row],[+4 Level]],Encounter_Diff[Player Level],0))</f>
        <v>250</v>
      </c>
      <c r="BX60" s="36">
        <f>INDEX(Encounter_Diff[Medium], MATCH(PartyCompare_6[[#This Row],[+4 Level]],Encounter_Diff[Player Level],0))</f>
        <v>500</v>
      </c>
      <c r="BY60" s="36">
        <f>INDEX(Encounter_Diff[Hard], MATCH(PartyCompare_6[[#This Row],[+4 Level]],Encounter_Diff[Player Level],0))</f>
        <v>750</v>
      </c>
      <c r="BZ60" s="36">
        <f>INDEX(Encounter_Diff[Deadly], MATCH(PartyCompare_6[[#This Row],[+4 Level]],Encounter_Diff[Player Level],0))</f>
        <v>1100</v>
      </c>
      <c r="CA60" s="63">
        <f>SUM(PartyCompare_6[+4 (Easy)])/INDEX(Encounter_Mod[[Small]:[Large]], MATCH(PartyCompare_6[[#This Row],[Mob Size]], Encounter_Mod[Type], 0), MATCH(PartyCompare_6[[#This Row],[Party Size]],Encounter_Mod[[#Headers],[Small]:[Large]],0))</f>
        <v>500</v>
      </c>
      <c r="CB60" s="38">
        <f>SUM(PartyCompare_6[+4 (Medium)])/INDEX(Encounter_Mod[[Small]:[Large]], MATCH(PartyCompare_6[[#This Row],[Mob Size]], Encounter_Mod[Type], 0), MATCH(PartyCompare_6[[#This Row],[Party Size]],Encounter_Mod[[#Headers],[Small]:[Large]],0))</f>
        <v>1000</v>
      </c>
      <c r="CC60" s="38">
        <f>SUM(PartyCompare_6[+4 (Hard)])/INDEX(Encounter_Mod[[Small]:[Large]], MATCH(PartyCompare_6[[#This Row],[Mob Size]], Encounter_Mod[Type], 0), MATCH(PartyCompare_6[[#This Row],[Party Size]],Encounter_Mod[[#Headers],[Small]:[Large]],0))</f>
        <v>1500</v>
      </c>
      <c r="CD60" s="38">
        <f>SUM(PartyCompare_6[+4 (Deadly)])/INDEX(Encounter_Mod[[Small]:[Large]], MATCH(PartyCompare_6[[#This Row],[Mob Size]], Encounter_Mod[Type], 0), MATCH(PartyCompare_6[[#This Row],[Party Size]],Encounter_Mod[[#Headers],[Small]:[Large]],0))</f>
        <v>2200</v>
      </c>
      <c r="CE60" s="46">
        <f>(PartyCompare_6[[#This Row],[+4 Easy]]-INDEX(PartyCompare_0[+4 Easy], MATCH(PartyCompare_6[[#This Row],[Mob Size]],PartyCompare_6[Mob Size],0)))/INDEX(PartyCompare_0[+4 Easy], MATCH(PartyCompare_6[[#This Row],[Mob Size]],PartyCompare_6[Mob Size],0))</f>
        <v>0</v>
      </c>
      <c r="CF60" s="39">
        <f>(PartyCompare_6[[#This Row],[+4 Medium]]-INDEX(PartyCompare_0[+4 Medium], MATCH(PartyCompare_6[[#This Row],[Mob Size]],PartyCompare_6[Mob Size],0)))/INDEX(PartyCompare_0[+4 Medium], MATCH(PartyCompare_6[[#This Row],[Mob Size]],PartyCompare_6[Mob Size],0))</f>
        <v>0</v>
      </c>
      <c r="CG60" s="39">
        <f>(PartyCompare_6[[#This Row],[+4 Hard]]-INDEX(PartyCompare_0[+4 Hard], MATCH(PartyCompare_6[[#This Row],[Mob Size]],PartyCompare_6[Mob Size],0)))/INDEX(PartyCompare_0[+4 Hard], MATCH(PartyCompare_6[[#This Row],[Mob Size]],PartyCompare_6[Mob Size],0))</f>
        <v>0</v>
      </c>
      <c r="CH60" s="34">
        <f>(PartyCompare_6[[#This Row],[+4 Deadly]]-INDEX(PartyCompare_0[+4 Deadly], MATCH(PartyCompare_6[[#This Row],[Mob Size]],PartyCompare_6[Mob Size],0)))/INDEX(PartyCompare_0[+4 Deadly], MATCH(PartyCompare_6[[#This Row],[Mob Size]],PartyCompare_6[Mob Size],0))</f>
        <v>0</v>
      </c>
      <c r="CI60" s="48">
        <f>AVERAGE(PartyCompare_6[[#This Row],[+4 Easy Deviation]:[+4 Deadly Deviation]])</f>
        <v>0</v>
      </c>
    </row>
    <row r="61" spans="12:87" x14ac:dyDescent="0.2">
      <c r="L61" s="233"/>
      <c r="M61" s="91" t="s">
        <v>151</v>
      </c>
      <c r="N61" s="90">
        <v>1</v>
      </c>
      <c r="O61" s="32">
        <f>INDEX(Encounter_Diff[Easy], MATCH(PartyCompare_6[[#This Row],[Level]],Encounter_Diff[Player Level],0))</f>
        <v>25</v>
      </c>
      <c r="P61" s="32">
        <f>INDEX(Encounter_Diff[Medium], MATCH(PartyCompare_6[[#This Row],[Level]],Encounter_Diff[Player Level],0))</f>
        <v>50</v>
      </c>
      <c r="Q61" s="32">
        <f>INDEX(Encounter_Diff[Hard], MATCH(PartyCompare_6[[#This Row],[Level]],Encounter_Diff[Player Level],0))</f>
        <v>75</v>
      </c>
      <c r="R61" s="30">
        <f>INDEX(Encounter_Diff[Deadly], MATCH(PartyCompare_6[[#This Row],[Level]],Encounter_Diff[Player Level],0))</f>
        <v>100</v>
      </c>
      <c r="S61" s="97" t="str">
        <f t="shared" si="6"/>
        <v>1, 1, 1, 1</v>
      </c>
      <c r="T61" s="32" t="str">
        <f>IF(COUNT(PartyCompare_6[Level])&lt;=2,"Small", IF(COUNT(PartyCompare_6[Level])&lt;=5,"Med", IF(COUNT(PartyCompare_6[Level])&lt;=8, "Large", "TOO BIG!")))</f>
        <v>Med</v>
      </c>
      <c r="U61" s="73" t="s">
        <v>110</v>
      </c>
      <c r="V61" s="77" t="str">
        <f>INDEX(Encounter_Mod[Count], MATCH(PartyCompare_6[[#This Row],[Mob Size]], Encounter_Mod[Type],0))</f>
        <v>7-10</v>
      </c>
      <c r="W61" s="81">
        <f>SUM(PartyCompare_6[(Easy)])/INDEX(Encounter_Mod[[Small]:[Large]], MATCH(PartyCompare_6[[#This Row],[Mob Size]], Encounter_Mod[Type], 0), MATCH(PartyCompare_6[[#This Row],[Party Size]],Encounter_Mod[[#Headers],[Small]:[Large]],0))</f>
        <v>40</v>
      </c>
      <c r="X61" s="42">
        <f>SUM(PartyCompare_6[(Medium)])/INDEX(Encounter_Mod[[Small]:[Large]], MATCH(PartyCompare_6[[#This Row],[Mob Size]], Encounter_Mod[Type], 0), MATCH(PartyCompare_6[[#This Row],[Party Size]],Encounter_Mod[[#Headers],[Small]:[Large]],0))</f>
        <v>80</v>
      </c>
      <c r="Y61" s="42">
        <f>SUM(PartyCompare_6[(Hard)])/INDEX(Encounter_Mod[[Small]:[Large]], MATCH(PartyCompare_6[[#This Row],[Mob Size]], Encounter_Mod[Type], 0), MATCH(PartyCompare_6[[#This Row],[Party Size]],Encounter_Mod[[#Headers],[Small]:[Large]],0))</f>
        <v>120</v>
      </c>
      <c r="Z61" s="43">
        <f>SUM(PartyCompare_6[(Deadly)])/INDEX(Encounter_Mod[[Small]:[Large]], MATCH(PartyCompare_6[[#This Row],[Mob Size]], Encounter_Mod[Type], 0), MATCH(PartyCompare_6[[#This Row],[Party Size]],Encounter_Mod[[#Headers],[Small]:[Large]],0))</f>
        <v>160</v>
      </c>
      <c r="AA61" s="46">
        <f>(PartyCompare_6[[#This Row],[Easy]]-INDEX(PartyCompare_0[Easy], MATCH(PartyCompare_6[[#This Row],[Mob Size]],PartyCompare_0[Mob Size],0)))/INDEX(PartyCompare_0[Easy], MATCH(PartyCompare_6[[#This Row],[Mob Size]],PartyCompare_0[Mob Size],0))</f>
        <v>0</v>
      </c>
      <c r="AB61" s="33">
        <f>(PartyCompare_6[[#This Row],[Medium]]-INDEX(PartyCompare_0[Medium], MATCH(PartyCompare_6[[#This Row],[Mob Size]],PartyCompare_0[Mob Size],0)))/INDEX(PartyCompare_0[Medium], MATCH(PartyCompare_6[[#This Row],[Mob Size]],PartyCompare_0[Mob Size],0))</f>
        <v>0</v>
      </c>
      <c r="AC61" s="33">
        <f>(PartyCompare_6[[#This Row],[Hard]]-INDEX(PartyCompare_0[Hard], MATCH(PartyCompare_6[[#This Row],[Mob Size]],PartyCompare_0[Mob Size],0)))/INDEX(PartyCompare_0[Hard], MATCH(PartyCompare_6[[#This Row],[Mob Size]],PartyCompare_0[Mob Size],0))</f>
        <v>0</v>
      </c>
      <c r="AD61" s="34">
        <f>(PartyCompare_6[[#This Row],[Deadly]]-INDEX(PartyCompare_0[Deadly], MATCH(PartyCompare_6[[#This Row],[Mob Size]],PartyCompare_0[Mob Size],0)))/INDEX(PartyCompare_0[Deadly], MATCH(PartyCompare_6[[#This Row],[Mob Size]],PartyCompare_0[Mob Size],0))</f>
        <v>0</v>
      </c>
      <c r="AE61" s="48">
        <f>AVERAGE(PartyCompare_6[[#This Row],[Easy Deviation]:[Deadly Deviation]])</f>
        <v>0</v>
      </c>
      <c r="AF61" s="36">
        <f>IF(ISNUMBER(PartyCompare_6[[#This Row],[Level]]), PartyCompare_6[[#This Row],[Level]]+1, PartyCompare_6[[#This Row],[Level]])</f>
        <v>2</v>
      </c>
      <c r="AG61" s="36">
        <f>INDEX(Encounter_Diff[Easy], MATCH(PartyCompare_6[[#This Row],[+1 Level]],Encounter_Diff[Player Level],0))</f>
        <v>50</v>
      </c>
      <c r="AH61" s="36">
        <f>INDEX(Encounter_Diff[Medium], MATCH(PartyCompare_6[[#This Row],[+1 Level]],Encounter_Diff[Player Level],0))</f>
        <v>100</v>
      </c>
      <c r="AI61" s="36">
        <f>INDEX(Encounter_Diff[Hard], MATCH(PartyCompare_6[[#This Row],[+1 Level]],Encounter_Diff[Player Level],0))</f>
        <v>150</v>
      </c>
      <c r="AJ61" s="36">
        <f>INDEX(Encounter_Diff[Deadly], MATCH(PartyCompare_6[[#This Row],[+1 Level]],Encounter_Diff[Player Level],0))</f>
        <v>200</v>
      </c>
      <c r="AK61" s="63">
        <f>SUM(PartyCompare_6[+1 (Easy)])/INDEX(Encounter_Mod[[Small]:[Large]], MATCH(PartyCompare_6[[#This Row],[Mob Size]], Encounter_Mod[Type], 0), MATCH(PartyCompare_6[[#This Row],[Party Size]],Encounter_Mod[[#Headers],[Small]:[Large]],0))</f>
        <v>80</v>
      </c>
      <c r="AL61" s="38">
        <f>SUM(PartyCompare_6[+1 (Medium)])/INDEX(Encounter_Mod[[Small]:[Large]], MATCH(PartyCompare_6[[#This Row],[Mob Size]], Encounter_Mod[Type], 0), MATCH(PartyCompare_6[[#This Row],[Party Size]],Encounter_Mod[[#Headers],[Small]:[Large]],0))</f>
        <v>160</v>
      </c>
      <c r="AM61" s="38">
        <f>SUM(PartyCompare_6[+1 (Hard)])/INDEX(Encounter_Mod[[Small]:[Large]], MATCH(PartyCompare_6[[#This Row],[Mob Size]], Encounter_Mod[Type], 0), MATCH(PartyCompare_6[[#This Row],[Party Size]],Encounter_Mod[[#Headers],[Small]:[Large]],0))</f>
        <v>240</v>
      </c>
      <c r="AN61" s="38">
        <f>SUM(PartyCompare_6[+1 (Deadly)])/INDEX(Encounter_Mod[[Small]:[Large]], MATCH(PartyCompare_6[[#This Row],[Mob Size]], Encounter_Mod[Type], 0), MATCH(PartyCompare_6[[#This Row],[Party Size]],Encounter_Mod[[#Headers],[Small]:[Large]],0))</f>
        <v>320</v>
      </c>
      <c r="AO61" s="46">
        <f>(PartyCompare_6[[#This Row],[+1 Easy]]-INDEX(PartyCompare_0[+1 Easy], MATCH(PartyCompare_6[[#This Row],[Mob Size]],PartyCompare_6[Mob Size],0)))/INDEX(PartyCompare_0[+1 Easy], MATCH(PartyCompare_6[[#This Row],[Mob Size]],PartyCompare_6[Mob Size],0))</f>
        <v>0</v>
      </c>
      <c r="AP61" s="39">
        <f>(PartyCompare_6[[#This Row],[+1 Medium]]-INDEX(PartyCompare_0[+1 Medium], MATCH(PartyCompare_6[[#This Row],[Mob Size]],PartyCompare_6[Mob Size],0)))/INDEX(PartyCompare_0[+1 Medium], MATCH(PartyCompare_6[[#This Row],[Mob Size]],PartyCompare_6[Mob Size],0))</f>
        <v>0</v>
      </c>
      <c r="AQ61" s="39">
        <f>(PartyCompare_6[[#This Row],[+1 Hard]]-INDEX(PartyCompare_0[+1 Hard], MATCH(PartyCompare_6[[#This Row],[Mob Size]],PartyCompare_6[Mob Size],0)))/INDEX(PartyCompare_0[+1 Hard], MATCH(PartyCompare_6[[#This Row],[Mob Size]],PartyCompare_6[Mob Size],0))</f>
        <v>0</v>
      </c>
      <c r="AR61" s="34">
        <f>(PartyCompare_6[[#This Row],[+1 Deadly]]-INDEX(PartyCompare_0[+1 Deadly], MATCH(PartyCompare_6[[#This Row],[Mob Size]],PartyCompare_6[Mob Size],0)))/INDEX(PartyCompare_0[+1 Deadly], MATCH(PartyCompare_6[[#This Row],[Mob Size]],PartyCompare_6[Mob Size],0))</f>
        <v>0</v>
      </c>
      <c r="AS61" s="48">
        <f>AVERAGE(PartyCompare_6[[#This Row],[+1 Easy Deviation]:[+1 Deadly Deviation]])</f>
        <v>0</v>
      </c>
      <c r="AT61" s="36">
        <f>IF(ISNUMBER(PartyCompare_6[[#This Row],[Level]]), PartyCompare_6[[#This Row],[Level]]+2, PartyCompare_6[[#This Row],[Level]])</f>
        <v>3</v>
      </c>
      <c r="AU61" s="36">
        <f>INDEX(Encounter_Diff[Easy], MATCH(PartyCompare_6[[#This Row],[+2 Level]],Encounter_Diff[Player Level],0))</f>
        <v>75</v>
      </c>
      <c r="AV61" s="36">
        <f>INDEX(Encounter_Diff[Medium], MATCH(PartyCompare_6[[#This Row],[+2 Level]],Encounter_Diff[Player Level],0))</f>
        <v>150</v>
      </c>
      <c r="AW61" s="36">
        <f>INDEX(Encounter_Diff[Hard], MATCH(PartyCompare_6[[#This Row],[+2 Level]],Encounter_Diff[Player Level],0))</f>
        <v>225</v>
      </c>
      <c r="AX61" s="36">
        <f>INDEX(Encounter_Diff[Deadly], MATCH(PartyCompare_6[[#This Row],[+2 Level]],Encounter_Diff[Player Level],0))</f>
        <v>400</v>
      </c>
      <c r="AY61" s="63">
        <f>SUM(PartyCompare_6[+2 (Easy)])/INDEX(Encounter_Mod[[Small]:[Large]], MATCH(PartyCompare_6[[#This Row],[Mob Size]], Encounter_Mod[Type], 0), MATCH(PartyCompare_6[[#This Row],[Party Size]],Encounter_Mod[[#Headers],[Small]:[Large]],0))</f>
        <v>120</v>
      </c>
      <c r="AZ61" s="38">
        <f>SUM(PartyCompare_6[+2 (Medium)])/INDEX(Encounter_Mod[[Small]:[Large]], MATCH(PartyCompare_6[[#This Row],[Mob Size]], Encounter_Mod[Type], 0), MATCH(PartyCompare_6[[#This Row],[Party Size]],Encounter_Mod[[#Headers],[Small]:[Large]],0))</f>
        <v>240</v>
      </c>
      <c r="BA61" s="38">
        <f>SUM(PartyCompare_6[+2 (Hard)])/INDEX(Encounter_Mod[[Small]:[Large]], MATCH(PartyCompare_6[[#This Row],[Mob Size]], Encounter_Mod[Type], 0), MATCH(PartyCompare_6[[#This Row],[Party Size]],Encounter_Mod[[#Headers],[Small]:[Large]],0))</f>
        <v>360</v>
      </c>
      <c r="BB61" s="38">
        <f>SUM(PartyCompare_6[+2 (Deadly)])/INDEX(Encounter_Mod[[Small]:[Large]], MATCH(PartyCompare_6[[#This Row],[Mob Size]], Encounter_Mod[Type], 0), MATCH(PartyCompare_6[[#This Row],[Party Size]],Encounter_Mod[[#Headers],[Small]:[Large]],0))</f>
        <v>640</v>
      </c>
      <c r="BC61" s="46">
        <f>(PartyCompare_6[[#This Row],[+2 Easy]]-INDEX(PartyCompare_0[+2 Easy], MATCH(PartyCompare_6[[#This Row],[Mob Size]],PartyCompare_6[Mob Size],0)))/INDEX(PartyCompare_0[+2 Easy], MATCH(PartyCompare_6[[#This Row],[Mob Size]],PartyCompare_6[Mob Size],0))</f>
        <v>0</v>
      </c>
      <c r="BD61" s="39">
        <f>(PartyCompare_6[[#This Row],[+2 Medium]]-INDEX(PartyCompare_0[+2 Medium], MATCH(PartyCompare_6[[#This Row],[Mob Size]],PartyCompare_6[Mob Size],0)))/INDEX(PartyCompare_0[+2 Medium], MATCH(PartyCompare_6[[#This Row],[Mob Size]],PartyCompare_6[Mob Size],0))</f>
        <v>0</v>
      </c>
      <c r="BE61" s="39">
        <f>(PartyCompare_6[[#This Row],[+2 Hard]]-INDEX(PartyCompare_0[+2 Hard], MATCH(PartyCompare_6[[#This Row],[Mob Size]],PartyCompare_6[Mob Size],0)))/INDEX(PartyCompare_0[+2 Hard], MATCH(PartyCompare_6[[#This Row],[Mob Size]],PartyCompare_6[Mob Size],0))</f>
        <v>0</v>
      </c>
      <c r="BF61" s="34">
        <f>(PartyCompare_6[[#This Row],[+2 Deadly]]-INDEX(PartyCompare_0[+2 Deadly], MATCH(PartyCompare_6[[#This Row],[Mob Size]],PartyCompare_6[Mob Size],0)))/INDEX(PartyCompare_0[+2 Deadly], MATCH(PartyCompare_6[[#This Row],[Mob Size]],PartyCompare_6[Mob Size],0))</f>
        <v>0</v>
      </c>
      <c r="BG61" s="48">
        <f>AVERAGE(PartyCompare_6[[#This Row],[+2 Easy Deviation]:[+2 Deadly Deviation]])</f>
        <v>0</v>
      </c>
      <c r="BH61" s="36">
        <f>IF(ISNUMBER(PartyCompare_6[[#This Row],[Level]]), PartyCompare_6[[#This Row],[Level]]+3, PartyCompare_6[[#This Row],[Level]])</f>
        <v>4</v>
      </c>
      <c r="BI61" s="36">
        <f>INDEX(Encounter_Diff[Easy], MATCH(PartyCompare_6[[#This Row],[+3 Level]],Encounter_Diff[Player Level],0))</f>
        <v>125</v>
      </c>
      <c r="BJ61" s="36">
        <f>INDEX(Encounter_Diff[Medium], MATCH(PartyCompare_6[[#This Row],[+3 Level]],Encounter_Diff[Player Level],0))</f>
        <v>250</v>
      </c>
      <c r="BK61" s="36">
        <f>INDEX(Encounter_Diff[Hard], MATCH(PartyCompare_6[[#This Row],[+3 Level]],Encounter_Diff[Player Level],0))</f>
        <v>375</v>
      </c>
      <c r="BL61" s="36">
        <f>INDEX(Encounter_Diff[Deadly], MATCH(PartyCompare_6[[#This Row],[+3 Level]],Encounter_Diff[Player Level],0))</f>
        <v>500</v>
      </c>
      <c r="BM61" s="63">
        <f>SUM(PartyCompare_6[+3 (Easy)])/INDEX(Encounter_Mod[[Small]:[Large]], MATCH(PartyCompare_6[[#This Row],[Mob Size]], Encounter_Mod[Type], 0), MATCH(PartyCompare_6[[#This Row],[Party Size]],Encounter_Mod[[#Headers],[Small]:[Large]],0))</f>
        <v>200</v>
      </c>
      <c r="BN61" s="38">
        <f>SUM(PartyCompare_6[+3 (Medium)])/INDEX(Encounter_Mod[[Small]:[Large]], MATCH(PartyCompare_6[[#This Row],[Mob Size]], Encounter_Mod[Type], 0), MATCH(PartyCompare_6[[#This Row],[Party Size]],Encounter_Mod[[#Headers],[Small]:[Large]],0))</f>
        <v>400</v>
      </c>
      <c r="BO61" s="38">
        <f>SUM(PartyCompare_6[+3 (Hard)])/INDEX(Encounter_Mod[[Small]:[Large]], MATCH(PartyCompare_6[[#This Row],[Mob Size]], Encounter_Mod[Type], 0), MATCH(PartyCompare_6[[#This Row],[Party Size]],Encounter_Mod[[#Headers],[Small]:[Large]],0))</f>
        <v>600</v>
      </c>
      <c r="BP61" s="38">
        <f>SUM(PartyCompare_6[+3 (Deadly)])/INDEX(Encounter_Mod[[Small]:[Large]], MATCH(PartyCompare_6[[#This Row],[Mob Size]], Encounter_Mod[Type], 0), MATCH(PartyCompare_6[[#This Row],[Party Size]],Encounter_Mod[[#Headers],[Small]:[Large]],0))</f>
        <v>800</v>
      </c>
      <c r="BQ61" s="46">
        <f>(PartyCompare_6[[#This Row],[+3 Easy]]-INDEX(PartyCompare_0[+3 Easy], MATCH(PartyCompare_6[[#This Row],[Mob Size]],PartyCompare_6[Mob Size],0)))/INDEX(PartyCompare_0[+3 Easy], MATCH(PartyCompare_6[[#This Row],[Mob Size]],PartyCompare_6[Mob Size],0))</f>
        <v>0</v>
      </c>
      <c r="BR61" s="39">
        <f>(PartyCompare_6[[#This Row],[+3 Medium]]-INDEX(PartyCompare_0[+3 Medium], MATCH(PartyCompare_6[[#This Row],[Mob Size]],PartyCompare_6[Mob Size],0)))/INDEX(PartyCompare_0[+3 Medium], MATCH(PartyCompare_6[[#This Row],[Mob Size]],PartyCompare_6[Mob Size],0))</f>
        <v>0</v>
      </c>
      <c r="BS61" s="39">
        <f>(PartyCompare_6[[#This Row],[+3 Hard]]-INDEX(PartyCompare_0[+3 Hard], MATCH(PartyCompare_6[[#This Row],[Mob Size]],PartyCompare_6[Mob Size],0)))/INDEX(PartyCompare_0[+3 Hard], MATCH(PartyCompare_6[[#This Row],[Mob Size]],PartyCompare_6[Mob Size],0))</f>
        <v>0</v>
      </c>
      <c r="BT61" s="34">
        <f>(PartyCompare_6[[#This Row],[+3 Deadly]]-INDEX(PartyCompare_0[+3 Deadly], MATCH(PartyCompare_6[[#This Row],[Mob Size]],PartyCompare_6[Mob Size],0)))/INDEX(PartyCompare_0[+3 Deadly], MATCH(PartyCompare_6[[#This Row],[Mob Size]],PartyCompare_6[Mob Size],0))</f>
        <v>0</v>
      </c>
      <c r="BU61" s="48">
        <f>AVERAGE(PartyCompare_6[[#This Row],[+3 Easy Deviation]:[+3 Deadly Deviation]])</f>
        <v>0</v>
      </c>
      <c r="BV61" s="36">
        <f>IF(ISNUMBER(PartyCompare_6[[#This Row],[Level]]), PartyCompare_6[[#This Row],[Level]]+4, PartyCompare_6[[#This Row],[Level]])</f>
        <v>5</v>
      </c>
      <c r="BW61" s="36">
        <f>INDEX(Encounter_Diff[Easy], MATCH(PartyCompare_6[[#This Row],[+4 Level]],Encounter_Diff[Player Level],0))</f>
        <v>250</v>
      </c>
      <c r="BX61" s="36">
        <f>INDEX(Encounter_Diff[Medium], MATCH(PartyCompare_6[[#This Row],[+4 Level]],Encounter_Diff[Player Level],0))</f>
        <v>500</v>
      </c>
      <c r="BY61" s="36">
        <f>INDEX(Encounter_Diff[Hard], MATCH(PartyCompare_6[[#This Row],[+4 Level]],Encounter_Diff[Player Level],0))</f>
        <v>750</v>
      </c>
      <c r="BZ61" s="36">
        <f>INDEX(Encounter_Diff[Deadly], MATCH(PartyCompare_6[[#This Row],[+4 Level]],Encounter_Diff[Player Level],0))</f>
        <v>1100</v>
      </c>
      <c r="CA61" s="63">
        <f>SUM(PartyCompare_6[+4 (Easy)])/INDEX(Encounter_Mod[[Small]:[Large]], MATCH(PartyCompare_6[[#This Row],[Mob Size]], Encounter_Mod[Type], 0), MATCH(PartyCompare_6[[#This Row],[Party Size]],Encounter_Mod[[#Headers],[Small]:[Large]],0))</f>
        <v>400</v>
      </c>
      <c r="CB61" s="38">
        <f>SUM(PartyCompare_6[+4 (Medium)])/INDEX(Encounter_Mod[[Small]:[Large]], MATCH(PartyCompare_6[[#This Row],[Mob Size]], Encounter_Mod[Type], 0), MATCH(PartyCompare_6[[#This Row],[Party Size]],Encounter_Mod[[#Headers],[Small]:[Large]],0))</f>
        <v>800</v>
      </c>
      <c r="CC61" s="38">
        <f>SUM(PartyCompare_6[+4 (Hard)])/INDEX(Encounter_Mod[[Small]:[Large]], MATCH(PartyCompare_6[[#This Row],[Mob Size]], Encounter_Mod[Type], 0), MATCH(PartyCompare_6[[#This Row],[Party Size]],Encounter_Mod[[#Headers],[Small]:[Large]],0))</f>
        <v>1200</v>
      </c>
      <c r="CD61" s="38">
        <f>SUM(PartyCompare_6[+4 (Deadly)])/INDEX(Encounter_Mod[[Small]:[Large]], MATCH(PartyCompare_6[[#This Row],[Mob Size]], Encounter_Mod[Type], 0), MATCH(PartyCompare_6[[#This Row],[Party Size]],Encounter_Mod[[#Headers],[Small]:[Large]],0))</f>
        <v>1760</v>
      </c>
      <c r="CE61" s="46">
        <f>(PartyCompare_6[[#This Row],[+4 Easy]]-INDEX(PartyCompare_0[+4 Easy], MATCH(PartyCompare_6[[#This Row],[Mob Size]],PartyCompare_6[Mob Size],0)))/INDEX(PartyCompare_0[+4 Easy], MATCH(PartyCompare_6[[#This Row],[Mob Size]],PartyCompare_6[Mob Size],0))</f>
        <v>0</v>
      </c>
      <c r="CF61" s="39">
        <f>(PartyCompare_6[[#This Row],[+4 Medium]]-INDEX(PartyCompare_0[+4 Medium], MATCH(PartyCompare_6[[#This Row],[Mob Size]],PartyCompare_6[Mob Size],0)))/INDEX(PartyCompare_0[+4 Medium], MATCH(PartyCompare_6[[#This Row],[Mob Size]],PartyCompare_6[Mob Size],0))</f>
        <v>0</v>
      </c>
      <c r="CG61" s="39">
        <f>(PartyCompare_6[[#This Row],[+4 Hard]]-INDEX(PartyCompare_0[+4 Hard], MATCH(PartyCompare_6[[#This Row],[Mob Size]],PartyCompare_6[Mob Size],0)))/INDEX(PartyCompare_0[+4 Hard], MATCH(PartyCompare_6[[#This Row],[Mob Size]],PartyCompare_6[Mob Size],0))</f>
        <v>0</v>
      </c>
      <c r="CH61" s="34">
        <f>(PartyCompare_6[[#This Row],[+4 Deadly]]-INDEX(PartyCompare_0[+4 Deadly], MATCH(PartyCompare_6[[#This Row],[Mob Size]],PartyCompare_6[Mob Size],0)))/INDEX(PartyCompare_0[+4 Deadly], MATCH(PartyCompare_6[[#This Row],[Mob Size]],PartyCompare_6[Mob Size],0))</f>
        <v>0</v>
      </c>
      <c r="CI61" s="48">
        <f>AVERAGE(PartyCompare_6[[#This Row],[+4 Easy Deviation]:[+4 Deadly Deviation]])</f>
        <v>0</v>
      </c>
    </row>
    <row r="62" spans="12:87" x14ac:dyDescent="0.2">
      <c r="L62" s="233"/>
      <c r="M62" s="91"/>
      <c r="N62" s="90"/>
      <c r="O62" s="32">
        <f>INDEX(Encounter_Diff[Easy], MATCH(PartyCompare_6[[#This Row],[Level]],Encounter_Diff[Player Level],0))</f>
        <v>0</v>
      </c>
      <c r="P62" s="32">
        <f>INDEX(Encounter_Diff[Medium], MATCH(PartyCompare_6[[#This Row],[Level]],Encounter_Diff[Player Level],0))</f>
        <v>0</v>
      </c>
      <c r="Q62" s="32">
        <f>INDEX(Encounter_Diff[Hard], MATCH(PartyCompare_6[[#This Row],[Level]],Encounter_Diff[Player Level],0))</f>
        <v>0</v>
      </c>
      <c r="R62" s="30">
        <f>INDEX(Encounter_Diff[Deadly], MATCH(PartyCompare_6[[#This Row],[Level]],Encounter_Diff[Player Level],0))</f>
        <v>0</v>
      </c>
      <c r="S62" s="97" t="str">
        <f t="shared" si="6"/>
        <v>1, 1, 1, 1</v>
      </c>
      <c r="T62" s="32" t="str">
        <f>IF(COUNT(PartyCompare_6[Level])&lt;=2,"Small", IF(COUNT(PartyCompare_6[Level])&lt;=5,"Med", IF(COUNT(PartyCompare_6[Level])&lt;=8, "Large", "TOO BIG!")))</f>
        <v>Med</v>
      </c>
      <c r="U62" s="73" t="s">
        <v>111</v>
      </c>
      <c r="V62" s="77" t="str">
        <f>INDEX(Encounter_Mod[Count], MATCH(PartyCompare_6[[#This Row],[Mob Size]], Encounter_Mod[Type],0))</f>
        <v>11-14</v>
      </c>
      <c r="W62" s="81">
        <f>SUM(PartyCompare_6[(Easy)])/INDEX(Encounter_Mod[[Small]:[Large]], MATCH(PartyCompare_6[[#This Row],[Mob Size]], Encounter_Mod[Type], 0), MATCH(PartyCompare_6[[#This Row],[Party Size]],Encounter_Mod[[#Headers],[Small]:[Large]],0))</f>
        <v>33.333333333333336</v>
      </c>
      <c r="X62" s="42">
        <f>SUM(PartyCompare_6[(Medium)])/INDEX(Encounter_Mod[[Small]:[Large]], MATCH(PartyCompare_6[[#This Row],[Mob Size]], Encounter_Mod[Type], 0), MATCH(PartyCompare_6[[#This Row],[Party Size]],Encounter_Mod[[#Headers],[Small]:[Large]],0))</f>
        <v>66.666666666666671</v>
      </c>
      <c r="Y62" s="42">
        <f>SUM(PartyCompare_6[(Hard)])/INDEX(Encounter_Mod[[Small]:[Large]], MATCH(PartyCompare_6[[#This Row],[Mob Size]], Encounter_Mod[Type], 0), MATCH(PartyCompare_6[[#This Row],[Party Size]],Encounter_Mod[[#Headers],[Small]:[Large]],0))</f>
        <v>100</v>
      </c>
      <c r="Z62" s="43">
        <f>SUM(PartyCompare_6[(Deadly)])/INDEX(Encounter_Mod[[Small]:[Large]], MATCH(PartyCompare_6[[#This Row],[Mob Size]], Encounter_Mod[Type], 0), MATCH(PartyCompare_6[[#This Row],[Party Size]],Encounter_Mod[[#Headers],[Small]:[Large]],0))</f>
        <v>133.33333333333334</v>
      </c>
      <c r="AA62" s="46">
        <f>(PartyCompare_6[[#This Row],[Easy]]-INDEX(PartyCompare_0[Easy], MATCH(PartyCompare_6[[#This Row],[Mob Size]],PartyCompare_0[Mob Size],0)))/INDEX(PartyCompare_0[Easy], MATCH(PartyCompare_6[[#This Row],[Mob Size]],PartyCompare_0[Mob Size],0))</f>
        <v>0</v>
      </c>
      <c r="AB62" s="33">
        <f>(PartyCompare_6[[#This Row],[Medium]]-INDEX(PartyCompare_0[Medium], MATCH(PartyCompare_6[[#This Row],[Mob Size]],PartyCompare_0[Mob Size],0)))/INDEX(PartyCompare_0[Medium], MATCH(PartyCompare_6[[#This Row],[Mob Size]],PartyCompare_0[Mob Size],0))</f>
        <v>0</v>
      </c>
      <c r="AC62" s="33">
        <f>(PartyCompare_6[[#This Row],[Hard]]-INDEX(PartyCompare_0[Hard], MATCH(PartyCompare_6[[#This Row],[Mob Size]],PartyCompare_0[Mob Size],0)))/INDEX(PartyCompare_0[Hard], MATCH(PartyCompare_6[[#This Row],[Mob Size]],PartyCompare_0[Mob Size],0))</f>
        <v>0</v>
      </c>
      <c r="AD62" s="34">
        <f>(PartyCompare_6[[#This Row],[Deadly]]-INDEX(PartyCompare_0[Deadly], MATCH(PartyCompare_6[[#This Row],[Mob Size]],PartyCompare_0[Mob Size],0)))/INDEX(PartyCompare_0[Deadly], MATCH(PartyCompare_6[[#This Row],[Mob Size]],PartyCompare_0[Mob Size],0))</f>
        <v>0</v>
      </c>
      <c r="AE62" s="48">
        <f>AVERAGE(PartyCompare_6[[#This Row],[Easy Deviation]:[Deadly Deviation]])</f>
        <v>0</v>
      </c>
      <c r="AF62" s="36">
        <f>IF(ISNUMBER(PartyCompare_6[[#This Row],[Level]]), PartyCompare_6[[#This Row],[Level]]+1, PartyCompare_6[[#This Row],[Level]])</f>
        <v>0</v>
      </c>
      <c r="AG62" s="36">
        <f>INDEX(Encounter_Diff[Easy], MATCH(PartyCompare_6[[#This Row],[+1 Level]],Encounter_Diff[Player Level],0))</f>
        <v>0</v>
      </c>
      <c r="AH62" s="36">
        <f>INDEX(Encounter_Diff[Medium], MATCH(PartyCompare_6[[#This Row],[+1 Level]],Encounter_Diff[Player Level],0))</f>
        <v>0</v>
      </c>
      <c r="AI62" s="36">
        <f>INDEX(Encounter_Diff[Hard], MATCH(PartyCompare_6[[#This Row],[+1 Level]],Encounter_Diff[Player Level],0))</f>
        <v>0</v>
      </c>
      <c r="AJ62" s="36">
        <f>INDEX(Encounter_Diff[Deadly], MATCH(PartyCompare_6[[#This Row],[+1 Level]],Encounter_Diff[Player Level],0))</f>
        <v>0</v>
      </c>
      <c r="AK62" s="63">
        <f>SUM(PartyCompare_6[+1 (Easy)])/INDEX(Encounter_Mod[[Small]:[Large]], MATCH(PartyCompare_6[[#This Row],[Mob Size]], Encounter_Mod[Type], 0), MATCH(PartyCompare_6[[#This Row],[Party Size]],Encounter_Mod[[#Headers],[Small]:[Large]],0))</f>
        <v>66.666666666666671</v>
      </c>
      <c r="AL62" s="38">
        <f>SUM(PartyCompare_6[+1 (Medium)])/INDEX(Encounter_Mod[[Small]:[Large]], MATCH(PartyCompare_6[[#This Row],[Mob Size]], Encounter_Mod[Type], 0), MATCH(PartyCompare_6[[#This Row],[Party Size]],Encounter_Mod[[#Headers],[Small]:[Large]],0))</f>
        <v>133.33333333333334</v>
      </c>
      <c r="AM62" s="38">
        <f>SUM(PartyCompare_6[+1 (Hard)])/INDEX(Encounter_Mod[[Small]:[Large]], MATCH(PartyCompare_6[[#This Row],[Mob Size]], Encounter_Mod[Type], 0), MATCH(PartyCompare_6[[#This Row],[Party Size]],Encounter_Mod[[#Headers],[Small]:[Large]],0))</f>
        <v>200</v>
      </c>
      <c r="AN62" s="38">
        <f>SUM(PartyCompare_6[+1 (Deadly)])/INDEX(Encounter_Mod[[Small]:[Large]], MATCH(PartyCompare_6[[#This Row],[Mob Size]], Encounter_Mod[Type], 0), MATCH(PartyCompare_6[[#This Row],[Party Size]],Encounter_Mod[[#Headers],[Small]:[Large]],0))</f>
        <v>266.66666666666669</v>
      </c>
      <c r="AO62" s="46">
        <f>(PartyCompare_6[[#This Row],[+1 Easy]]-INDEX(PartyCompare_0[+1 Easy], MATCH(PartyCompare_6[[#This Row],[Mob Size]],PartyCompare_6[Mob Size],0)))/INDEX(PartyCompare_0[+1 Easy], MATCH(PartyCompare_6[[#This Row],[Mob Size]],PartyCompare_6[Mob Size],0))</f>
        <v>0</v>
      </c>
      <c r="AP62" s="39">
        <f>(PartyCompare_6[[#This Row],[+1 Medium]]-INDEX(PartyCompare_0[+1 Medium], MATCH(PartyCompare_6[[#This Row],[Mob Size]],PartyCompare_6[Mob Size],0)))/INDEX(PartyCompare_0[+1 Medium], MATCH(PartyCompare_6[[#This Row],[Mob Size]],PartyCompare_6[Mob Size],0))</f>
        <v>0</v>
      </c>
      <c r="AQ62" s="39">
        <f>(PartyCompare_6[[#This Row],[+1 Hard]]-INDEX(PartyCompare_0[+1 Hard], MATCH(PartyCompare_6[[#This Row],[Mob Size]],PartyCompare_6[Mob Size],0)))/INDEX(PartyCompare_0[+1 Hard], MATCH(PartyCompare_6[[#This Row],[Mob Size]],PartyCompare_6[Mob Size],0))</f>
        <v>0</v>
      </c>
      <c r="AR62" s="34">
        <f>(PartyCompare_6[[#This Row],[+1 Deadly]]-INDEX(PartyCompare_0[+1 Deadly], MATCH(PartyCompare_6[[#This Row],[Mob Size]],PartyCompare_6[Mob Size],0)))/INDEX(PartyCompare_0[+1 Deadly], MATCH(PartyCompare_6[[#This Row],[Mob Size]],PartyCompare_6[Mob Size],0))</f>
        <v>0</v>
      </c>
      <c r="AS62" s="48">
        <f>AVERAGE(PartyCompare_6[[#This Row],[+1 Easy Deviation]:[+1 Deadly Deviation]])</f>
        <v>0</v>
      </c>
      <c r="AT62" s="36">
        <f>IF(ISNUMBER(PartyCompare_6[[#This Row],[Level]]), PartyCompare_6[[#This Row],[Level]]+2, PartyCompare_6[[#This Row],[Level]])</f>
        <v>0</v>
      </c>
      <c r="AU62" s="36">
        <f>INDEX(Encounter_Diff[Easy], MATCH(PartyCompare_6[[#This Row],[+2 Level]],Encounter_Diff[Player Level],0))</f>
        <v>0</v>
      </c>
      <c r="AV62" s="36">
        <f>INDEX(Encounter_Diff[Medium], MATCH(PartyCompare_6[[#This Row],[+2 Level]],Encounter_Diff[Player Level],0))</f>
        <v>0</v>
      </c>
      <c r="AW62" s="36">
        <f>INDEX(Encounter_Diff[Hard], MATCH(PartyCompare_6[[#This Row],[+2 Level]],Encounter_Diff[Player Level],0))</f>
        <v>0</v>
      </c>
      <c r="AX62" s="36">
        <f>INDEX(Encounter_Diff[Deadly], MATCH(PartyCompare_6[[#This Row],[+2 Level]],Encounter_Diff[Player Level],0))</f>
        <v>0</v>
      </c>
      <c r="AY62" s="63">
        <f>SUM(PartyCompare_6[+2 (Easy)])/INDEX(Encounter_Mod[[Small]:[Large]], MATCH(PartyCompare_6[[#This Row],[Mob Size]], Encounter_Mod[Type], 0), MATCH(PartyCompare_6[[#This Row],[Party Size]],Encounter_Mod[[#Headers],[Small]:[Large]],0))</f>
        <v>100</v>
      </c>
      <c r="AZ62" s="38">
        <f>SUM(PartyCompare_6[+2 (Medium)])/INDEX(Encounter_Mod[[Small]:[Large]], MATCH(PartyCompare_6[[#This Row],[Mob Size]], Encounter_Mod[Type], 0), MATCH(PartyCompare_6[[#This Row],[Party Size]],Encounter_Mod[[#Headers],[Small]:[Large]],0))</f>
        <v>200</v>
      </c>
      <c r="BA62" s="38">
        <f>SUM(PartyCompare_6[+2 (Hard)])/INDEX(Encounter_Mod[[Small]:[Large]], MATCH(PartyCompare_6[[#This Row],[Mob Size]], Encounter_Mod[Type], 0), MATCH(PartyCompare_6[[#This Row],[Party Size]],Encounter_Mod[[#Headers],[Small]:[Large]],0))</f>
        <v>300</v>
      </c>
      <c r="BB62" s="38">
        <f>SUM(PartyCompare_6[+2 (Deadly)])/INDEX(Encounter_Mod[[Small]:[Large]], MATCH(PartyCompare_6[[#This Row],[Mob Size]], Encounter_Mod[Type], 0), MATCH(PartyCompare_6[[#This Row],[Party Size]],Encounter_Mod[[#Headers],[Small]:[Large]],0))</f>
        <v>533.33333333333337</v>
      </c>
      <c r="BC62" s="46">
        <f>(PartyCompare_6[[#This Row],[+2 Easy]]-INDEX(PartyCompare_0[+2 Easy], MATCH(PartyCompare_6[[#This Row],[Mob Size]],PartyCompare_6[Mob Size],0)))/INDEX(PartyCompare_0[+2 Easy], MATCH(PartyCompare_6[[#This Row],[Mob Size]],PartyCompare_6[Mob Size],0))</f>
        <v>0</v>
      </c>
      <c r="BD62" s="39">
        <f>(PartyCompare_6[[#This Row],[+2 Medium]]-INDEX(PartyCompare_0[+2 Medium], MATCH(PartyCompare_6[[#This Row],[Mob Size]],PartyCompare_6[Mob Size],0)))/INDEX(PartyCompare_0[+2 Medium], MATCH(PartyCompare_6[[#This Row],[Mob Size]],PartyCompare_6[Mob Size],0))</f>
        <v>0</v>
      </c>
      <c r="BE62" s="39">
        <f>(PartyCompare_6[[#This Row],[+2 Hard]]-INDEX(PartyCompare_0[+2 Hard], MATCH(PartyCompare_6[[#This Row],[Mob Size]],PartyCompare_6[Mob Size],0)))/INDEX(PartyCompare_0[+2 Hard], MATCH(PartyCompare_6[[#This Row],[Mob Size]],PartyCompare_6[Mob Size],0))</f>
        <v>0</v>
      </c>
      <c r="BF62" s="34">
        <f>(PartyCompare_6[[#This Row],[+2 Deadly]]-INDEX(PartyCompare_0[+2 Deadly], MATCH(PartyCompare_6[[#This Row],[Mob Size]],PartyCompare_6[Mob Size],0)))/INDEX(PartyCompare_0[+2 Deadly], MATCH(PartyCompare_6[[#This Row],[Mob Size]],PartyCompare_6[Mob Size],0))</f>
        <v>0</v>
      </c>
      <c r="BG62" s="48">
        <f>AVERAGE(PartyCompare_6[[#This Row],[+2 Easy Deviation]:[+2 Deadly Deviation]])</f>
        <v>0</v>
      </c>
      <c r="BH62" s="36">
        <f>IF(ISNUMBER(PartyCompare_6[[#This Row],[Level]]), PartyCompare_6[[#This Row],[Level]]+3, PartyCompare_6[[#This Row],[Level]])</f>
        <v>0</v>
      </c>
      <c r="BI62" s="36">
        <f>INDEX(Encounter_Diff[Easy], MATCH(PartyCompare_6[[#This Row],[+3 Level]],Encounter_Diff[Player Level],0))</f>
        <v>0</v>
      </c>
      <c r="BJ62" s="36">
        <f>INDEX(Encounter_Diff[Medium], MATCH(PartyCompare_6[[#This Row],[+3 Level]],Encounter_Diff[Player Level],0))</f>
        <v>0</v>
      </c>
      <c r="BK62" s="36">
        <f>INDEX(Encounter_Diff[Hard], MATCH(PartyCompare_6[[#This Row],[+3 Level]],Encounter_Diff[Player Level],0))</f>
        <v>0</v>
      </c>
      <c r="BL62" s="36">
        <f>INDEX(Encounter_Diff[Deadly], MATCH(PartyCompare_6[[#This Row],[+3 Level]],Encounter_Diff[Player Level],0))</f>
        <v>0</v>
      </c>
      <c r="BM62" s="63">
        <f>SUM(PartyCompare_6[+3 (Easy)])/INDEX(Encounter_Mod[[Small]:[Large]], MATCH(PartyCompare_6[[#This Row],[Mob Size]], Encounter_Mod[Type], 0), MATCH(PartyCompare_6[[#This Row],[Party Size]],Encounter_Mod[[#Headers],[Small]:[Large]],0))</f>
        <v>166.66666666666666</v>
      </c>
      <c r="BN62" s="38">
        <f>SUM(PartyCompare_6[+3 (Medium)])/INDEX(Encounter_Mod[[Small]:[Large]], MATCH(PartyCompare_6[[#This Row],[Mob Size]], Encounter_Mod[Type], 0), MATCH(PartyCompare_6[[#This Row],[Party Size]],Encounter_Mod[[#Headers],[Small]:[Large]],0))</f>
        <v>333.33333333333331</v>
      </c>
      <c r="BO62" s="38">
        <f>SUM(PartyCompare_6[+3 (Hard)])/INDEX(Encounter_Mod[[Small]:[Large]], MATCH(PartyCompare_6[[#This Row],[Mob Size]], Encounter_Mod[Type], 0), MATCH(PartyCompare_6[[#This Row],[Party Size]],Encounter_Mod[[#Headers],[Small]:[Large]],0))</f>
        <v>500</v>
      </c>
      <c r="BP62" s="38">
        <f>SUM(PartyCompare_6[+3 (Deadly)])/INDEX(Encounter_Mod[[Small]:[Large]], MATCH(PartyCompare_6[[#This Row],[Mob Size]], Encounter_Mod[Type], 0), MATCH(PartyCompare_6[[#This Row],[Party Size]],Encounter_Mod[[#Headers],[Small]:[Large]],0))</f>
        <v>666.66666666666663</v>
      </c>
      <c r="BQ62" s="46">
        <f>(PartyCompare_6[[#This Row],[+3 Easy]]-INDEX(PartyCompare_0[+3 Easy], MATCH(PartyCompare_6[[#This Row],[Mob Size]],PartyCompare_6[Mob Size],0)))/INDEX(PartyCompare_0[+3 Easy], MATCH(PartyCompare_6[[#This Row],[Mob Size]],PartyCompare_6[Mob Size],0))</f>
        <v>0</v>
      </c>
      <c r="BR62" s="39">
        <f>(PartyCompare_6[[#This Row],[+3 Medium]]-INDEX(PartyCompare_0[+3 Medium], MATCH(PartyCompare_6[[#This Row],[Mob Size]],PartyCompare_6[Mob Size],0)))/INDEX(PartyCompare_0[+3 Medium], MATCH(PartyCompare_6[[#This Row],[Mob Size]],PartyCompare_6[Mob Size],0))</f>
        <v>0</v>
      </c>
      <c r="BS62" s="39">
        <f>(PartyCompare_6[[#This Row],[+3 Hard]]-INDEX(PartyCompare_0[+3 Hard], MATCH(PartyCompare_6[[#This Row],[Mob Size]],PartyCompare_6[Mob Size],0)))/INDEX(PartyCompare_0[+3 Hard], MATCH(PartyCompare_6[[#This Row],[Mob Size]],PartyCompare_6[Mob Size],0))</f>
        <v>0</v>
      </c>
      <c r="BT62" s="34">
        <f>(PartyCompare_6[[#This Row],[+3 Deadly]]-INDEX(PartyCompare_0[+3 Deadly], MATCH(PartyCompare_6[[#This Row],[Mob Size]],PartyCompare_6[Mob Size],0)))/INDEX(PartyCompare_0[+3 Deadly], MATCH(PartyCompare_6[[#This Row],[Mob Size]],PartyCompare_6[Mob Size],0))</f>
        <v>0</v>
      </c>
      <c r="BU62" s="48">
        <f>AVERAGE(PartyCompare_6[[#This Row],[+3 Easy Deviation]:[+3 Deadly Deviation]])</f>
        <v>0</v>
      </c>
      <c r="BV62" s="36">
        <f>IF(ISNUMBER(PartyCompare_6[[#This Row],[Level]]), PartyCompare_6[[#This Row],[Level]]+4, PartyCompare_6[[#This Row],[Level]])</f>
        <v>0</v>
      </c>
      <c r="BW62" s="36">
        <f>INDEX(Encounter_Diff[Easy], MATCH(PartyCompare_6[[#This Row],[+4 Level]],Encounter_Diff[Player Level],0))</f>
        <v>0</v>
      </c>
      <c r="BX62" s="36">
        <f>INDEX(Encounter_Diff[Medium], MATCH(PartyCompare_6[[#This Row],[+4 Level]],Encounter_Diff[Player Level],0))</f>
        <v>0</v>
      </c>
      <c r="BY62" s="36">
        <f>INDEX(Encounter_Diff[Hard], MATCH(PartyCompare_6[[#This Row],[+4 Level]],Encounter_Diff[Player Level],0))</f>
        <v>0</v>
      </c>
      <c r="BZ62" s="36">
        <f>INDEX(Encounter_Diff[Deadly], MATCH(PartyCompare_6[[#This Row],[+4 Level]],Encounter_Diff[Player Level],0))</f>
        <v>0</v>
      </c>
      <c r="CA62" s="63">
        <f>SUM(PartyCompare_6[+4 (Easy)])/INDEX(Encounter_Mod[[Small]:[Large]], MATCH(PartyCompare_6[[#This Row],[Mob Size]], Encounter_Mod[Type], 0), MATCH(PartyCompare_6[[#This Row],[Party Size]],Encounter_Mod[[#Headers],[Small]:[Large]],0))</f>
        <v>333.33333333333331</v>
      </c>
      <c r="CB62" s="38">
        <f>SUM(PartyCompare_6[+4 (Medium)])/INDEX(Encounter_Mod[[Small]:[Large]], MATCH(PartyCompare_6[[#This Row],[Mob Size]], Encounter_Mod[Type], 0), MATCH(PartyCompare_6[[#This Row],[Party Size]],Encounter_Mod[[#Headers],[Small]:[Large]],0))</f>
        <v>666.66666666666663</v>
      </c>
      <c r="CC62" s="38">
        <f>SUM(PartyCompare_6[+4 (Hard)])/INDEX(Encounter_Mod[[Small]:[Large]], MATCH(PartyCompare_6[[#This Row],[Mob Size]], Encounter_Mod[Type], 0), MATCH(PartyCompare_6[[#This Row],[Party Size]],Encounter_Mod[[#Headers],[Small]:[Large]],0))</f>
        <v>1000</v>
      </c>
      <c r="CD62" s="38">
        <f>SUM(PartyCompare_6[+4 (Deadly)])/INDEX(Encounter_Mod[[Small]:[Large]], MATCH(PartyCompare_6[[#This Row],[Mob Size]], Encounter_Mod[Type], 0), MATCH(PartyCompare_6[[#This Row],[Party Size]],Encounter_Mod[[#Headers],[Small]:[Large]],0))</f>
        <v>1466.6666666666667</v>
      </c>
      <c r="CE62" s="46">
        <f>(PartyCompare_6[[#This Row],[+4 Easy]]-INDEX(PartyCompare_0[+4 Easy], MATCH(PartyCompare_6[[#This Row],[Mob Size]],PartyCompare_6[Mob Size],0)))/INDEX(PartyCompare_0[+4 Easy], MATCH(PartyCompare_6[[#This Row],[Mob Size]],PartyCompare_6[Mob Size],0))</f>
        <v>0</v>
      </c>
      <c r="CF62" s="39">
        <f>(PartyCompare_6[[#This Row],[+4 Medium]]-INDEX(PartyCompare_0[+4 Medium], MATCH(PartyCompare_6[[#This Row],[Mob Size]],PartyCompare_6[Mob Size],0)))/INDEX(PartyCompare_0[+4 Medium], MATCH(PartyCompare_6[[#This Row],[Mob Size]],PartyCompare_6[Mob Size],0))</f>
        <v>0</v>
      </c>
      <c r="CG62" s="39">
        <f>(PartyCompare_6[[#This Row],[+4 Hard]]-INDEX(PartyCompare_0[+4 Hard], MATCH(PartyCompare_6[[#This Row],[Mob Size]],PartyCompare_6[Mob Size],0)))/INDEX(PartyCompare_0[+4 Hard], MATCH(PartyCompare_6[[#This Row],[Mob Size]],PartyCompare_6[Mob Size],0))</f>
        <v>0</v>
      </c>
      <c r="CH62" s="34">
        <f>(PartyCompare_6[[#This Row],[+4 Deadly]]-INDEX(PartyCompare_0[+4 Deadly], MATCH(PartyCompare_6[[#This Row],[Mob Size]],PartyCompare_6[Mob Size],0)))/INDEX(PartyCompare_0[+4 Deadly], MATCH(PartyCompare_6[[#This Row],[Mob Size]],PartyCompare_6[Mob Size],0))</f>
        <v>0</v>
      </c>
      <c r="CI62" s="48">
        <f>AVERAGE(PartyCompare_6[[#This Row],[+4 Easy Deviation]:[+4 Deadly Deviation]])</f>
        <v>0</v>
      </c>
    </row>
    <row r="63" spans="12:87" x14ac:dyDescent="0.2">
      <c r="L63" s="233"/>
      <c r="M63" s="91"/>
      <c r="N63" s="90"/>
      <c r="O63" s="32">
        <f>INDEX(Encounter_Diff[Easy], MATCH(PartyCompare_6[[#This Row],[Level]],Encounter_Diff[Player Level],0))</f>
        <v>0</v>
      </c>
      <c r="P63" s="32">
        <f>INDEX(Encounter_Diff[Medium], MATCH(PartyCompare_6[[#This Row],[Level]],Encounter_Diff[Player Level],0))</f>
        <v>0</v>
      </c>
      <c r="Q63" s="32">
        <f>INDEX(Encounter_Diff[Hard], MATCH(PartyCompare_6[[#This Row],[Level]],Encounter_Diff[Player Level],0))</f>
        <v>0</v>
      </c>
      <c r="R63" s="30">
        <f>INDEX(Encounter_Diff[Deadly], MATCH(PartyCompare_6[[#This Row],[Level]],Encounter_Diff[Player Level],0))</f>
        <v>0</v>
      </c>
      <c r="S63" s="97" t="str">
        <f t="shared" si="6"/>
        <v>1, 1, 1, 1</v>
      </c>
      <c r="T63" s="32" t="str">
        <f>IF(COUNT(PartyCompare_6[Level])&lt;=2,"Small", IF(COUNT(PartyCompare_6[Level])&lt;=5,"Med", IF(COUNT(PartyCompare_6[Level])&lt;=8, "Large", "TOO BIG!")))</f>
        <v>Med</v>
      </c>
      <c r="U63" s="73" t="s">
        <v>112</v>
      </c>
      <c r="V63" s="77" t="str">
        <f>INDEX(Encounter_Mod[Count], MATCH(PartyCompare_6[[#This Row],[Mob Size]], Encounter_Mod[Type],0))</f>
        <v>15+</v>
      </c>
      <c r="W63" s="81">
        <f>SUM(PartyCompare_6[(Easy)])/INDEX(Encounter_Mod[[Small]:[Large]], MATCH(PartyCompare_6[[#This Row],[Mob Size]], Encounter_Mod[Type], 0), MATCH(PartyCompare_6[[#This Row],[Party Size]],Encounter_Mod[[#Headers],[Small]:[Large]],0))</f>
        <v>25</v>
      </c>
      <c r="X63" s="42">
        <f>SUM(PartyCompare_6[(Medium)])/INDEX(Encounter_Mod[[Small]:[Large]], MATCH(PartyCompare_6[[#This Row],[Mob Size]], Encounter_Mod[Type], 0), MATCH(PartyCompare_6[[#This Row],[Party Size]],Encounter_Mod[[#Headers],[Small]:[Large]],0))</f>
        <v>50</v>
      </c>
      <c r="Y63" s="42">
        <f>SUM(PartyCompare_6[(Hard)])/INDEX(Encounter_Mod[[Small]:[Large]], MATCH(PartyCompare_6[[#This Row],[Mob Size]], Encounter_Mod[Type], 0), MATCH(PartyCompare_6[[#This Row],[Party Size]],Encounter_Mod[[#Headers],[Small]:[Large]],0))</f>
        <v>75</v>
      </c>
      <c r="Z63" s="43">
        <f>SUM(PartyCompare_6[(Deadly)])/INDEX(Encounter_Mod[[Small]:[Large]], MATCH(PartyCompare_6[[#This Row],[Mob Size]], Encounter_Mod[Type], 0), MATCH(PartyCompare_6[[#This Row],[Party Size]],Encounter_Mod[[#Headers],[Small]:[Large]],0))</f>
        <v>100</v>
      </c>
      <c r="AA63" s="46">
        <f>(PartyCompare_6[[#This Row],[Easy]]-INDEX(PartyCompare_0[Easy], MATCH(PartyCompare_6[[#This Row],[Mob Size]],PartyCompare_0[Mob Size],0)))/INDEX(PartyCompare_0[Easy], MATCH(PartyCompare_6[[#This Row],[Mob Size]],PartyCompare_0[Mob Size],0))</f>
        <v>0</v>
      </c>
      <c r="AB63" s="33">
        <f>(PartyCompare_6[[#This Row],[Medium]]-INDEX(PartyCompare_0[Medium], MATCH(PartyCompare_6[[#This Row],[Mob Size]],PartyCompare_0[Mob Size],0)))/INDEX(PartyCompare_0[Medium], MATCH(PartyCompare_6[[#This Row],[Mob Size]],PartyCompare_0[Mob Size],0))</f>
        <v>0</v>
      </c>
      <c r="AC63" s="33">
        <f>(PartyCompare_6[[#This Row],[Hard]]-INDEX(PartyCompare_0[Hard], MATCH(PartyCompare_6[[#This Row],[Mob Size]],PartyCompare_0[Mob Size],0)))/INDEX(PartyCompare_0[Hard], MATCH(PartyCompare_6[[#This Row],[Mob Size]],PartyCompare_0[Mob Size],0))</f>
        <v>0</v>
      </c>
      <c r="AD63" s="34">
        <f>(PartyCompare_6[[#This Row],[Deadly]]-INDEX(PartyCompare_0[Deadly], MATCH(PartyCompare_6[[#This Row],[Mob Size]],PartyCompare_0[Mob Size],0)))/INDEX(PartyCompare_0[Deadly], MATCH(PartyCompare_6[[#This Row],[Mob Size]],PartyCompare_0[Mob Size],0))</f>
        <v>0</v>
      </c>
      <c r="AE63" s="48">
        <f>AVERAGE(PartyCompare_6[[#This Row],[Easy Deviation]:[Deadly Deviation]])</f>
        <v>0</v>
      </c>
      <c r="AF63" s="36">
        <f>IF(ISNUMBER(PartyCompare_6[[#This Row],[Level]]), PartyCompare_6[[#This Row],[Level]]+1, PartyCompare_6[[#This Row],[Level]])</f>
        <v>0</v>
      </c>
      <c r="AG63" s="36">
        <f>INDEX(Encounter_Diff[Easy], MATCH(PartyCompare_6[[#This Row],[+1 Level]],Encounter_Diff[Player Level],0))</f>
        <v>0</v>
      </c>
      <c r="AH63" s="36">
        <f>INDEX(Encounter_Diff[Medium], MATCH(PartyCompare_6[[#This Row],[+1 Level]],Encounter_Diff[Player Level],0))</f>
        <v>0</v>
      </c>
      <c r="AI63" s="36">
        <f>INDEX(Encounter_Diff[Hard], MATCH(PartyCompare_6[[#This Row],[+1 Level]],Encounter_Diff[Player Level],0))</f>
        <v>0</v>
      </c>
      <c r="AJ63" s="36">
        <f>INDEX(Encounter_Diff[Deadly], MATCH(PartyCompare_6[[#This Row],[+1 Level]],Encounter_Diff[Player Level],0))</f>
        <v>0</v>
      </c>
      <c r="AK63" s="63">
        <f>SUM(PartyCompare_6[+1 (Easy)])/INDEX(Encounter_Mod[[Small]:[Large]], MATCH(PartyCompare_6[[#This Row],[Mob Size]], Encounter_Mod[Type], 0), MATCH(PartyCompare_6[[#This Row],[Party Size]],Encounter_Mod[[#Headers],[Small]:[Large]],0))</f>
        <v>50</v>
      </c>
      <c r="AL63" s="38">
        <f>SUM(PartyCompare_6[+1 (Medium)])/INDEX(Encounter_Mod[[Small]:[Large]], MATCH(PartyCompare_6[[#This Row],[Mob Size]], Encounter_Mod[Type], 0), MATCH(PartyCompare_6[[#This Row],[Party Size]],Encounter_Mod[[#Headers],[Small]:[Large]],0))</f>
        <v>100</v>
      </c>
      <c r="AM63" s="38">
        <f>SUM(PartyCompare_6[+1 (Hard)])/INDEX(Encounter_Mod[[Small]:[Large]], MATCH(PartyCompare_6[[#This Row],[Mob Size]], Encounter_Mod[Type], 0), MATCH(PartyCompare_6[[#This Row],[Party Size]],Encounter_Mod[[#Headers],[Small]:[Large]],0))</f>
        <v>150</v>
      </c>
      <c r="AN63" s="38">
        <f>SUM(PartyCompare_6[+1 (Deadly)])/INDEX(Encounter_Mod[[Small]:[Large]], MATCH(PartyCompare_6[[#This Row],[Mob Size]], Encounter_Mod[Type], 0), MATCH(PartyCompare_6[[#This Row],[Party Size]],Encounter_Mod[[#Headers],[Small]:[Large]],0))</f>
        <v>200</v>
      </c>
      <c r="AO63" s="46">
        <f>(PartyCompare_6[[#This Row],[+1 Easy]]-INDEX(PartyCompare_0[+1 Easy], MATCH(PartyCompare_6[[#This Row],[Mob Size]],PartyCompare_6[Mob Size],0)))/INDEX(PartyCompare_0[+1 Easy], MATCH(PartyCompare_6[[#This Row],[Mob Size]],PartyCompare_6[Mob Size],0))</f>
        <v>0</v>
      </c>
      <c r="AP63" s="39">
        <f>(PartyCompare_6[[#This Row],[+1 Medium]]-INDEX(PartyCompare_0[+1 Medium], MATCH(PartyCompare_6[[#This Row],[Mob Size]],PartyCompare_6[Mob Size],0)))/INDEX(PartyCompare_0[+1 Medium], MATCH(PartyCompare_6[[#This Row],[Mob Size]],PartyCompare_6[Mob Size],0))</f>
        <v>0</v>
      </c>
      <c r="AQ63" s="39">
        <f>(PartyCompare_6[[#This Row],[+1 Hard]]-INDEX(PartyCompare_0[+1 Hard], MATCH(PartyCompare_6[[#This Row],[Mob Size]],PartyCompare_6[Mob Size],0)))/INDEX(PartyCompare_0[+1 Hard], MATCH(PartyCompare_6[[#This Row],[Mob Size]],PartyCompare_6[Mob Size],0))</f>
        <v>0</v>
      </c>
      <c r="AR63" s="34">
        <f>(PartyCompare_6[[#This Row],[+1 Deadly]]-INDEX(PartyCompare_0[+1 Deadly], MATCH(PartyCompare_6[[#This Row],[Mob Size]],PartyCompare_6[Mob Size],0)))/INDEX(PartyCompare_0[+1 Deadly], MATCH(PartyCompare_6[[#This Row],[Mob Size]],PartyCompare_6[Mob Size],0))</f>
        <v>0</v>
      </c>
      <c r="AS63" s="48">
        <f>AVERAGE(PartyCompare_6[[#This Row],[+1 Easy Deviation]:[+1 Deadly Deviation]])</f>
        <v>0</v>
      </c>
      <c r="AT63" s="36">
        <f>IF(ISNUMBER(PartyCompare_6[[#This Row],[Level]]), PartyCompare_6[[#This Row],[Level]]+2, PartyCompare_6[[#This Row],[Level]])</f>
        <v>0</v>
      </c>
      <c r="AU63" s="36">
        <f>INDEX(Encounter_Diff[Easy], MATCH(PartyCompare_6[[#This Row],[+2 Level]],Encounter_Diff[Player Level],0))</f>
        <v>0</v>
      </c>
      <c r="AV63" s="36">
        <f>INDEX(Encounter_Diff[Medium], MATCH(PartyCompare_6[[#This Row],[+2 Level]],Encounter_Diff[Player Level],0))</f>
        <v>0</v>
      </c>
      <c r="AW63" s="36">
        <f>INDEX(Encounter_Diff[Hard], MATCH(PartyCompare_6[[#This Row],[+2 Level]],Encounter_Diff[Player Level],0))</f>
        <v>0</v>
      </c>
      <c r="AX63" s="36">
        <f>INDEX(Encounter_Diff[Deadly], MATCH(PartyCompare_6[[#This Row],[+2 Level]],Encounter_Diff[Player Level],0))</f>
        <v>0</v>
      </c>
      <c r="AY63" s="63">
        <f>SUM(PartyCompare_6[+2 (Easy)])/INDEX(Encounter_Mod[[Small]:[Large]], MATCH(PartyCompare_6[[#This Row],[Mob Size]], Encounter_Mod[Type], 0), MATCH(PartyCompare_6[[#This Row],[Party Size]],Encounter_Mod[[#Headers],[Small]:[Large]],0))</f>
        <v>75</v>
      </c>
      <c r="AZ63" s="38">
        <f>SUM(PartyCompare_6[+2 (Medium)])/INDEX(Encounter_Mod[[Small]:[Large]], MATCH(PartyCompare_6[[#This Row],[Mob Size]], Encounter_Mod[Type], 0), MATCH(PartyCompare_6[[#This Row],[Party Size]],Encounter_Mod[[#Headers],[Small]:[Large]],0))</f>
        <v>150</v>
      </c>
      <c r="BA63" s="38">
        <f>SUM(PartyCompare_6[+2 (Hard)])/INDEX(Encounter_Mod[[Small]:[Large]], MATCH(PartyCompare_6[[#This Row],[Mob Size]], Encounter_Mod[Type], 0), MATCH(PartyCompare_6[[#This Row],[Party Size]],Encounter_Mod[[#Headers],[Small]:[Large]],0))</f>
        <v>225</v>
      </c>
      <c r="BB63" s="38">
        <f>SUM(PartyCompare_6[+2 (Deadly)])/INDEX(Encounter_Mod[[Small]:[Large]], MATCH(PartyCompare_6[[#This Row],[Mob Size]], Encounter_Mod[Type], 0), MATCH(PartyCompare_6[[#This Row],[Party Size]],Encounter_Mod[[#Headers],[Small]:[Large]],0))</f>
        <v>400</v>
      </c>
      <c r="BC63" s="46">
        <f>(PartyCompare_6[[#This Row],[+2 Easy]]-INDEX(PartyCompare_0[+2 Easy], MATCH(PartyCompare_6[[#This Row],[Mob Size]],PartyCompare_6[Mob Size],0)))/INDEX(PartyCompare_0[+2 Easy], MATCH(PartyCompare_6[[#This Row],[Mob Size]],PartyCompare_6[Mob Size],0))</f>
        <v>0</v>
      </c>
      <c r="BD63" s="39">
        <f>(PartyCompare_6[[#This Row],[+2 Medium]]-INDEX(PartyCompare_0[+2 Medium], MATCH(PartyCompare_6[[#This Row],[Mob Size]],PartyCompare_6[Mob Size],0)))/INDEX(PartyCompare_0[+2 Medium], MATCH(PartyCompare_6[[#This Row],[Mob Size]],PartyCompare_6[Mob Size],0))</f>
        <v>0</v>
      </c>
      <c r="BE63" s="39">
        <f>(PartyCompare_6[[#This Row],[+2 Hard]]-INDEX(PartyCompare_0[+2 Hard], MATCH(PartyCompare_6[[#This Row],[Mob Size]],PartyCompare_6[Mob Size],0)))/INDEX(PartyCompare_0[+2 Hard], MATCH(PartyCompare_6[[#This Row],[Mob Size]],PartyCompare_6[Mob Size],0))</f>
        <v>0</v>
      </c>
      <c r="BF63" s="34">
        <f>(PartyCompare_6[[#This Row],[+2 Deadly]]-INDEX(PartyCompare_0[+2 Deadly], MATCH(PartyCompare_6[[#This Row],[Mob Size]],PartyCompare_6[Mob Size],0)))/INDEX(PartyCompare_0[+2 Deadly], MATCH(PartyCompare_6[[#This Row],[Mob Size]],PartyCompare_6[Mob Size],0))</f>
        <v>0</v>
      </c>
      <c r="BG63" s="48">
        <f>AVERAGE(PartyCompare_6[[#This Row],[+2 Easy Deviation]:[+2 Deadly Deviation]])</f>
        <v>0</v>
      </c>
      <c r="BH63" s="36">
        <f>IF(ISNUMBER(PartyCompare_6[[#This Row],[Level]]), PartyCompare_6[[#This Row],[Level]]+3, PartyCompare_6[[#This Row],[Level]])</f>
        <v>0</v>
      </c>
      <c r="BI63" s="36">
        <f>INDEX(Encounter_Diff[Easy], MATCH(PartyCompare_6[[#This Row],[+3 Level]],Encounter_Diff[Player Level],0))</f>
        <v>0</v>
      </c>
      <c r="BJ63" s="36">
        <f>INDEX(Encounter_Diff[Medium], MATCH(PartyCompare_6[[#This Row],[+3 Level]],Encounter_Diff[Player Level],0))</f>
        <v>0</v>
      </c>
      <c r="BK63" s="36">
        <f>INDEX(Encounter_Diff[Hard], MATCH(PartyCompare_6[[#This Row],[+3 Level]],Encounter_Diff[Player Level],0))</f>
        <v>0</v>
      </c>
      <c r="BL63" s="36">
        <f>INDEX(Encounter_Diff[Deadly], MATCH(PartyCompare_6[[#This Row],[+3 Level]],Encounter_Diff[Player Level],0))</f>
        <v>0</v>
      </c>
      <c r="BM63" s="63">
        <f>SUM(PartyCompare_6[+3 (Easy)])/INDEX(Encounter_Mod[[Small]:[Large]], MATCH(PartyCompare_6[[#This Row],[Mob Size]], Encounter_Mod[Type], 0), MATCH(PartyCompare_6[[#This Row],[Party Size]],Encounter_Mod[[#Headers],[Small]:[Large]],0))</f>
        <v>125</v>
      </c>
      <c r="BN63" s="38">
        <f>SUM(PartyCompare_6[+3 (Medium)])/INDEX(Encounter_Mod[[Small]:[Large]], MATCH(PartyCompare_6[[#This Row],[Mob Size]], Encounter_Mod[Type], 0), MATCH(PartyCompare_6[[#This Row],[Party Size]],Encounter_Mod[[#Headers],[Small]:[Large]],0))</f>
        <v>250</v>
      </c>
      <c r="BO63" s="38">
        <f>SUM(PartyCompare_6[+3 (Hard)])/INDEX(Encounter_Mod[[Small]:[Large]], MATCH(PartyCompare_6[[#This Row],[Mob Size]], Encounter_Mod[Type], 0), MATCH(PartyCompare_6[[#This Row],[Party Size]],Encounter_Mod[[#Headers],[Small]:[Large]],0))</f>
        <v>375</v>
      </c>
      <c r="BP63" s="38">
        <f>SUM(PartyCompare_6[+3 (Deadly)])/INDEX(Encounter_Mod[[Small]:[Large]], MATCH(PartyCompare_6[[#This Row],[Mob Size]], Encounter_Mod[Type], 0), MATCH(PartyCompare_6[[#This Row],[Party Size]],Encounter_Mod[[#Headers],[Small]:[Large]],0))</f>
        <v>500</v>
      </c>
      <c r="BQ63" s="46">
        <f>(PartyCompare_6[[#This Row],[+3 Easy]]-INDEX(PartyCompare_0[+3 Easy], MATCH(PartyCompare_6[[#This Row],[Mob Size]],PartyCompare_6[Mob Size],0)))/INDEX(PartyCompare_0[+3 Easy], MATCH(PartyCompare_6[[#This Row],[Mob Size]],PartyCompare_6[Mob Size],0))</f>
        <v>0</v>
      </c>
      <c r="BR63" s="39">
        <f>(PartyCompare_6[[#This Row],[+3 Medium]]-INDEX(PartyCompare_0[+3 Medium], MATCH(PartyCompare_6[[#This Row],[Mob Size]],PartyCompare_6[Mob Size],0)))/INDEX(PartyCompare_0[+3 Medium], MATCH(PartyCompare_6[[#This Row],[Mob Size]],PartyCompare_6[Mob Size],0))</f>
        <v>0</v>
      </c>
      <c r="BS63" s="39">
        <f>(PartyCompare_6[[#This Row],[+3 Hard]]-INDEX(PartyCompare_0[+3 Hard], MATCH(PartyCompare_6[[#This Row],[Mob Size]],PartyCompare_6[Mob Size],0)))/INDEX(PartyCompare_0[+3 Hard], MATCH(PartyCompare_6[[#This Row],[Mob Size]],PartyCompare_6[Mob Size],0))</f>
        <v>0</v>
      </c>
      <c r="BT63" s="34">
        <f>(PartyCompare_6[[#This Row],[+3 Deadly]]-INDEX(PartyCompare_0[+3 Deadly], MATCH(PartyCompare_6[[#This Row],[Mob Size]],PartyCompare_6[Mob Size],0)))/INDEX(PartyCompare_0[+3 Deadly], MATCH(PartyCompare_6[[#This Row],[Mob Size]],PartyCompare_6[Mob Size],0))</f>
        <v>0</v>
      </c>
      <c r="BU63" s="48">
        <f>AVERAGE(PartyCompare_6[[#This Row],[+3 Easy Deviation]:[+3 Deadly Deviation]])</f>
        <v>0</v>
      </c>
      <c r="BV63" s="36">
        <f>IF(ISNUMBER(PartyCompare_6[[#This Row],[Level]]), PartyCompare_6[[#This Row],[Level]]+4, PartyCompare_6[[#This Row],[Level]])</f>
        <v>0</v>
      </c>
      <c r="BW63" s="36">
        <f>INDEX(Encounter_Diff[Easy], MATCH(PartyCompare_6[[#This Row],[+4 Level]],Encounter_Diff[Player Level],0))</f>
        <v>0</v>
      </c>
      <c r="BX63" s="36">
        <f>INDEX(Encounter_Diff[Medium], MATCH(PartyCompare_6[[#This Row],[+4 Level]],Encounter_Diff[Player Level],0))</f>
        <v>0</v>
      </c>
      <c r="BY63" s="36">
        <f>INDEX(Encounter_Diff[Hard], MATCH(PartyCompare_6[[#This Row],[+4 Level]],Encounter_Diff[Player Level],0))</f>
        <v>0</v>
      </c>
      <c r="BZ63" s="36">
        <f>INDEX(Encounter_Diff[Deadly], MATCH(PartyCompare_6[[#This Row],[+4 Level]],Encounter_Diff[Player Level],0))</f>
        <v>0</v>
      </c>
      <c r="CA63" s="63">
        <f>SUM(PartyCompare_6[+4 (Easy)])/INDEX(Encounter_Mod[[Small]:[Large]], MATCH(PartyCompare_6[[#This Row],[Mob Size]], Encounter_Mod[Type], 0), MATCH(PartyCompare_6[[#This Row],[Party Size]],Encounter_Mod[[#Headers],[Small]:[Large]],0))</f>
        <v>250</v>
      </c>
      <c r="CB63" s="38">
        <f>SUM(PartyCompare_6[+4 (Medium)])/INDEX(Encounter_Mod[[Small]:[Large]], MATCH(PartyCompare_6[[#This Row],[Mob Size]], Encounter_Mod[Type], 0), MATCH(PartyCompare_6[[#This Row],[Party Size]],Encounter_Mod[[#Headers],[Small]:[Large]],0))</f>
        <v>500</v>
      </c>
      <c r="CC63" s="38">
        <f>SUM(PartyCompare_6[+4 (Hard)])/INDEX(Encounter_Mod[[Small]:[Large]], MATCH(PartyCompare_6[[#This Row],[Mob Size]], Encounter_Mod[Type], 0), MATCH(PartyCompare_6[[#This Row],[Party Size]],Encounter_Mod[[#Headers],[Small]:[Large]],0))</f>
        <v>750</v>
      </c>
      <c r="CD63" s="38">
        <f>SUM(PartyCompare_6[+4 (Deadly)])/INDEX(Encounter_Mod[[Small]:[Large]], MATCH(PartyCompare_6[[#This Row],[Mob Size]], Encounter_Mod[Type], 0), MATCH(PartyCompare_6[[#This Row],[Party Size]],Encounter_Mod[[#Headers],[Small]:[Large]],0))</f>
        <v>1100</v>
      </c>
      <c r="CE63" s="46">
        <f>(PartyCompare_6[[#This Row],[+4 Easy]]-INDEX(PartyCompare_0[+4 Easy], MATCH(PartyCompare_6[[#This Row],[Mob Size]],PartyCompare_6[Mob Size],0)))/INDEX(PartyCompare_0[+4 Easy], MATCH(PartyCompare_6[[#This Row],[Mob Size]],PartyCompare_6[Mob Size],0))</f>
        <v>0</v>
      </c>
      <c r="CF63" s="39">
        <f>(PartyCompare_6[[#This Row],[+4 Medium]]-INDEX(PartyCompare_0[+4 Medium], MATCH(PartyCompare_6[[#This Row],[Mob Size]],PartyCompare_6[Mob Size],0)))/INDEX(PartyCompare_0[+4 Medium], MATCH(PartyCompare_6[[#This Row],[Mob Size]],PartyCompare_6[Mob Size],0))</f>
        <v>0</v>
      </c>
      <c r="CG63" s="39">
        <f>(PartyCompare_6[[#This Row],[+4 Hard]]-INDEX(PartyCompare_0[+4 Hard], MATCH(PartyCompare_6[[#This Row],[Mob Size]],PartyCompare_6[Mob Size],0)))/INDEX(PartyCompare_0[+4 Hard], MATCH(PartyCompare_6[[#This Row],[Mob Size]],PartyCompare_6[Mob Size],0))</f>
        <v>0</v>
      </c>
      <c r="CH63" s="34">
        <f>(PartyCompare_6[[#This Row],[+4 Deadly]]-INDEX(PartyCompare_0[+4 Deadly], MATCH(PartyCompare_6[[#This Row],[Mob Size]],PartyCompare_6[Mob Size],0)))/INDEX(PartyCompare_0[+4 Deadly], MATCH(PartyCompare_6[[#This Row],[Mob Size]],PartyCompare_6[Mob Size],0))</f>
        <v>0</v>
      </c>
      <c r="CI63" s="48">
        <f>AVERAGE(PartyCompare_6[[#This Row],[+4 Easy Deviation]:[+4 Deadly Deviation]])</f>
        <v>0</v>
      </c>
    </row>
    <row r="64" spans="12:87" x14ac:dyDescent="0.2">
      <c r="L64" s="233"/>
      <c r="M64" s="91"/>
      <c r="N64" s="90"/>
      <c r="O64" s="32">
        <f>INDEX(Encounter_Diff[Easy], MATCH(PartyCompare_6[[#This Row],[Level]],Encounter_Diff[Player Level],0))</f>
        <v>0</v>
      </c>
      <c r="P64" s="32">
        <f>INDEX(Encounter_Diff[Medium], MATCH(PartyCompare_6[[#This Row],[Level]],Encounter_Diff[Player Level],0))</f>
        <v>0</v>
      </c>
      <c r="Q64" s="32">
        <f>INDEX(Encounter_Diff[Hard], MATCH(PartyCompare_6[[#This Row],[Level]],Encounter_Diff[Player Level],0))</f>
        <v>0</v>
      </c>
      <c r="R64" s="30">
        <f>INDEX(Encounter_Diff[Deadly], MATCH(PartyCompare_6[[#This Row],[Level]],Encounter_Diff[Player Level],0))</f>
        <v>0</v>
      </c>
      <c r="S64" s="97" t="str">
        <f t="shared" si="6"/>
        <v>1, 1, 1, 1</v>
      </c>
      <c r="T64" s="45" t="s">
        <v>139</v>
      </c>
      <c r="U64" s="74" t="s">
        <v>139</v>
      </c>
      <c r="V64" s="78" t="s">
        <v>139</v>
      </c>
      <c r="W64" s="82" t="s">
        <v>139</v>
      </c>
      <c r="X64" s="45" t="s">
        <v>139</v>
      </c>
      <c r="Y64" s="45" t="s">
        <v>139</v>
      </c>
      <c r="Z64" s="41" t="s">
        <v>139</v>
      </c>
      <c r="AA64" s="44" t="s">
        <v>139</v>
      </c>
      <c r="AB64" s="45" t="s">
        <v>139</v>
      </c>
      <c r="AC64" s="45" t="s">
        <v>139</v>
      </c>
      <c r="AD64" s="41" t="s">
        <v>139</v>
      </c>
      <c r="AE64" s="49" t="s">
        <v>139</v>
      </c>
      <c r="AF64" s="36">
        <f>IF(ISNUMBER(PartyCompare_6[[#This Row],[Level]]), PartyCompare_6[[#This Row],[Level]]+1, PartyCompare_6[[#This Row],[Level]])</f>
        <v>0</v>
      </c>
      <c r="AG64" s="36">
        <f>INDEX(Encounter_Diff[Easy], MATCH(PartyCompare_6[[#This Row],[+1 Level]],Encounter_Diff[Player Level],0))</f>
        <v>0</v>
      </c>
      <c r="AH64" s="36">
        <f>INDEX(Encounter_Diff[Medium], MATCH(PartyCompare_6[[#This Row],[+1 Level]],Encounter_Diff[Player Level],0))</f>
        <v>0</v>
      </c>
      <c r="AI64" s="36">
        <f>INDEX(Encounter_Diff[Hard], MATCH(PartyCompare_6[[#This Row],[+1 Level]],Encounter_Diff[Player Level],0))</f>
        <v>0</v>
      </c>
      <c r="AJ64" s="36">
        <f>INDEX(Encounter_Diff[Deadly], MATCH(PartyCompare_6[[#This Row],[+1 Level]],Encounter_Diff[Player Level],0))</f>
        <v>0</v>
      </c>
      <c r="AK64" s="44" t="s">
        <v>139</v>
      </c>
      <c r="AL64" s="37" t="s">
        <v>139</v>
      </c>
      <c r="AM64" s="37" t="s">
        <v>139</v>
      </c>
      <c r="AN64" s="45" t="s">
        <v>139</v>
      </c>
      <c r="AO64" s="44" t="s">
        <v>139</v>
      </c>
      <c r="AP64" s="37" t="s">
        <v>139</v>
      </c>
      <c r="AQ64" s="37" t="s">
        <v>139</v>
      </c>
      <c r="AR64" s="41" t="s">
        <v>139</v>
      </c>
      <c r="AS64" s="49" t="s">
        <v>139</v>
      </c>
      <c r="AT64" s="36">
        <f>IF(ISNUMBER(PartyCompare_6[[#This Row],[Level]]), PartyCompare_6[[#This Row],[Level]]+2, PartyCompare_6[[#This Row],[Level]])</f>
        <v>0</v>
      </c>
      <c r="AU64" s="36">
        <f>INDEX(Encounter_Diff[Easy], MATCH(PartyCompare_6[[#This Row],[+2 Level]],Encounter_Diff[Player Level],0))</f>
        <v>0</v>
      </c>
      <c r="AV64" s="36">
        <f>INDEX(Encounter_Diff[Medium], MATCH(PartyCompare_6[[#This Row],[+2 Level]],Encounter_Diff[Player Level],0))</f>
        <v>0</v>
      </c>
      <c r="AW64" s="36">
        <f>INDEX(Encounter_Diff[Hard], MATCH(PartyCompare_6[[#This Row],[+2 Level]],Encounter_Diff[Player Level],0))</f>
        <v>0</v>
      </c>
      <c r="AX64" s="36">
        <f>INDEX(Encounter_Diff[Deadly], MATCH(PartyCompare_6[[#This Row],[+2 Level]],Encounter_Diff[Player Level],0))</f>
        <v>0</v>
      </c>
      <c r="AY64" s="44" t="s">
        <v>139</v>
      </c>
      <c r="AZ64" s="37" t="s">
        <v>139</v>
      </c>
      <c r="BA64" s="37" t="s">
        <v>139</v>
      </c>
      <c r="BB64" s="45" t="s">
        <v>139</v>
      </c>
      <c r="BC64" s="44" t="s">
        <v>139</v>
      </c>
      <c r="BD64" s="37" t="s">
        <v>139</v>
      </c>
      <c r="BE64" s="37" t="s">
        <v>139</v>
      </c>
      <c r="BF64" s="41" t="s">
        <v>139</v>
      </c>
      <c r="BG64" s="49" t="s">
        <v>139</v>
      </c>
      <c r="BH64" s="36">
        <f>IF(ISNUMBER(PartyCompare_6[[#This Row],[Level]]), PartyCompare_6[[#This Row],[Level]]+3, PartyCompare_6[[#This Row],[Level]])</f>
        <v>0</v>
      </c>
      <c r="BI64" s="36">
        <f>INDEX(Encounter_Diff[Easy], MATCH(PartyCompare_6[[#This Row],[+3 Level]],Encounter_Diff[Player Level],0))</f>
        <v>0</v>
      </c>
      <c r="BJ64" s="36">
        <f>INDEX(Encounter_Diff[Medium], MATCH(PartyCompare_6[[#This Row],[+3 Level]],Encounter_Diff[Player Level],0))</f>
        <v>0</v>
      </c>
      <c r="BK64" s="36">
        <f>INDEX(Encounter_Diff[Hard], MATCH(PartyCompare_6[[#This Row],[+3 Level]],Encounter_Diff[Player Level],0))</f>
        <v>0</v>
      </c>
      <c r="BL64" s="36">
        <f>INDEX(Encounter_Diff[Deadly], MATCH(PartyCompare_6[[#This Row],[+3 Level]],Encounter_Diff[Player Level],0))</f>
        <v>0</v>
      </c>
      <c r="BM64" s="44" t="s">
        <v>139</v>
      </c>
      <c r="BN64" s="37" t="s">
        <v>139</v>
      </c>
      <c r="BO64" s="37" t="s">
        <v>139</v>
      </c>
      <c r="BP64" s="45" t="s">
        <v>139</v>
      </c>
      <c r="BQ64" s="44" t="s">
        <v>139</v>
      </c>
      <c r="BR64" s="37" t="s">
        <v>139</v>
      </c>
      <c r="BS64" s="37" t="s">
        <v>139</v>
      </c>
      <c r="BT64" s="41" t="s">
        <v>139</v>
      </c>
      <c r="BU64" s="49" t="s">
        <v>139</v>
      </c>
      <c r="BV64" s="36">
        <f>IF(ISNUMBER(PartyCompare_6[[#This Row],[Level]]), PartyCompare_6[[#This Row],[Level]]+4, PartyCompare_6[[#This Row],[Level]])</f>
        <v>0</v>
      </c>
      <c r="BW64" s="36">
        <f>INDEX(Encounter_Diff[Easy], MATCH(PartyCompare_6[[#This Row],[+4 Level]],Encounter_Diff[Player Level],0))</f>
        <v>0</v>
      </c>
      <c r="BX64" s="36">
        <f>INDEX(Encounter_Diff[Medium], MATCH(PartyCompare_6[[#This Row],[+4 Level]],Encounter_Diff[Player Level],0))</f>
        <v>0</v>
      </c>
      <c r="BY64" s="36">
        <f>INDEX(Encounter_Diff[Hard], MATCH(PartyCompare_6[[#This Row],[+4 Level]],Encounter_Diff[Player Level],0))</f>
        <v>0</v>
      </c>
      <c r="BZ64" s="36">
        <f>INDEX(Encounter_Diff[Deadly], MATCH(PartyCompare_6[[#This Row],[+4 Level]],Encounter_Diff[Player Level],0))</f>
        <v>0</v>
      </c>
      <c r="CA64" s="44" t="s">
        <v>139</v>
      </c>
      <c r="CB64" s="37" t="s">
        <v>139</v>
      </c>
      <c r="CC64" s="37" t="s">
        <v>139</v>
      </c>
      <c r="CD64" s="45" t="s">
        <v>139</v>
      </c>
      <c r="CE64" s="44" t="s">
        <v>139</v>
      </c>
      <c r="CF64" s="37" t="s">
        <v>139</v>
      </c>
      <c r="CG64" s="37" t="s">
        <v>139</v>
      </c>
      <c r="CH64" s="41" t="s">
        <v>139</v>
      </c>
      <c r="CI64" s="49" t="s">
        <v>139</v>
      </c>
    </row>
    <row r="65" spans="12:87" ht="15.75" thickBot="1" x14ac:dyDescent="0.25">
      <c r="L65" s="234"/>
      <c r="M65" s="91"/>
      <c r="N65" s="90"/>
      <c r="O65" s="32">
        <f>INDEX(Encounter_Diff[Easy], MATCH(PartyCompare_6[[#This Row],[Level]],Encounter_Diff[Player Level],0))</f>
        <v>0</v>
      </c>
      <c r="P65" s="32">
        <f>INDEX(Encounter_Diff[Medium], MATCH(PartyCompare_6[[#This Row],[Level]],Encounter_Diff[Player Level],0))</f>
        <v>0</v>
      </c>
      <c r="Q65" s="32">
        <f>INDEX(Encounter_Diff[Hard], MATCH(PartyCompare_6[[#This Row],[Level]],Encounter_Diff[Player Level],0))</f>
        <v>0</v>
      </c>
      <c r="R65" s="30">
        <f>INDEX(Encounter_Diff[Deadly], MATCH(PartyCompare_6[[#This Row],[Level]],Encounter_Diff[Player Level],0))</f>
        <v>0</v>
      </c>
      <c r="S65" s="98" t="str">
        <f t="shared" si="6"/>
        <v>1, 1, 1, 1</v>
      </c>
      <c r="T65" s="45" t="s">
        <v>139</v>
      </c>
      <c r="U65" s="74" t="s">
        <v>139</v>
      </c>
      <c r="V65" s="80" t="s">
        <v>139</v>
      </c>
      <c r="W65" s="82" t="s">
        <v>139</v>
      </c>
      <c r="X65" s="45" t="s">
        <v>139</v>
      </c>
      <c r="Y65" s="45" t="s">
        <v>139</v>
      </c>
      <c r="Z65" s="41" t="s">
        <v>139</v>
      </c>
      <c r="AA65" s="44" t="s">
        <v>139</v>
      </c>
      <c r="AB65" s="45" t="s">
        <v>139</v>
      </c>
      <c r="AC65" s="45" t="s">
        <v>139</v>
      </c>
      <c r="AD65" s="41" t="s">
        <v>139</v>
      </c>
      <c r="AE65" s="49" t="s">
        <v>139</v>
      </c>
      <c r="AF65" s="36">
        <f>IF(ISNUMBER(PartyCompare_6[[#This Row],[Level]]), PartyCompare_6[[#This Row],[Level]]+1, PartyCompare_6[[#This Row],[Level]])</f>
        <v>0</v>
      </c>
      <c r="AG65" s="36">
        <f>INDEX(Encounter_Diff[Easy], MATCH(PartyCompare_6[[#This Row],[+1 Level]],Encounter_Diff[Player Level],0))</f>
        <v>0</v>
      </c>
      <c r="AH65" s="36">
        <f>INDEX(Encounter_Diff[Medium], MATCH(PartyCompare_6[[#This Row],[+1 Level]],Encounter_Diff[Player Level],0))</f>
        <v>0</v>
      </c>
      <c r="AI65" s="36">
        <f>INDEX(Encounter_Diff[Hard], MATCH(PartyCompare_6[[#This Row],[+1 Level]],Encounter_Diff[Player Level],0))</f>
        <v>0</v>
      </c>
      <c r="AJ65" s="36">
        <f>INDEX(Encounter_Diff[Deadly], MATCH(PartyCompare_6[[#This Row],[+1 Level]],Encounter_Diff[Player Level],0))</f>
        <v>0</v>
      </c>
      <c r="AK65" s="44" t="s">
        <v>139</v>
      </c>
      <c r="AL65" s="37" t="s">
        <v>139</v>
      </c>
      <c r="AM65" s="37" t="s">
        <v>139</v>
      </c>
      <c r="AN65" s="45" t="s">
        <v>139</v>
      </c>
      <c r="AO65" s="44" t="s">
        <v>139</v>
      </c>
      <c r="AP65" s="37" t="s">
        <v>139</v>
      </c>
      <c r="AQ65" s="37" t="s">
        <v>139</v>
      </c>
      <c r="AR65" s="41" t="s">
        <v>139</v>
      </c>
      <c r="AS65" s="49" t="s">
        <v>139</v>
      </c>
      <c r="AT65" s="53">
        <f>IF(ISNUMBER(PartyCompare_6[[#This Row],[Level]]), PartyCompare_6[[#This Row],[Level]]+2, PartyCompare_6[[#This Row],[Level]])</f>
        <v>0</v>
      </c>
      <c r="AU65" s="53">
        <f>INDEX(Encounter_Diff[Easy], MATCH(PartyCompare_6[[#This Row],[+2 Level]],Encounter_Diff[Player Level],0))</f>
        <v>0</v>
      </c>
      <c r="AV65" s="53">
        <f>INDEX(Encounter_Diff[Medium], MATCH(PartyCompare_6[[#This Row],[+2 Level]],Encounter_Diff[Player Level],0))</f>
        <v>0</v>
      </c>
      <c r="AW65" s="53">
        <f>INDEX(Encounter_Diff[Hard], MATCH(PartyCompare_6[[#This Row],[+2 Level]],Encounter_Diff[Player Level],0))</f>
        <v>0</v>
      </c>
      <c r="AX65" s="53">
        <f>INDEX(Encounter_Diff[Deadly], MATCH(PartyCompare_6[[#This Row],[+2 Level]],Encounter_Diff[Player Level],0))</f>
        <v>0</v>
      </c>
      <c r="AY65" s="61" t="s">
        <v>139</v>
      </c>
      <c r="AZ65" s="54" t="s">
        <v>139</v>
      </c>
      <c r="BA65" s="54" t="s">
        <v>139</v>
      </c>
      <c r="BB65" s="54" t="s">
        <v>139</v>
      </c>
      <c r="BC65" s="61" t="s">
        <v>139</v>
      </c>
      <c r="BD65" s="54" t="s">
        <v>139</v>
      </c>
      <c r="BE65" s="54" t="s">
        <v>139</v>
      </c>
      <c r="BF65" s="55" t="s">
        <v>139</v>
      </c>
      <c r="BG65" s="56" t="s">
        <v>139</v>
      </c>
      <c r="BH65" s="53">
        <f>IF(ISNUMBER(PartyCompare_6[[#This Row],[Level]]), PartyCompare_6[[#This Row],[Level]]+3, PartyCompare_6[[#This Row],[Level]])</f>
        <v>0</v>
      </c>
      <c r="BI65" s="53">
        <f>INDEX(Encounter_Diff[Easy], MATCH(PartyCompare_6[[#This Row],[+3 Level]],Encounter_Diff[Player Level],0))</f>
        <v>0</v>
      </c>
      <c r="BJ65" s="53">
        <f>INDEX(Encounter_Diff[Medium], MATCH(PartyCompare_6[[#This Row],[+3 Level]],Encounter_Diff[Player Level],0))</f>
        <v>0</v>
      </c>
      <c r="BK65" s="53">
        <f>INDEX(Encounter_Diff[Hard], MATCH(PartyCompare_6[[#This Row],[+3 Level]],Encounter_Diff[Player Level],0))</f>
        <v>0</v>
      </c>
      <c r="BL65" s="53">
        <f>INDEX(Encounter_Diff[Deadly], MATCH(PartyCompare_6[[#This Row],[+3 Level]],Encounter_Diff[Player Level],0))</f>
        <v>0</v>
      </c>
      <c r="BM65" s="61" t="s">
        <v>139</v>
      </c>
      <c r="BN65" s="54" t="s">
        <v>139</v>
      </c>
      <c r="BO65" s="54" t="s">
        <v>139</v>
      </c>
      <c r="BP65" s="54" t="s">
        <v>139</v>
      </c>
      <c r="BQ65" s="61" t="s">
        <v>139</v>
      </c>
      <c r="BR65" s="54" t="s">
        <v>139</v>
      </c>
      <c r="BS65" s="54" t="s">
        <v>139</v>
      </c>
      <c r="BT65" s="55" t="s">
        <v>139</v>
      </c>
      <c r="BU65" s="56" t="s">
        <v>139</v>
      </c>
      <c r="BV65" s="53">
        <f>IF(ISNUMBER(PartyCompare_6[[#This Row],[Level]]), PartyCompare_6[[#This Row],[Level]]+4, PartyCompare_6[[#This Row],[Level]])</f>
        <v>0</v>
      </c>
      <c r="BW65" s="53">
        <f>INDEX(Encounter_Diff[Easy], MATCH(PartyCompare_6[[#This Row],[+4 Level]],Encounter_Diff[Player Level],0))</f>
        <v>0</v>
      </c>
      <c r="BX65" s="53">
        <f>INDEX(Encounter_Diff[Medium], MATCH(PartyCompare_6[[#This Row],[+4 Level]],Encounter_Diff[Player Level],0))</f>
        <v>0</v>
      </c>
      <c r="BY65" s="53">
        <f>INDEX(Encounter_Diff[Hard], MATCH(PartyCompare_6[[#This Row],[+4 Level]],Encounter_Diff[Player Level],0))</f>
        <v>0</v>
      </c>
      <c r="BZ65" s="53">
        <f>INDEX(Encounter_Diff[Deadly], MATCH(PartyCompare_6[[#This Row],[+4 Level]],Encounter_Diff[Player Level],0))</f>
        <v>0</v>
      </c>
      <c r="CA65" s="61" t="s">
        <v>139</v>
      </c>
      <c r="CB65" s="54" t="s">
        <v>139</v>
      </c>
      <c r="CC65" s="54" t="s">
        <v>139</v>
      </c>
      <c r="CD65" s="54" t="s">
        <v>139</v>
      </c>
      <c r="CE65" s="61" t="s">
        <v>139</v>
      </c>
      <c r="CF65" s="54" t="s">
        <v>139</v>
      </c>
      <c r="CG65" s="54" t="s">
        <v>139</v>
      </c>
      <c r="CH65" s="55" t="s">
        <v>139</v>
      </c>
      <c r="CI65" s="56" t="s">
        <v>139</v>
      </c>
    </row>
    <row r="66" spans="12:87" ht="15.75" x14ac:dyDescent="0.2">
      <c r="L66" s="40" t="s">
        <v>144</v>
      </c>
      <c r="M66" s="29" t="s">
        <v>134</v>
      </c>
      <c r="N66" s="72" t="s">
        <v>33</v>
      </c>
      <c r="O66" s="32" t="s">
        <v>140</v>
      </c>
      <c r="P66" s="32" t="s">
        <v>141</v>
      </c>
      <c r="Q66" s="32" t="s">
        <v>142</v>
      </c>
      <c r="R66" s="30" t="s">
        <v>143</v>
      </c>
      <c r="S66" s="96" t="s">
        <v>144</v>
      </c>
      <c r="T66" s="32" t="s">
        <v>119</v>
      </c>
      <c r="U66" s="73" t="s">
        <v>120</v>
      </c>
      <c r="V66" s="79" t="s">
        <v>224</v>
      </c>
      <c r="W66" s="29" t="s">
        <v>36</v>
      </c>
      <c r="X66" s="32" t="s">
        <v>37</v>
      </c>
      <c r="Y66" s="32" t="s">
        <v>38</v>
      </c>
      <c r="Z66" s="30" t="s">
        <v>40</v>
      </c>
      <c r="AA66" s="31" t="s">
        <v>129</v>
      </c>
      <c r="AB66" s="32" t="s">
        <v>130</v>
      </c>
      <c r="AC66" s="32" t="s">
        <v>131</v>
      </c>
      <c r="AD66" s="30" t="s">
        <v>132</v>
      </c>
      <c r="AE66" s="47" t="s">
        <v>133</v>
      </c>
      <c r="AF66" s="41" t="s">
        <v>154</v>
      </c>
      <c r="AG66" s="37" t="s">
        <v>155</v>
      </c>
      <c r="AH66" s="37" t="s">
        <v>156</v>
      </c>
      <c r="AI66" s="37" t="s">
        <v>157</v>
      </c>
      <c r="AJ66" s="37" t="s">
        <v>158</v>
      </c>
      <c r="AK66" s="44" t="s">
        <v>159</v>
      </c>
      <c r="AL66" s="37" t="s">
        <v>160</v>
      </c>
      <c r="AM66" s="37" t="s">
        <v>161</v>
      </c>
      <c r="AN66" s="41" t="s">
        <v>162</v>
      </c>
      <c r="AO66" s="37" t="s">
        <v>163</v>
      </c>
      <c r="AP66" s="37" t="s">
        <v>164</v>
      </c>
      <c r="AQ66" s="37" t="s">
        <v>165</v>
      </c>
      <c r="AR66" s="41" t="s">
        <v>166</v>
      </c>
      <c r="AS66" s="49" t="s">
        <v>167</v>
      </c>
      <c r="AT66" s="57" t="s">
        <v>196</v>
      </c>
      <c r="AU66" s="58" t="s">
        <v>197</v>
      </c>
      <c r="AV66" s="58" t="s">
        <v>198</v>
      </c>
      <c r="AW66" s="58" t="s">
        <v>199</v>
      </c>
      <c r="AX66" s="58" t="s">
        <v>200</v>
      </c>
      <c r="AY66" s="65" t="s">
        <v>201</v>
      </c>
      <c r="AZ66" s="58" t="s">
        <v>202</v>
      </c>
      <c r="BA66" s="58" t="s">
        <v>203</v>
      </c>
      <c r="BB66" s="58" t="s">
        <v>204</v>
      </c>
      <c r="BC66" s="65" t="s">
        <v>205</v>
      </c>
      <c r="BD66" s="58" t="s">
        <v>206</v>
      </c>
      <c r="BE66" s="58" t="s">
        <v>207</v>
      </c>
      <c r="BF66" s="57" t="s">
        <v>208</v>
      </c>
      <c r="BG66" s="59" t="s">
        <v>209</v>
      </c>
      <c r="BH66" s="57" t="s">
        <v>168</v>
      </c>
      <c r="BI66" s="58" t="s">
        <v>169</v>
      </c>
      <c r="BJ66" s="58" t="s">
        <v>170</v>
      </c>
      <c r="BK66" s="58" t="s">
        <v>171</v>
      </c>
      <c r="BL66" s="58" t="s">
        <v>172</v>
      </c>
      <c r="BM66" s="65" t="s">
        <v>173</v>
      </c>
      <c r="BN66" s="58" t="s">
        <v>174</v>
      </c>
      <c r="BO66" s="58" t="s">
        <v>175</v>
      </c>
      <c r="BP66" s="58" t="s">
        <v>176</v>
      </c>
      <c r="BQ66" s="65" t="s">
        <v>177</v>
      </c>
      <c r="BR66" s="58" t="s">
        <v>178</v>
      </c>
      <c r="BS66" s="58" t="s">
        <v>179</v>
      </c>
      <c r="BT66" s="58" t="s">
        <v>180</v>
      </c>
      <c r="BU66" s="59" t="s">
        <v>181</v>
      </c>
      <c r="BV66" s="58" t="s">
        <v>182</v>
      </c>
      <c r="BW66" s="65" t="s">
        <v>183</v>
      </c>
      <c r="BX66" s="58" t="s">
        <v>184</v>
      </c>
      <c r="BY66" s="58" t="s">
        <v>185</v>
      </c>
      <c r="BZ66" s="58" t="s">
        <v>186</v>
      </c>
      <c r="CA66" s="65" t="s">
        <v>187</v>
      </c>
      <c r="CB66" s="58" t="s">
        <v>188</v>
      </c>
      <c r="CC66" s="58" t="s">
        <v>189</v>
      </c>
      <c r="CD66" s="58" t="s">
        <v>190</v>
      </c>
      <c r="CE66" s="65" t="s">
        <v>191</v>
      </c>
      <c r="CF66" s="58" t="s">
        <v>192</v>
      </c>
      <c r="CG66" s="58" t="s">
        <v>193</v>
      </c>
      <c r="CH66" s="58" t="s">
        <v>194</v>
      </c>
      <c r="CI66" s="59" t="s">
        <v>195</v>
      </c>
    </row>
    <row r="67" spans="12:87" x14ac:dyDescent="0.2">
      <c r="L67" s="232"/>
      <c r="M67" s="91"/>
      <c r="N67" s="90"/>
      <c r="O67" s="32">
        <f>INDEX(Encounter_Diff[Easy], MATCH(PartyCompare_7[[#This Row],[Level]],Encounter_Diff[Player Level],0))</f>
        <v>0</v>
      </c>
      <c r="P67" s="32">
        <f>INDEX(Encounter_Diff[Medium], MATCH(PartyCompare_7[[#This Row],[Level]],Encounter_Diff[Player Level],0))</f>
        <v>0</v>
      </c>
      <c r="Q67" s="32">
        <f>INDEX(Encounter_Diff[Hard], MATCH(PartyCompare_7[[#This Row],[Level]],Encounter_Diff[Player Level],0))</f>
        <v>0</v>
      </c>
      <c r="R67" s="30">
        <f>INDEX(Encounter_Diff[Deadly], MATCH(PartyCompare_7[[#This Row],[Level]],Encounter_Diff[Player Level],0))</f>
        <v>0</v>
      </c>
      <c r="S67" s="97">
        <f>L67</f>
        <v>0</v>
      </c>
      <c r="T67" s="32" t="str">
        <f>IF(COUNT(PartyCompare_7[Level])&lt;=2,"Small", IF(COUNT(PartyCompare_7[Level])&lt;=5,"Med", IF(COUNT(PartyCompare_7[Level])&lt;=8, "Large", "TOO BIG!")))</f>
        <v>Small</v>
      </c>
      <c r="U67" s="73" t="s">
        <v>107</v>
      </c>
      <c r="V67" s="77" t="str">
        <f>INDEX(Encounter_Mod[Count], MATCH(PartyCompare_7[[#This Row],[Mob Size]], Encounter_Mod[Type],0))</f>
        <v>1</v>
      </c>
      <c r="W67" s="81">
        <f>SUM(PartyCompare_7[(Easy)])/INDEX(Encounter_Mod[[Small]:[Large]], MATCH(PartyCompare_7[[#This Row],[Mob Size]], Encounter_Mod[Type], 0), MATCH(PartyCompare_7[[#This Row],[Party Size]],Encounter_Mod[[#Headers],[Small]:[Large]],0))</f>
        <v>0</v>
      </c>
      <c r="X67" s="42">
        <f>SUM(PartyCompare_7[(Medium)])/INDEX(Encounter_Mod[[Small]:[Large]], MATCH(PartyCompare_7[[#This Row],[Mob Size]], Encounter_Mod[Type], 0), MATCH(PartyCompare_7[[#This Row],[Party Size]],Encounter_Mod[[#Headers],[Small]:[Large]],0))</f>
        <v>0</v>
      </c>
      <c r="Y67" s="42">
        <f>SUM(PartyCompare_7[(Hard)])/INDEX(Encounter_Mod[[Small]:[Large]], MATCH(PartyCompare_7[[#This Row],[Mob Size]], Encounter_Mod[Type], 0), MATCH(PartyCompare_7[[#This Row],[Party Size]],Encounter_Mod[[#Headers],[Small]:[Large]],0))</f>
        <v>0</v>
      </c>
      <c r="Z67" s="43">
        <f>SUM(PartyCompare_7[(Deadly)])/INDEX(Encounter_Mod[[Small]:[Large]], MATCH(PartyCompare_7[[#This Row],[Mob Size]], Encounter_Mod[Type], 0), MATCH(PartyCompare_7[[#This Row],[Party Size]],Encounter_Mod[[#Headers],[Small]:[Large]],0))</f>
        <v>0</v>
      </c>
      <c r="AA67" s="46">
        <f>(PartyCompare_7[[#This Row],[Easy]]-INDEX(PartyCompare_0[Easy], MATCH(PartyCompare_7[[#This Row],[Mob Size]],PartyCompare_0[Mob Size],0)))/INDEX(PartyCompare_0[Easy], MATCH(PartyCompare_7[[#This Row],[Mob Size]],PartyCompare_0[Mob Size],0))</f>
        <v>-1</v>
      </c>
      <c r="AB67" s="33">
        <f>(PartyCompare_7[[#This Row],[Medium]]-INDEX(PartyCompare_0[Medium], MATCH(PartyCompare_7[[#This Row],[Mob Size]],PartyCompare_0[Mob Size],0)))/INDEX(PartyCompare_0[Medium], MATCH(PartyCompare_7[[#This Row],[Mob Size]],PartyCompare_0[Mob Size],0))</f>
        <v>-1</v>
      </c>
      <c r="AC67" s="33">
        <f>(PartyCompare_7[[#This Row],[Hard]]-INDEX(PartyCompare_0[Hard], MATCH(PartyCompare_7[[#This Row],[Mob Size]],PartyCompare_0[Mob Size],0)))/INDEX(PartyCompare_0[Hard], MATCH(PartyCompare_7[[#This Row],[Mob Size]],PartyCompare_0[Mob Size],0))</f>
        <v>-1</v>
      </c>
      <c r="AD67" s="34">
        <f>(PartyCompare_7[[#This Row],[Deadly]]-INDEX(PartyCompare_0[Deadly], MATCH(PartyCompare_7[[#This Row],[Mob Size]],PartyCompare_0[Mob Size],0)))/INDEX(PartyCompare_0[Deadly], MATCH(PartyCompare_7[[#This Row],[Mob Size]],PartyCompare_0[Mob Size],0))</f>
        <v>-1</v>
      </c>
      <c r="AE67" s="48">
        <f>AVERAGE(PartyCompare_7[[#This Row],[Easy Deviation]:[Deadly Deviation]])</f>
        <v>-1</v>
      </c>
      <c r="AF67" s="36">
        <f>IF(ISNUMBER(PartyCompare_7[[#This Row],[Level]]), PartyCompare_7[[#This Row],[Level]]+1, PartyCompare_7[[#This Row],[Level]])</f>
        <v>0</v>
      </c>
      <c r="AG67" s="36">
        <f>INDEX(Encounter_Diff[Easy], MATCH(PartyCompare_7[[#This Row],[+1 Level]],Encounter_Diff[Player Level],0))</f>
        <v>0</v>
      </c>
      <c r="AH67" s="36">
        <f>INDEX(Encounter_Diff[Medium], MATCH(PartyCompare_7[[#This Row],[+1 Level]],Encounter_Diff[Player Level],0))</f>
        <v>0</v>
      </c>
      <c r="AI67" s="36">
        <f>INDEX(Encounter_Diff[Hard], MATCH(PartyCompare_7[[#This Row],[+1 Level]],Encounter_Diff[Player Level],0))</f>
        <v>0</v>
      </c>
      <c r="AJ67" s="36">
        <f>INDEX(Encounter_Diff[Deadly], MATCH(PartyCompare_7[[#This Row],[+1 Level]],Encounter_Diff[Player Level],0))</f>
        <v>0</v>
      </c>
      <c r="AK67" s="63">
        <f>SUM(PartyCompare_7[+1 (Easy)])/INDEX(Encounter_Mod[[Small]:[Large]], MATCH(PartyCompare_7[[#This Row],[Mob Size]], Encounter_Mod[Type], 0), MATCH(PartyCompare_7[[#This Row],[Party Size]],Encounter_Mod[[#Headers],[Small]:[Large]],0))</f>
        <v>0</v>
      </c>
      <c r="AL67" s="38">
        <f>SUM(PartyCompare_7[+1 (Medium)])/INDEX(Encounter_Mod[[Small]:[Large]], MATCH(PartyCompare_7[[#This Row],[Mob Size]], Encounter_Mod[Type], 0), MATCH(PartyCompare_7[[#This Row],[Party Size]],Encounter_Mod[[#Headers],[Small]:[Large]],0))</f>
        <v>0</v>
      </c>
      <c r="AM67" s="38">
        <f>SUM(PartyCompare_7[+1 (Hard)])/INDEX(Encounter_Mod[[Small]:[Large]], MATCH(PartyCompare_7[[#This Row],[Mob Size]], Encounter_Mod[Type], 0), MATCH(PartyCompare_7[[#This Row],[Party Size]],Encounter_Mod[[#Headers],[Small]:[Large]],0))</f>
        <v>0</v>
      </c>
      <c r="AN67" s="38">
        <f>SUM(PartyCompare_7[+1 (Deadly)])/INDEX(Encounter_Mod[[Small]:[Large]], MATCH(PartyCompare_7[[#This Row],[Mob Size]], Encounter_Mod[Type], 0), MATCH(PartyCompare_7[[#This Row],[Party Size]],Encounter_Mod[[#Headers],[Small]:[Large]],0))</f>
        <v>0</v>
      </c>
      <c r="AO67" s="46">
        <f>(PartyCompare_7[[#This Row],[+1 Easy]]-INDEX(PartyCompare_0[+1 Easy], MATCH(PartyCompare_7[[#This Row],[Mob Size]],PartyCompare_7[Mob Size],0)))/INDEX(PartyCompare_0[+1 Easy], MATCH(PartyCompare_7[[#This Row],[Mob Size]],PartyCompare_7[Mob Size],0))</f>
        <v>-1</v>
      </c>
      <c r="AP67" s="39">
        <f>(PartyCompare_7[[#This Row],[+1 Medium]]-INDEX(PartyCompare_0[+1 Medium], MATCH(PartyCompare_7[[#This Row],[Mob Size]],PartyCompare_7[Mob Size],0)))/INDEX(PartyCompare_0[+1 Medium], MATCH(PartyCompare_7[[#This Row],[Mob Size]],PartyCompare_7[Mob Size],0))</f>
        <v>-1</v>
      </c>
      <c r="AQ67" s="39">
        <f>(PartyCompare_7[[#This Row],[+1 Hard]]-INDEX(PartyCompare_0[+1 Hard], MATCH(PartyCompare_7[[#This Row],[Mob Size]],PartyCompare_7[Mob Size],0)))/INDEX(PartyCompare_0[+1 Hard], MATCH(PartyCompare_7[[#This Row],[Mob Size]],PartyCompare_7[Mob Size],0))</f>
        <v>-1</v>
      </c>
      <c r="AR67" s="34">
        <f>(PartyCompare_7[[#This Row],[+1 Deadly]]-INDEX(PartyCompare_0[+1 Deadly], MATCH(PartyCompare_7[[#This Row],[Mob Size]],PartyCompare_7[Mob Size],0)))/INDEX(PartyCompare_0[+1 Deadly], MATCH(PartyCompare_7[[#This Row],[Mob Size]],PartyCompare_7[Mob Size],0))</f>
        <v>-1</v>
      </c>
      <c r="AS67" s="48">
        <f>AVERAGE(PartyCompare_7[[#This Row],[+1 Easy Deviation]:[+1 Deadly Deviation]])</f>
        <v>-1</v>
      </c>
      <c r="AT67" s="36">
        <f>IF(ISNUMBER(PartyCompare_7[[#This Row],[Level]]), PartyCompare_7[[#This Row],[Level]]+2, PartyCompare_7[[#This Row],[Level]])</f>
        <v>0</v>
      </c>
      <c r="AU67" s="36">
        <f>INDEX(Encounter_Diff[Easy], MATCH(PartyCompare_7[[#This Row],[+2 Level]],Encounter_Diff[Player Level],0))</f>
        <v>0</v>
      </c>
      <c r="AV67" s="36">
        <f>INDEX(Encounter_Diff[Medium], MATCH(PartyCompare_7[[#This Row],[+2 Level]],Encounter_Diff[Player Level],0))</f>
        <v>0</v>
      </c>
      <c r="AW67" s="36">
        <f>INDEX(Encounter_Diff[Hard], MATCH(PartyCompare_7[[#This Row],[+2 Level]],Encounter_Diff[Player Level],0))</f>
        <v>0</v>
      </c>
      <c r="AX67" s="36">
        <f>INDEX(Encounter_Diff[Deadly], MATCH(PartyCompare_7[[#This Row],[+2 Level]],Encounter_Diff[Player Level],0))</f>
        <v>0</v>
      </c>
      <c r="AY67" s="63">
        <f>SUM(PartyCompare_7[+2 (Easy)])/INDEX(Encounter_Mod[[Small]:[Large]], MATCH(PartyCompare_7[[#This Row],[Mob Size]], Encounter_Mod[Type], 0), MATCH(PartyCompare_7[[#This Row],[Party Size]],Encounter_Mod[[#Headers],[Small]:[Large]],0))</f>
        <v>0</v>
      </c>
      <c r="AZ67" s="38">
        <f>SUM(PartyCompare_7[+2 (Medium)])/INDEX(Encounter_Mod[[Small]:[Large]], MATCH(PartyCompare_7[[#This Row],[Mob Size]], Encounter_Mod[Type], 0), MATCH(PartyCompare_7[[#This Row],[Party Size]],Encounter_Mod[[#Headers],[Small]:[Large]],0))</f>
        <v>0</v>
      </c>
      <c r="BA67" s="38">
        <f>SUM(PartyCompare_7[+2 (Hard)])/INDEX(Encounter_Mod[[Small]:[Large]], MATCH(PartyCompare_7[[#This Row],[Mob Size]], Encounter_Mod[Type], 0), MATCH(PartyCompare_7[[#This Row],[Party Size]],Encounter_Mod[[#Headers],[Small]:[Large]],0))</f>
        <v>0</v>
      </c>
      <c r="BB67" s="38">
        <f>SUM(PartyCompare_7[+2 (Deadly)])/INDEX(Encounter_Mod[[Small]:[Large]], MATCH(PartyCompare_7[[#This Row],[Mob Size]], Encounter_Mod[Type], 0), MATCH(PartyCompare_7[[#This Row],[Party Size]],Encounter_Mod[[#Headers],[Small]:[Large]],0))</f>
        <v>0</v>
      </c>
      <c r="BC67" s="60">
        <f>(PartyCompare_7[[#This Row],[+2 Easy]]-INDEX(PartyCompare_0[+2 Easy], MATCH(PartyCompare_7[[#This Row],[Mob Size]],PartyCompare_7[Mob Size],0)))/INDEX(PartyCompare_0[+2 Easy], MATCH(PartyCompare_7[[#This Row],[Mob Size]],PartyCompare_7[Mob Size],0))</f>
        <v>-1</v>
      </c>
      <c r="BD67" s="39">
        <f>(PartyCompare_7[[#This Row],[+2 Medium]]-INDEX(PartyCompare_0[+2 Medium], MATCH(PartyCompare_7[[#This Row],[Mob Size]],PartyCompare_7[Mob Size],0)))/INDEX(PartyCompare_0[+2 Medium], MATCH(PartyCompare_7[[#This Row],[Mob Size]],PartyCompare_7[Mob Size],0))</f>
        <v>-1</v>
      </c>
      <c r="BE67" s="39">
        <f>(PartyCompare_7[[#This Row],[+2 Hard]]-INDEX(PartyCompare_0[+2 Hard], MATCH(PartyCompare_7[[#This Row],[Mob Size]],PartyCompare_7[Mob Size],0)))/INDEX(PartyCompare_0[+2 Hard], MATCH(PartyCompare_7[[#This Row],[Mob Size]],PartyCompare_7[Mob Size],0))</f>
        <v>-1</v>
      </c>
      <c r="BF67" s="34">
        <f>(PartyCompare_7[[#This Row],[+2 Deadly]]-INDEX(PartyCompare_0[+2 Deadly], MATCH(PartyCompare_7[[#This Row],[Mob Size]],PartyCompare_7[Mob Size],0)))/INDEX(PartyCompare_0[+2 Deadly], MATCH(PartyCompare_7[[#This Row],[Mob Size]],PartyCompare_7[Mob Size],0))</f>
        <v>-1</v>
      </c>
      <c r="BG67" s="48">
        <f>AVERAGE(PartyCompare_7[[#This Row],[+2 Easy Deviation]:[+2 Deadly Deviation]])</f>
        <v>-1</v>
      </c>
      <c r="BH67" s="36">
        <f>IF(ISNUMBER(PartyCompare_7[[#This Row],[Level]]), PartyCompare_7[[#This Row],[Level]]+3, PartyCompare_7[[#This Row],[Level]])</f>
        <v>0</v>
      </c>
      <c r="BI67" s="36">
        <f>INDEX(Encounter_Diff[Easy], MATCH(PartyCompare_7[[#This Row],[+3 Level]],Encounter_Diff[Player Level],0))</f>
        <v>0</v>
      </c>
      <c r="BJ67" s="36">
        <f>INDEX(Encounter_Diff[Medium], MATCH(PartyCompare_7[[#This Row],[+3 Level]],Encounter_Diff[Player Level],0))</f>
        <v>0</v>
      </c>
      <c r="BK67" s="36">
        <f>INDEX(Encounter_Diff[Hard], MATCH(PartyCompare_7[[#This Row],[+3 Level]],Encounter_Diff[Player Level],0))</f>
        <v>0</v>
      </c>
      <c r="BL67" s="36">
        <f>INDEX(Encounter_Diff[Deadly], MATCH(PartyCompare_7[[#This Row],[+3 Level]],Encounter_Diff[Player Level],0))</f>
        <v>0</v>
      </c>
      <c r="BM67" s="63">
        <f>SUM(PartyCompare_7[+3 (Easy)])/INDEX(Encounter_Mod[[Small]:[Large]], MATCH(PartyCompare_7[[#This Row],[Mob Size]], Encounter_Mod[Type], 0), MATCH(PartyCompare_7[[#This Row],[Party Size]],Encounter_Mod[[#Headers],[Small]:[Large]],0))</f>
        <v>0</v>
      </c>
      <c r="BN67" s="38">
        <f>SUM(PartyCompare_7[+3 (Medium)])/INDEX(Encounter_Mod[[Small]:[Large]], MATCH(PartyCompare_7[[#This Row],[Mob Size]], Encounter_Mod[Type], 0), MATCH(PartyCompare_7[[#This Row],[Party Size]],Encounter_Mod[[#Headers],[Small]:[Large]],0))</f>
        <v>0</v>
      </c>
      <c r="BO67" s="38">
        <f>SUM(PartyCompare_7[+3 (Hard)])/INDEX(Encounter_Mod[[Small]:[Large]], MATCH(PartyCompare_7[[#This Row],[Mob Size]], Encounter_Mod[Type], 0), MATCH(PartyCompare_7[[#This Row],[Party Size]],Encounter_Mod[[#Headers],[Small]:[Large]],0))</f>
        <v>0</v>
      </c>
      <c r="BP67" s="38">
        <f>SUM(PartyCompare_7[+3 (Deadly)])/INDEX(Encounter_Mod[[Small]:[Large]], MATCH(PartyCompare_7[[#This Row],[Mob Size]], Encounter_Mod[Type], 0), MATCH(PartyCompare_7[[#This Row],[Party Size]],Encounter_Mod[[#Headers],[Small]:[Large]],0))</f>
        <v>0</v>
      </c>
      <c r="BQ67" s="60">
        <f>(PartyCompare_7[[#This Row],[+3 Easy]]-INDEX(PartyCompare_0[+3 Easy], MATCH(PartyCompare_7[[#This Row],[Mob Size]],PartyCompare_7[Mob Size],0)))/INDEX(PartyCompare_0[+3 Easy], MATCH(PartyCompare_7[[#This Row],[Mob Size]],PartyCompare_7[Mob Size],0))</f>
        <v>-1</v>
      </c>
      <c r="BR67" s="39">
        <f>(PartyCompare_7[[#This Row],[+3 Medium]]-INDEX(PartyCompare_0[+3 Medium], MATCH(PartyCompare_7[[#This Row],[Mob Size]],PartyCompare_7[Mob Size],0)))/INDEX(PartyCompare_0[+3 Medium], MATCH(PartyCompare_7[[#This Row],[Mob Size]],PartyCompare_7[Mob Size],0))</f>
        <v>-1</v>
      </c>
      <c r="BS67" s="39">
        <f>(PartyCompare_7[[#This Row],[+3 Hard]]-INDEX(PartyCompare_0[+3 Hard], MATCH(PartyCompare_7[[#This Row],[Mob Size]],PartyCompare_7[Mob Size],0)))/INDEX(PartyCompare_0[+3 Hard], MATCH(PartyCompare_7[[#This Row],[Mob Size]],PartyCompare_7[Mob Size],0))</f>
        <v>-1</v>
      </c>
      <c r="BT67" s="34">
        <f>(PartyCompare_7[[#This Row],[+3 Deadly]]-INDEX(PartyCompare_0[+3 Deadly], MATCH(PartyCompare_7[[#This Row],[Mob Size]],PartyCompare_7[Mob Size],0)))/INDEX(PartyCompare_0[+3 Deadly], MATCH(PartyCompare_7[[#This Row],[Mob Size]],PartyCompare_7[Mob Size],0))</f>
        <v>-1</v>
      </c>
      <c r="BU67" s="48">
        <f>AVERAGE(PartyCompare_7[[#This Row],[+3 Easy Deviation]:[+3 Deadly Deviation]])</f>
        <v>-1</v>
      </c>
      <c r="BV67" s="36">
        <f>IF(ISNUMBER(PartyCompare_7[[#This Row],[Level]]), PartyCompare_7[[#This Row],[Level]]+4, PartyCompare_7[[#This Row],[Level]])</f>
        <v>0</v>
      </c>
      <c r="BW67" s="36">
        <f>INDEX(Encounter_Diff[Easy], MATCH(PartyCompare_7[[#This Row],[+4 Level]],Encounter_Diff[Player Level],0))</f>
        <v>0</v>
      </c>
      <c r="BX67" s="36">
        <f>INDEX(Encounter_Diff[Medium], MATCH(PartyCompare_7[[#This Row],[+4 Level]],Encounter_Diff[Player Level],0))</f>
        <v>0</v>
      </c>
      <c r="BY67" s="36">
        <f>INDEX(Encounter_Diff[Hard], MATCH(PartyCompare_7[[#This Row],[+4 Level]],Encounter_Diff[Player Level],0))</f>
        <v>0</v>
      </c>
      <c r="BZ67" s="36">
        <f>INDEX(Encounter_Diff[Deadly], MATCH(PartyCompare_7[[#This Row],[+4 Level]],Encounter_Diff[Player Level],0))</f>
        <v>0</v>
      </c>
      <c r="CA67" s="63">
        <f>SUM(PartyCompare_7[+4 (Easy)])/INDEX(Encounter_Mod[[Small]:[Large]], MATCH(PartyCompare_7[[#This Row],[Mob Size]], Encounter_Mod[Type], 0), MATCH(PartyCompare_7[[#This Row],[Party Size]],Encounter_Mod[[#Headers],[Small]:[Large]],0))</f>
        <v>0</v>
      </c>
      <c r="CB67" s="38">
        <f>SUM(PartyCompare_7[+4 (Medium)])/INDEX(Encounter_Mod[[Small]:[Large]], MATCH(PartyCompare_7[[#This Row],[Mob Size]], Encounter_Mod[Type], 0), MATCH(PartyCompare_7[[#This Row],[Party Size]],Encounter_Mod[[#Headers],[Small]:[Large]],0))</f>
        <v>0</v>
      </c>
      <c r="CC67" s="38">
        <f>SUM(PartyCompare_7[+4 (Hard)])/INDEX(Encounter_Mod[[Small]:[Large]], MATCH(PartyCompare_7[[#This Row],[Mob Size]], Encounter_Mod[Type], 0), MATCH(PartyCompare_7[[#This Row],[Party Size]],Encounter_Mod[[#Headers],[Small]:[Large]],0))</f>
        <v>0</v>
      </c>
      <c r="CD67" s="38">
        <f>SUM(PartyCompare_7[+4 (Deadly)])/INDEX(Encounter_Mod[[Small]:[Large]], MATCH(PartyCompare_7[[#This Row],[Mob Size]], Encounter_Mod[Type], 0), MATCH(PartyCompare_7[[#This Row],[Party Size]],Encounter_Mod[[#Headers],[Small]:[Large]],0))</f>
        <v>0</v>
      </c>
      <c r="CE67" s="60">
        <f>(PartyCompare_7[[#This Row],[+4 Easy]]-INDEX(PartyCompare_0[+4 Easy], MATCH(PartyCompare_7[[#This Row],[Mob Size]],PartyCompare_7[Mob Size],0)))/INDEX(PartyCompare_0[+4 Easy], MATCH(PartyCompare_7[[#This Row],[Mob Size]],PartyCompare_7[Mob Size],0))</f>
        <v>-1</v>
      </c>
      <c r="CF67" s="39">
        <f>(PartyCompare_7[[#This Row],[+4 Medium]]-INDEX(PartyCompare_0[+4 Medium], MATCH(PartyCompare_7[[#This Row],[Mob Size]],PartyCompare_7[Mob Size],0)))/INDEX(PartyCompare_0[+4 Medium], MATCH(PartyCompare_7[[#This Row],[Mob Size]],PartyCompare_7[Mob Size],0))</f>
        <v>-1</v>
      </c>
      <c r="CG67" s="39">
        <f>(PartyCompare_7[[#This Row],[+4 Hard]]-INDEX(PartyCompare_0[+4 Hard], MATCH(PartyCompare_7[[#This Row],[Mob Size]],PartyCompare_7[Mob Size],0)))/INDEX(PartyCompare_0[+4 Hard], MATCH(PartyCompare_7[[#This Row],[Mob Size]],PartyCompare_7[Mob Size],0))</f>
        <v>-1</v>
      </c>
      <c r="CH67" s="34">
        <f>(PartyCompare_7[[#This Row],[+4 Deadly]]-INDEX(PartyCompare_0[+4 Deadly], MATCH(PartyCompare_7[[#This Row],[Mob Size]],PartyCompare_7[Mob Size],0)))/INDEX(PartyCompare_0[+4 Deadly], MATCH(PartyCompare_7[[#This Row],[Mob Size]],PartyCompare_7[Mob Size],0))</f>
        <v>-1</v>
      </c>
      <c r="CI67" s="48">
        <f>AVERAGE(PartyCompare_7[[#This Row],[+4 Easy Deviation]:[+4 Deadly Deviation]])</f>
        <v>-1</v>
      </c>
    </row>
    <row r="68" spans="12:87" x14ac:dyDescent="0.2">
      <c r="L68" s="233"/>
      <c r="M68" s="91"/>
      <c r="N68" s="90"/>
      <c r="O68" s="32">
        <f>INDEX(Encounter_Diff[Easy], MATCH(PartyCompare_7[[#This Row],[Level]],Encounter_Diff[Player Level],0))</f>
        <v>0</v>
      </c>
      <c r="P68" s="32">
        <f>INDEX(Encounter_Diff[Medium], MATCH(PartyCompare_7[[#This Row],[Level]],Encounter_Diff[Player Level],0))</f>
        <v>0</v>
      </c>
      <c r="Q68" s="32">
        <f>INDEX(Encounter_Diff[Hard], MATCH(PartyCompare_7[[#This Row],[Level]],Encounter_Diff[Player Level],0))</f>
        <v>0</v>
      </c>
      <c r="R68" s="30">
        <f>INDEX(Encounter_Diff[Deadly], MATCH(PartyCompare_7[[#This Row],[Level]],Encounter_Diff[Player Level],0))</f>
        <v>0</v>
      </c>
      <c r="S68" s="97">
        <f>S67</f>
        <v>0</v>
      </c>
      <c r="T68" s="32" t="str">
        <f>IF(COUNT(PartyCompare_7[Level])&lt;=2,"Small", IF(COUNT(PartyCompare_7[Level])&lt;=5,"Med", IF(COUNT(PartyCompare_7[Level])&lt;=8, "Large", "TOO BIG!")))</f>
        <v>Small</v>
      </c>
      <c r="U68" s="73" t="s">
        <v>108</v>
      </c>
      <c r="V68" s="77" t="str">
        <f>INDEX(Encounter_Mod[Count], MATCH(PartyCompare_7[[#This Row],[Mob Size]], Encounter_Mod[Type],0))</f>
        <v>2</v>
      </c>
      <c r="W68" s="81">
        <f>SUM(PartyCompare_7[(Easy)])/INDEX(Encounter_Mod[[Small]:[Large]], MATCH(PartyCompare_7[[#This Row],[Mob Size]], Encounter_Mod[Type], 0), MATCH(PartyCompare_7[[#This Row],[Party Size]],Encounter_Mod[[#Headers],[Small]:[Large]],0))</f>
        <v>0</v>
      </c>
      <c r="X68" s="42">
        <f>SUM(PartyCompare_7[(Medium)])/INDEX(Encounter_Mod[[Small]:[Large]], MATCH(PartyCompare_7[[#This Row],[Mob Size]], Encounter_Mod[Type], 0), MATCH(PartyCompare_7[[#This Row],[Party Size]],Encounter_Mod[[#Headers],[Small]:[Large]],0))</f>
        <v>0</v>
      </c>
      <c r="Y68" s="42">
        <f>SUM(PartyCompare_7[(Hard)])/INDEX(Encounter_Mod[[Small]:[Large]], MATCH(PartyCompare_7[[#This Row],[Mob Size]], Encounter_Mod[Type], 0), MATCH(PartyCompare_7[[#This Row],[Party Size]],Encounter_Mod[[#Headers],[Small]:[Large]],0))</f>
        <v>0</v>
      </c>
      <c r="Z68" s="43">
        <f>SUM(PartyCompare_7[(Deadly)])/INDEX(Encounter_Mod[[Small]:[Large]], MATCH(PartyCompare_7[[#This Row],[Mob Size]], Encounter_Mod[Type], 0), MATCH(PartyCompare_7[[#This Row],[Party Size]],Encounter_Mod[[#Headers],[Small]:[Large]],0))</f>
        <v>0</v>
      </c>
      <c r="AA68" s="46">
        <f>(PartyCompare_7[[#This Row],[Easy]]-INDEX(PartyCompare_0[Easy], MATCH(PartyCompare_7[[#This Row],[Mob Size]],PartyCompare_0[Mob Size],0)))/INDEX(PartyCompare_0[Easy], MATCH(PartyCompare_7[[#This Row],[Mob Size]],PartyCompare_0[Mob Size],0))</f>
        <v>-1</v>
      </c>
      <c r="AB68" s="33">
        <f>(PartyCompare_7[[#This Row],[Medium]]-INDEX(PartyCompare_0[Medium], MATCH(PartyCompare_7[[#This Row],[Mob Size]],PartyCompare_0[Mob Size],0)))/INDEX(PartyCompare_0[Medium], MATCH(PartyCompare_7[[#This Row],[Mob Size]],PartyCompare_0[Mob Size],0))</f>
        <v>-1</v>
      </c>
      <c r="AC68" s="33">
        <f>(PartyCompare_7[[#This Row],[Hard]]-INDEX(PartyCompare_0[Hard], MATCH(PartyCompare_7[[#This Row],[Mob Size]],PartyCompare_0[Mob Size],0)))/INDEX(PartyCompare_0[Hard], MATCH(PartyCompare_7[[#This Row],[Mob Size]],PartyCompare_0[Mob Size],0))</f>
        <v>-1</v>
      </c>
      <c r="AD68" s="34">
        <f>(PartyCompare_7[[#This Row],[Deadly]]-INDEX(PartyCompare_0[Deadly], MATCH(PartyCompare_7[[#This Row],[Mob Size]],PartyCompare_0[Mob Size],0)))/INDEX(PartyCompare_0[Deadly], MATCH(PartyCompare_7[[#This Row],[Mob Size]],PartyCompare_0[Mob Size],0))</f>
        <v>-1</v>
      </c>
      <c r="AE68" s="48">
        <f>AVERAGE(PartyCompare_7[[#This Row],[Easy Deviation]:[Deadly Deviation]])</f>
        <v>-1</v>
      </c>
      <c r="AF68" s="36">
        <f>IF(ISNUMBER(PartyCompare_7[[#This Row],[Level]]), PartyCompare_7[[#This Row],[Level]]+1, PartyCompare_7[[#This Row],[Level]])</f>
        <v>0</v>
      </c>
      <c r="AG68" s="36">
        <f>INDEX(Encounter_Diff[Easy], MATCH(PartyCompare_7[[#This Row],[+1 Level]],Encounter_Diff[Player Level],0))</f>
        <v>0</v>
      </c>
      <c r="AH68" s="36">
        <f>INDEX(Encounter_Diff[Medium], MATCH(PartyCompare_7[[#This Row],[+1 Level]],Encounter_Diff[Player Level],0))</f>
        <v>0</v>
      </c>
      <c r="AI68" s="36">
        <f>INDEX(Encounter_Diff[Hard], MATCH(PartyCompare_7[[#This Row],[+1 Level]],Encounter_Diff[Player Level],0))</f>
        <v>0</v>
      </c>
      <c r="AJ68" s="36">
        <f>INDEX(Encounter_Diff[Deadly], MATCH(PartyCompare_7[[#This Row],[+1 Level]],Encounter_Diff[Player Level],0))</f>
        <v>0</v>
      </c>
      <c r="AK68" s="63">
        <f>SUM(PartyCompare_7[+1 (Easy)])/INDEX(Encounter_Mod[[Small]:[Large]], MATCH(PartyCompare_7[[#This Row],[Mob Size]], Encounter_Mod[Type], 0), MATCH(PartyCompare_7[[#This Row],[Party Size]],Encounter_Mod[[#Headers],[Small]:[Large]],0))</f>
        <v>0</v>
      </c>
      <c r="AL68" s="38">
        <f>SUM(PartyCompare_7[+1 (Medium)])/INDEX(Encounter_Mod[[Small]:[Large]], MATCH(PartyCompare_7[[#This Row],[Mob Size]], Encounter_Mod[Type], 0), MATCH(PartyCompare_7[[#This Row],[Party Size]],Encounter_Mod[[#Headers],[Small]:[Large]],0))</f>
        <v>0</v>
      </c>
      <c r="AM68" s="38">
        <f>SUM(PartyCompare_7[+1 (Hard)])/INDEX(Encounter_Mod[[Small]:[Large]], MATCH(PartyCompare_7[[#This Row],[Mob Size]], Encounter_Mod[Type], 0), MATCH(PartyCompare_7[[#This Row],[Party Size]],Encounter_Mod[[#Headers],[Small]:[Large]],0))</f>
        <v>0</v>
      </c>
      <c r="AN68" s="38">
        <f>SUM(PartyCompare_7[+1 (Deadly)])/INDEX(Encounter_Mod[[Small]:[Large]], MATCH(PartyCompare_7[[#This Row],[Mob Size]], Encounter_Mod[Type], 0), MATCH(PartyCompare_7[[#This Row],[Party Size]],Encounter_Mod[[#Headers],[Small]:[Large]],0))</f>
        <v>0</v>
      </c>
      <c r="AO68" s="46">
        <f>(PartyCompare_7[[#This Row],[+1 Easy]]-INDEX(PartyCompare_0[+1 Easy], MATCH(PartyCompare_7[[#This Row],[Mob Size]],PartyCompare_7[Mob Size],0)))/INDEX(PartyCompare_0[+1 Easy], MATCH(PartyCompare_7[[#This Row],[Mob Size]],PartyCompare_7[Mob Size],0))</f>
        <v>-1</v>
      </c>
      <c r="AP68" s="39">
        <f>(PartyCompare_7[[#This Row],[+1 Medium]]-INDEX(PartyCompare_0[+1 Medium], MATCH(PartyCompare_7[[#This Row],[Mob Size]],PartyCompare_7[Mob Size],0)))/INDEX(PartyCompare_0[+1 Medium], MATCH(PartyCompare_7[[#This Row],[Mob Size]],PartyCompare_7[Mob Size],0))</f>
        <v>-1</v>
      </c>
      <c r="AQ68" s="39">
        <f>(PartyCompare_7[[#This Row],[+1 Hard]]-INDEX(PartyCompare_0[+1 Hard], MATCH(PartyCompare_7[[#This Row],[Mob Size]],PartyCompare_7[Mob Size],0)))/INDEX(PartyCompare_0[+1 Hard], MATCH(PartyCompare_7[[#This Row],[Mob Size]],PartyCompare_7[Mob Size],0))</f>
        <v>-1</v>
      </c>
      <c r="AR68" s="34">
        <f>(PartyCompare_7[[#This Row],[+1 Deadly]]-INDEX(PartyCompare_0[+1 Deadly], MATCH(PartyCompare_7[[#This Row],[Mob Size]],PartyCompare_7[Mob Size],0)))/INDEX(PartyCompare_0[+1 Deadly], MATCH(PartyCompare_7[[#This Row],[Mob Size]],PartyCompare_7[Mob Size],0))</f>
        <v>-1</v>
      </c>
      <c r="AS68" s="48">
        <f>AVERAGE(PartyCompare_7[[#This Row],[+1 Easy Deviation]:[+1 Deadly Deviation]])</f>
        <v>-1</v>
      </c>
      <c r="AT68" s="36">
        <f>IF(ISNUMBER(PartyCompare_7[[#This Row],[Level]]), PartyCompare_7[[#This Row],[Level]]+2, PartyCompare_7[[#This Row],[Level]])</f>
        <v>0</v>
      </c>
      <c r="AU68" s="36">
        <f>INDEX(Encounter_Diff[Easy], MATCH(PartyCompare_7[[#This Row],[+2 Level]],Encounter_Diff[Player Level],0))</f>
        <v>0</v>
      </c>
      <c r="AV68" s="36">
        <f>INDEX(Encounter_Diff[Medium], MATCH(PartyCompare_7[[#This Row],[+2 Level]],Encounter_Diff[Player Level],0))</f>
        <v>0</v>
      </c>
      <c r="AW68" s="36">
        <f>INDEX(Encounter_Diff[Hard], MATCH(PartyCompare_7[[#This Row],[+2 Level]],Encounter_Diff[Player Level],0))</f>
        <v>0</v>
      </c>
      <c r="AX68" s="36">
        <f>INDEX(Encounter_Diff[Deadly], MATCH(PartyCompare_7[[#This Row],[+2 Level]],Encounter_Diff[Player Level],0))</f>
        <v>0</v>
      </c>
      <c r="AY68" s="63">
        <f>SUM(PartyCompare_7[+2 (Easy)])/INDEX(Encounter_Mod[[Small]:[Large]], MATCH(PartyCompare_7[[#This Row],[Mob Size]], Encounter_Mod[Type], 0), MATCH(PartyCompare_7[[#This Row],[Party Size]],Encounter_Mod[[#Headers],[Small]:[Large]],0))</f>
        <v>0</v>
      </c>
      <c r="AZ68" s="38">
        <f>SUM(PartyCompare_7[+2 (Medium)])/INDEX(Encounter_Mod[[Small]:[Large]], MATCH(PartyCompare_7[[#This Row],[Mob Size]], Encounter_Mod[Type], 0), MATCH(PartyCompare_7[[#This Row],[Party Size]],Encounter_Mod[[#Headers],[Small]:[Large]],0))</f>
        <v>0</v>
      </c>
      <c r="BA68" s="38">
        <f>SUM(PartyCompare_7[+2 (Hard)])/INDEX(Encounter_Mod[[Small]:[Large]], MATCH(PartyCompare_7[[#This Row],[Mob Size]], Encounter_Mod[Type], 0), MATCH(PartyCompare_7[[#This Row],[Party Size]],Encounter_Mod[[#Headers],[Small]:[Large]],0))</f>
        <v>0</v>
      </c>
      <c r="BB68" s="38">
        <f>SUM(PartyCompare_7[+2 (Deadly)])/INDEX(Encounter_Mod[[Small]:[Large]], MATCH(PartyCompare_7[[#This Row],[Mob Size]], Encounter_Mod[Type], 0), MATCH(PartyCompare_7[[#This Row],[Party Size]],Encounter_Mod[[#Headers],[Small]:[Large]],0))</f>
        <v>0</v>
      </c>
      <c r="BC68" s="46">
        <f>(PartyCompare_7[[#This Row],[+2 Easy]]-INDEX(PartyCompare_0[+2 Easy], MATCH(PartyCompare_7[[#This Row],[Mob Size]],PartyCompare_7[Mob Size],0)))/INDEX(PartyCompare_0[+2 Easy], MATCH(PartyCompare_7[[#This Row],[Mob Size]],PartyCompare_7[Mob Size],0))</f>
        <v>-1</v>
      </c>
      <c r="BD68" s="39">
        <f>(PartyCompare_7[[#This Row],[+2 Medium]]-INDEX(PartyCompare_0[+2 Medium], MATCH(PartyCompare_7[[#This Row],[Mob Size]],PartyCompare_7[Mob Size],0)))/INDEX(PartyCompare_0[+2 Medium], MATCH(PartyCompare_7[[#This Row],[Mob Size]],PartyCompare_7[Mob Size],0))</f>
        <v>-1</v>
      </c>
      <c r="BE68" s="39">
        <f>(PartyCompare_7[[#This Row],[+2 Hard]]-INDEX(PartyCompare_0[+2 Hard], MATCH(PartyCompare_7[[#This Row],[Mob Size]],PartyCompare_7[Mob Size],0)))/INDEX(PartyCompare_0[+2 Hard], MATCH(PartyCompare_7[[#This Row],[Mob Size]],PartyCompare_7[Mob Size],0))</f>
        <v>-1</v>
      </c>
      <c r="BF68" s="34">
        <f>(PartyCompare_7[[#This Row],[+2 Deadly]]-INDEX(PartyCompare_0[+2 Deadly], MATCH(PartyCompare_7[[#This Row],[Mob Size]],PartyCompare_7[Mob Size],0)))/INDEX(PartyCompare_0[+2 Deadly], MATCH(PartyCompare_7[[#This Row],[Mob Size]],PartyCompare_7[Mob Size],0))</f>
        <v>-1</v>
      </c>
      <c r="BG68" s="48">
        <f>AVERAGE(PartyCompare_7[[#This Row],[+2 Easy Deviation]:[+2 Deadly Deviation]])</f>
        <v>-1</v>
      </c>
      <c r="BH68" s="36">
        <f>IF(ISNUMBER(PartyCompare_7[[#This Row],[Level]]), PartyCompare_7[[#This Row],[Level]]+3, PartyCompare_7[[#This Row],[Level]])</f>
        <v>0</v>
      </c>
      <c r="BI68" s="36">
        <f>INDEX(Encounter_Diff[Easy], MATCH(PartyCompare_7[[#This Row],[+3 Level]],Encounter_Diff[Player Level],0))</f>
        <v>0</v>
      </c>
      <c r="BJ68" s="36">
        <f>INDEX(Encounter_Diff[Medium], MATCH(PartyCompare_7[[#This Row],[+3 Level]],Encounter_Diff[Player Level],0))</f>
        <v>0</v>
      </c>
      <c r="BK68" s="36">
        <f>INDEX(Encounter_Diff[Hard], MATCH(PartyCompare_7[[#This Row],[+3 Level]],Encounter_Diff[Player Level],0))</f>
        <v>0</v>
      </c>
      <c r="BL68" s="36">
        <f>INDEX(Encounter_Diff[Deadly], MATCH(PartyCompare_7[[#This Row],[+3 Level]],Encounter_Diff[Player Level],0))</f>
        <v>0</v>
      </c>
      <c r="BM68" s="63">
        <f>SUM(PartyCompare_7[+3 (Easy)])/INDEX(Encounter_Mod[[Small]:[Large]], MATCH(PartyCompare_7[[#This Row],[Mob Size]], Encounter_Mod[Type], 0), MATCH(PartyCompare_7[[#This Row],[Party Size]],Encounter_Mod[[#Headers],[Small]:[Large]],0))</f>
        <v>0</v>
      </c>
      <c r="BN68" s="38">
        <f>SUM(PartyCompare_7[+3 (Medium)])/INDEX(Encounter_Mod[[Small]:[Large]], MATCH(PartyCompare_7[[#This Row],[Mob Size]], Encounter_Mod[Type], 0), MATCH(PartyCompare_7[[#This Row],[Party Size]],Encounter_Mod[[#Headers],[Small]:[Large]],0))</f>
        <v>0</v>
      </c>
      <c r="BO68" s="38">
        <f>SUM(PartyCompare_7[+3 (Hard)])/INDEX(Encounter_Mod[[Small]:[Large]], MATCH(PartyCompare_7[[#This Row],[Mob Size]], Encounter_Mod[Type], 0), MATCH(PartyCompare_7[[#This Row],[Party Size]],Encounter_Mod[[#Headers],[Small]:[Large]],0))</f>
        <v>0</v>
      </c>
      <c r="BP68" s="38">
        <f>SUM(PartyCompare_7[+3 (Deadly)])/INDEX(Encounter_Mod[[Small]:[Large]], MATCH(PartyCompare_7[[#This Row],[Mob Size]], Encounter_Mod[Type], 0), MATCH(PartyCompare_7[[#This Row],[Party Size]],Encounter_Mod[[#Headers],[Small]:[Large]],0))</f>
        <v>0</v>
      </c>
      <c r="BQ68" s="46">
        <f>(PartyCompare_7[[#This Row],[+3 Easy]]-INDEX(PartyCompare_0[+3 Easy], MATCH(PartyCompare_7[[#This Row],[Mob Size]],PartyCompare_7[Mob Size],0)))/INDEX(PartyCompare_0[+3 Easy], MATCH(PartyCompare_7[[#This Row],[Mob Size]],PartyCompare_7[Mob Size],0))</f>
        <v>-1</v>
      </c>
      <c r="BR68" s="39">
        <f>(PartyCompare_7[[#This Row],[+3 Medium]]-INDEX(PartyCompare_0[+3 Medium], MATCH(PartyCompare_7[[#This Row],[Mob Size]],PartyCompare_7[Mob Size],0)))/INDEX(PartyCompare_0[+3 Medium], MATCH(PartyCompare_7[[#This Row],[Mob Size]],PartyCompare_7[Mob Size],0))</f>
        <v>-1</v>
      </c>
      <c r="BS68" s="39">
        <f>(PartyCompare_7[[#This Row],[+3 Hard]]-INDEX(PartyCompare_0[+3 Hard], MATCH(PartyCompare_7[[#This Row],[Mob Size]],PartyCompare_7[Mob Size],0)))/INDEX(PartyCompare_0[+3 Hard], MATCH(PartyCompare_7[[#This Row],[Mob Size]],PartyCompare_7[Mob Size],0))</f>
        <v>-1</v>
      </c>
      <c r="BT68" s="34">
        <f>(PartyCompare_7[[#This Row],[+3 Deadly]]-INDEX(PartyCompare_0[+3 Deadly], MATCH(PartyCompare_7[[#This Row],[Mob Size]],PartyCompare_7[Mob Size],0)))/INDEX(PartyCompare_0[+3 Deadly], MATCH(PartyCompare_7[[#This Row],[Mob Size]],PartyCompare_7[Mob Size],0))</f>
        <v>-1</v>
      </c>
      <c r="BU68" s="48">
        <f>AVERAGE(PartyCompare_7[[#This Row],[+3 Easy Deviation]:[+3 Deadly Deviation]])</f>
        <v>-1</v>
      </c>
      <c r="BV68" s="36">
        <f>IF(ISNUMBER(PartyCompare_7[[#This Row],[Level]]), PartyCompare_7[[#This Row],[Level]]+4, PartyCompare_7[[#This Row],[Level]])</f>
        <v>0</v>
      </c>
      <c r="BW68" s="36">
        <f>INDEX(Encounter_Diff[Easy], MATCH(PartyCompare_7[[#This Row],[+4 Level]],Encounter_Diff[Player Level],0))</f>
        <v>0</v>
      </c>
      <c r="BX68" s="36">
        <f>INDEX(Encounter_Diff[Medium], MATCH(PartyCompare_7[[#This Row],[+4 Level]],Encounter_Diff[Player Level],0))</f>
        <v>0</v>
      </c>
      <c r="BY68" s="36">
        <f>INDEX(Encounter_Diff[Hard], MATCH(PartyCompare_7[[#This Row],[+4 Level]],Encounter_Diff[Player Level],0))</f>
        <v>0</v>
      </c>
      <c r="BZ68" s="36">
        <f>INDEX(Encounter_Diff[Deadly], MATCH(PartyCompare_7[[#This Row],[+4 Level]],Encounter_Diff[Player Level],0))</f>
        <v>0</v>
      </c>
      <c r="CA68" s="63">
        <f>SUM(PartyCompare_7[+4 (Easy)])/INDEX(Encounter_Mod[[Small]:[Large]], MATCH(PartyCompare_7[[#This Row],[Mob Size]], Encounter_Mod[Type], 0), MATCH(PartyCompare_7[[#This Row],[Party Size]],Encounter_Mod[[#Headers],[Small]:[Large]],0))</f>
        <v>0</v>
      </c>
      <c r="CB68" s="38">
        <f>SUM(PartyCompare_7[+4 (Medium)])/INDEX(Encounter_Mod[[Small]:[Large]], MATCH(PartyCompare_7[[#This Row],[Mob Size]], Encounter_Mod[Type], 0), MATCH(PartyCompare_7[[#This Row],[Party Size]],Encounter_Mod[[#Headers],[Small]:[Large]],0))</f>
        <v>0</v>
      </c>
      <c r="CC68" s="38">
        <f>SUM(PartyCompare_7[+4 (Hard)])/INDEX(Encounter_Mod[[Small]:[Large]], MATCH(PartyCompare_7[[#This Row],[Mob Size]], Encounter_Mod[Type], 0), MATCH(PartyCompare_7[[#This Row],[Party Size]],Encounter_Mod[[#Headers],[Small]:[Large]],0))</f>
        <v>0</v>
      </c>
      <c r="CD68" s="38">
        <f>SUM(PartyCompare_7[+4 (Deadly)])/INDEX(Encounter_Mod[[Small]:[Large]], MATCH(PartyCompare_7[[#This Row],[Mob Size]], Encounter_Mod[Type], 0), MATCH(PartyCompare_7[[#This Row],[Party Size]],Encounter_Mod[[#Headers],[Small]:[Large]],0))</f>
        <v>0</v>
      </c>
      <c r="CE68" s="46">
        <f>(PartyCompare_7[[#This Row],[+4 Easy]]-INDEX(PartyCompare_0[+4 Easy], MATCH(PartyCompare_7[[#This Row],[Mob Size]],PartyCompare_7[Mob Size],0)))/INDEX(PartyCompare_0[+4 Easy], MATCH(PartyCompare_7[[#This Row],[Mob Size]],PartyCompare_7[Mob Size],0))</f>
        <v>-1</v>
      </c>
      <c r="CF68" s="39">
        <f>(PartyCompare_7[[#This Row],[+4 Medium]]-INDEX(PartyCompare_0[+4 Medium], MATCH(PartyCompare_7[[#This Row],[Mob Size]],PartyCompare_7[Mob Size],0)))/INDEX(PartyCompare_0[+4 Medium], MATCH(PartyCompare_7[[#This Row],[Mob Size]],PartyCompare_7[Mob Size],0))</f>
        <v>-1</v>
      </c>
      <c r="CG68" s="39">
        <f>(PartyCompare_7[[#This Row],[+4 Hard]]-INDEX(PartyCompare_0[+4 Hard], MATCH(PartyCompare_7[[#This Row],[Mob Size]],PartyCompare_7[Mob Size],0)))/INDEX(PartyCompare_0[+4 Hard], MATCH(PartyCompare_7[[#This Row],[Mob Size]],PartyCompare_7[Mob Size],0))</f>
        <v>-1</v>
      </c>
      <c r="CH68" s="34">
        <f>(PartyCompare_7[[#This Row],[+4 Deadly]]-INDEX(PartyCompare_0[+4 Deadly], MATCH(PartyCompare_7[[#This Row],[Mob Size]],PartyCompare_7[Mob Size],0)))/INDEX(PartyCompare_0[+4 Deadly], MATCH(PartyCompare_7[[#This Row],[Mob Size]],PartyCompare_7[Mob Size],0))</f>
        <v>-1</v>
      </c>
      <c r="CI68" s="48">
        <f>AVERAGE(PartyCompare_7[[#This Row],[+4 Easy Deviation]:[+4 Deadly Deviation]])</f>
        <v>-1</v>
      </c>
    </row>
    <row r="69" spans="12:87" x14ac:dyDescent="0.2">
      <c r="L69" s="233"/>
      <c r="M69" s="91"/>
      <c r="N69" s="90"/>
      <c r="O69" s="32">
        <f>INDEX(Encounter_Diff[Easy], MATCH(PartyCompare_7[[#This Row],[Level]],Encounter_Diff[Player Level],0))</f>
        <v>0</v>
      </c>
      <c r="P69" s="32">
        <f>INDEX(Encounter_Diff[Medium], MATCH(PartyCompare_7[[#This Row],[Level]],Encounter_Diff[Player Level],0))</f>
        <v>0</v>
      </c>
      <c r="Q69" s="32">
        <f>INDEX(Encounter_Diff[Hard], MATCH(PartyCompare_7[[#This Row],[Level]],Encounter_Diff[Player Level],0))</f>
        <v>0</v>
      </c>
      <c r="R69" s="30">
        <f>INDEX(Encounter_Diff[Deadly], MATCH(PartyCompare_7[[#This Row],[Level]],Encounter_Diff[Player Level],0))</f>
        <v>0</v>
      </c>
      <c r="S69" s="97">
        <f t="shared" ref="S69:S74" si="7">S68</f>
        <v>0</v>
      </c>
      <c r="T69" s="32" t="str">
        <f>IF(COUNT(PartyCompare_7[Level])&lt;=2,"Small", IF(COUNT(PartyCompare_7[Level])&lt;=5,"Med", IF(COUNT(PartyCompare_7[Level])&lt;=8, "Large", "TOO BIG!")))</f>
        <v>Small</v>
      </c>
      <c r="U69" s="73" t="s">
        <v>109</v>
      </c>
      <c r="V69" s="77" t="str">
        <f>INDEX(Encounter_Mod[Count], MATCH(PartyCompare_7[[#This Row],[Mob Size]], Encounter_Mod[Type],0))</f>
        <v>3-6</v>
      </c>
      <c r="W69" s="81">
        <f>SUM(PartyCompare_7[(Easy)])/INDEX(Encounter_Mod[[Small]:[Large]], MATCH(PartyCompare_7[[#This Row],[Mob Size]], Encounter_Mod[Type], 0), MATCH(PartyCompare_7[[#This Row],[Party Size]],Encounter_Mod[[#Headers],[Small]:[Large]],0))</f>
        <v>0</v>
      </c>
      <c r="X69" s="42">
        <f>SUM(PartyCompare_7[(Medium)])/INDEX(Encounter_Mod[[Small]:[Large]], MATCH(PartyCompare_7[[#This Row],[Mob Size]], Encounter_Mod[Type], 0), MATCH(PartyCompare_7[[#This Row],[Party Size]],Encounter_Mod[[#Headers],[Small]:[Large]],0))</f>
        <v>0</v>
      </c>
      <c r="Y69" s="42">
        <f>SUM(PartyCompare_7[(Hard)])/INDEX(Encounter_Mod[[Small]:[Large]], MATCH(PartyCompare_7[[#This Row],[Mob Size]], Encounter_Mod[Type], 0), MATCH(PartyCompare_7[[#This Row],[Party Size]],Encounter_Mod[[#Headers],[Small]:[Large]],0))</f>
        <v>0</v>
      </c>
      <c r="Z69" s="43">
        <f>SUM(PartyCompare_7[(Deadly)])/INDEX(Encounter_Mod[[Small]:[Large]], MATCH(PartyCompare_7[[#This Row],[Mob Size]], Encounter_Mod[Type], 0), MATCH(PartyCompare_7[[#This Row],[Party Size]],Encounter_Mod[[#Headers],[Small]:[Large]],0))</f>
        <v>0</v>
      </c>
      <c r="AA69" s="46">
        <f>(PartyCompare_7[[#This Row],[Easy]]-INDEX(PartyCompare_0[Easy], MATCH(PartyCompare_7[[#This Row],[Mob Size]],PartyCompare_0[Mob Size],0)))/INDEX(PartyCompare_0[Easy], MATCH(PartyCompare_7[[#This Row],[Mob Size]],PartyCompare_0[Mob Size],0))</f>
        <v>-1</v>
      </c>
      <c r="AB69" s="33">
        <f>(PartyCompare_7[[#This Row],[Medium]]-INDEX(PartyCompare_0[Medium], MATCH(PartyCompare_7[[#This Row],[Mob Size]],PartyCompare_0[Mob Size],0)))/INDEX(PartyCompare_0[Medium], MATCH(PartyCompare_7[[#This Row],[Mob Size]],PartyCompare_0[Mob Size],0))</f>
        <v>-1</v>
      </c>
      <c r="AC69" s="33">
        <f>(PartyCompare_7[[#This Row],[Hard]]-INDEX(PartyCompare_0[Hard], MATCH(PartyCompare_7[[#This Row],[Mob Size]],PartyCompare_0[Mob Size],0)))/INDEX(PartyCompare_0[Hard], MATCH(PartyCompare_7[[#This Row],[Mob Size]],PartyCompare_0[Mob Size],0))</f>
        <v>-1</v>
      </c>
      <c r="AD69" s="34">
        <f>(PartyCompare_7[[#This Row],[Deadly]]-INDEX(PartyCompare_0[Deadly], MATCH(PartyCompare_7[[#This Row],[Mob Size]],PartyCompare_0[Mob Size],0)))/INDEX(PartyCompare_0[Deadly], MATCH(PartyCompare_7[[#This Row],[Mob Size]],PartyCompare_0[Mob Size],0))</f>
        <v>-1</v>
      </c>
      <c r="AE69" s="48">
        <f>AVERAGE(PartyCompare_7[[#This Row],[Easy Deviation]:[Deadly Deviation]])</f>
        <v>-1</v>
      </c>
      <c r="AF69" s="36">
        <f>IF(ISNUMBER(PartyCompare_7[[#This Row],[Level]]), PartyCompare_7[[#This Row],[Level]]+1, PartyCompare_7[[#This Row],[Level]])</f>
        <v>0</v>
      </c>
      <c r="AG69" s="36">
        <f>INDEX(Encounter_Diff[Easy], MATCH(PartyCompare_7[[#This Row],[+1 Level]],Encounter_Diff[Player Level],0))</f>
        <v>0</v>
      </c>
      <c r="AH69" s="36">
        <f>INDEX(Encounter_Diff[Medium], MATCH(PartyCompare_7[[#This Row],[+1 Level]],Encounter_Diff[Player Level],0))</f>
        <v>0</v>
      </c>
      <c r="AI69" s="36">
        <f>INDEX(Encounter_Diff[Hard], MATCH(PartyCompare_7[[#This Row],[+1 Level]],Encounter_Diff[Player Level],0))</f>
        <v>0</v>
      </c>
      <c r="AJ69" s="36">
        <f>INDEX(Encounter_Diff[Deadly], MATCH(PartyCompare_7[[#This Row],[+1 Level]],Encounter_Diff[Player Level],0))</f>
        <v>0</v>
      </c>
      <c r="AK69" s="63">
        <f>SUM(PartyCompare_7[+1 (Easy)])/INDEX(Encounter_Mod[[Small]:[Large]], MATCH(PartyCompare_7[[#This Row],[Mob Size]], Encounter_Mod[Type], 0), MATCH(PartyCompare_7[[#This Row],[Party Size]],Encounter_Mod[[#Headers],[Small]:[Large]],0))</f>
        <v>0</v>
      </c>
      <c r="AL69" s="38">
        <f>SUM(PartyCompare_7[+1 (Medium)])/INDEX(Encounter_Mod[[Small]:[Large]], MATCH(PartyCompare_7[[#This Row],[Mob Size]], Encounter_Mod[Type], 0), MATCH(PartyCompare_7[[#This Row],[Party Size]],Encounter_Mod[[#Headers],[Small]:[Large]],0))</f>
        <v>0</v>
      </c>
      <c r="AM69" s="38">
        <f>SUM(PartyCompare_7[+1 (Hard)])/INDEX(Encounter_Mod[[Small]:[Large]], MATCH(PartyCompare_7[[#This Row],[Mob Size]], Encounter_Mod[Type], 0), MATCH(PartyCompare_7[[#This Row],[Party Size]],Encounter_Mod[[#Headers],[Small]:[Large]],0))</f>
        <v>0</v>
      </c>
      <c r="AN69" s="38">
        <f>SUM(PartyCompare_7[+1 (Deadly)])/INDEX(Encounter_Mod[[Small]:[Large]], MATCH(PartyCompare_7[[#This Row],[Mob Size]], Encounter_Mod[Type], 0), MATCH(PartyCompare_7[[#This Row],[Party Size]],Encounter_Mod[[#Headers],[Small]:[Large]],0))</f>
        <v>0</v>
      </c>
      <c r="AO69" s="46">
        <f>(PartyCompare_7[[#This Row],[+1 Easy]]-INDEX(PartyCompare_0[+1 Easy], MATCH(PartyCompare_7[[#This Row],[Mob Size]],PartyCompare_7[Mob Size],0)))/INDEX(PartyCompare_0[+1 Easy], MATCH(PartyCompare_7[[#This Row],[Mob Size]],PartyCompare_7[Mob Size],0))</f>
        <v>-1</v>
      </c>
      <c r="AP69" s="39">
        <f>(PartyCompare_7[[#This Row],[+1 Medium]]-INDEX(PartyCompare_0[+1 Medium], MATCH(PartyCompare_7[[#This Row],[Mob Size]],PartyCompare_7[Mob Size],0)))/INDEX(PartyCompare_0[+1 Medium], MATCH(PartyCompare_7[[#This Row],[Mob Size]],PartyCompare_7[Mob Size],0))</f>
        <v>-1</v>
      </c>
      <c r="AQ69" s="39">
        <f>(PartyCompare_7[[#This Row],[+1 Hard]]-INDEX(PartyCompare_0[+1 Hard], MATCH(PartyCompare_7[[#This Row],[Mob Size]],PartyCompare_7[Mob Size],0)))/INDEX(PartyCompare_0[+1 Hard], MATCH(PartyCompare_7[[#This Row],[Mob Size]],PartyCompare_7[Mob Size],0))</f>
        <v>-1</v>
      </c>
      <c r="AR69" s="34">
        <f>(PartyCompare_7[[#This Row],[+1 Deadly]]-INDEX(PartyCompare_0[+1 Deadly], MATCH(PartyCompare_7[[#This Row],[Mob Size]],PartyCompare_7[Mob Size],0)))/INDEX(PartyCompare_0[+1 Deadly], MATCH(PartyCompare_7[[#This Row],[Mob Size]],PartyCompare_7[Mob Size],0))</f>
        <v>-1</v>
      </c>
      <c r="AS69" s="48">
        <f>AVERAGE(PartyCompare_7[[#This Row],[+1 Easy Deviation]:[+1 Deadly Deviation]])</f>
        <v>-1</v>
      </c>
      <c r="AT69" s="36">
        <f>IF(ISNUMBER(PartyCompare_7[[#This Row],[Level]]), PartyCompare_7[[#This Row],[Level]]+2, PartyCompare_7[[#This Row],[Level]])</f>
        <v>0</v>
      </c>
      <c r="AU69" s="36">
        <f>INDEX(Encounter_Diff[Easy], MATCH(PartyCompare_7[[#This Row],[+2 Level]],Encounter_Diff[Player Level],0))</f>
        <v>0</v>
      </c>
      <c r="AV69" s="36">
        <f>INDEX(Encounter_Diff[Medium], MATCH(PartyCompare_7[[#This Row],[+2 Level]],Encounter_Diff[Player Level],0))</f>
        <v>0</v>
      </c>
      <c r="AW69" s="36">
        <f>INDEX(Encounter_Diff[Hard], MATCH(PartyCompare_7[[#This Row],[+2 Level]],Encounter_Diff[Player Level],0))</f>
        <v>0</v>
      </c>
      <c r="AX69" s="36">
        <f>INDEX(Encounter_Diff[Deadly], MATCH(PartyCompare_7[[#This Row],[+2 Level]],Encounter_Diff[Player Level],0))</f>
        <v>0</v>
      </c>
      <c r="AY69" s="63">
        <f>SUM(PartyCompare_7[+2 (Easy)])/INDEX(Encounter_Mod[[Small]:[Large]], MATCH(PartyCompare_7[[#This Row],[Mob Size]], Encounter_Mod[Type], 0), MATCH(PartyCompare_7[[#This Row],[Party Size]],Encounter_Mod[[#Headers],[Small]:[Large]],0))</f>
        <v>0</v>
      </c>
      <c r="AZ69" s="38">
        <f>SUM(PartyCompare_7[+2 (Medium)])/INDEX(Encounter_Mod[[Small]:[Large]], MATCH(PartyCompare_7[[#This Row],[Mob Size]], Encounter_Mod[Type], 0), MATCH(PartyCompare_7[[#This Row],[Party Size]],Encounter_Mod[[#Headers],[Small]:[Large]],0))</f>
        <v>0</v>
      </c>
      <c r="BA69" s="38">
        <f>SUM(PartyCompare_7[+2 (Hard)])/INDEX(Encounter_Mod[[Small]:[Large]], MATCH(PartyCompare_7[[#This Row],[Mob Size]], Encounter_Mod[Type], 0), MATCH(PartyCompare_7[[#This Row],[Party Size]],Encounter_Mod[[#Headers],[Small]:[Large]],0))</f>
        <v>0</v>
      </c>
      <c r="BB69" s="38">
        <f>SUM(PartyCompare_7[+2 (Deadly)])/INDEX(Encounter_Mod[[Small]:[Large]], MATCH(PartyCompare_7[[#This Row],[Mob Size]], Encounter_Mod[Type], 0), MATCH(PartyCompare_7[[#This Row],[Party Size]],Encounter_Mod[[#Headers],[Small]:[Large]],0))</f>
        <v>0</v>
      </c>
      <c r="BC69" s="46">
        <f>(PartyCompare_7[[#This Row],[+2 Easy]]-INDEX(PartyCompare_0[+2 Easy], MATCH(PartyCompare_7[[#This Row],[Mob Size]],PartyCompare_7[Mob Size],0)))/INDEX(PartyCompare_0[+2 Easy], MATCH(PartyCompare_7[[#This Row],[Mob Size]],PartyCompare_7[Mob Size],0))</f>
        <v>-1</v>
      </c>
      <c r="BD69" s="39">
        <f>(PartyCompare_7[[#This Row],[+2 Medium]]-INDEX(PartyCompare_0[+2 Medium], MATCH(PartyCompare_7[[#This Row],[Mob Size]],PartyCompare_7[Mob Size],0)))/INDEX(PartyCompare_0[+2 Medium], MATCH(PartyCompare_7[[#This Row],[Mob Size]],PartyCompare_7[Mob Size],0))</f>
        <v>-1</v>
      </c>
      <c r="BE69" s="39">
        <f>(PartyCompare_7[[#This Row],[+2 Hard]]-INDEX(PartyCompare_0[+2 Hard], MATCH(PartyCompare_7[[#This Row],[Mob Size]],PartyCompare_7[Mob Size],0)))/INDEX(PartyCompare_0[+2 Hard], MATCH(PartyCompare_7[[#This Row],[Mob Size]],PartyCompare_7[Mob Size],0))</f>
        <v>-1</v>
      </c>
      <c r="BF69" s="34">
        <f>(PartyCompare_7[[#This Row],[+2 Deadly]]-INDEX(PartyCompare_0[+2 Deadly], MATCH(PartyCompare_7[[#This Row],[Mob Size]],PartyCompare_7[Mob Size],0)))/INDEX(PartyCompare_0[+2 Deadly], MATCH(PartyCompare_7[[#This Row],[Mob Size]],PartyCompare_7[Mob Size],0))</f>
        <v>-1</v>
      </c>
      <c r="BG69" s="48">
        <f>AVERAGE(PartyCompare_7[[#This Row],[+2 Easy Deviation]:[+2 Deadly Deviation]])</f>
        <v>-1</v>
      </c>
      <c r="BH69" s="36">
        <f>IF(ISNUMBER(PartyCompare_7[[#This Row],[Level]]), PartyCompare_7[[#This Row],[Level]]+3, PartyCompare_7[[#This Row],[Level]])</f>
        <v>0</v>
      </c>
      <c r="BI69" s="36">
        <f>INDEX(Encounter_Diff[Easy], MATCH(PartyCompare_7[[#This Row],[+3 Level]],Encounter_Diff[Player Level],0))</f>
        <v>0</v>
      </c>
      <c r="BJ69" s="36">
        <f>INDEX(Encounter_Diff[Medium], MATCH(PartyCompare_7[[#This Row],[+3 Level]],Encounter_Diff[Player Level],0))</f>
        <v>0</v>
      </c>
      <c r="BK69" s="36">
        <f>INDEX(Encounter_Diff[Hard], MATCH(PartyCompare_7[[#This Row],[+3 Level]],Encounter_Diff[Player Level],0))</f>
        <v>0</v>
      </c>
      <c r="BL69" s="36">
        <f>INDEX(Encounter_Diff[Deadly], MATCH(PartyCompare_7[[#This Row],[+3 Level]],Encounter_Diff[Player Level],0))</f>
        <v>0</v>
      </c>
      <c r="BM69" s="63">
        <f>SUM(PartyCompare_7[+3 (Easy)])/INDEX(Encounter_Mod[[Small]:[Large]], MATCH(PartyCompare_7[[#This Row],[Mob Size]], Encounter_Mod[Type], 0), MATCH(PartyCompare_7[[#This Row],[Party Size]],Encounter_Mod[[#Headers],[Small]:[Large]],0))</f>
        <v>0</v>
      </c>
      <c r="BN69" s="38">
        <f>SUM(PartyCompare_7[+3 (Medium)])/INDEX(Encounter_Mod[[Small]:[Large]], MATCH(PartyCompare_7[[#This Row],[Mob Size]], Encounter_Mod[Type], 0), MATCH(PartyCompare_7[[#This Row],[Party Size]],Encounter_Mod[[#Headers],[Small]:[Large]],0))</f>
        <v>0</v>
      </c>
      <c r="BO69" s="38">
        <f>SUM(PartyCompare_7[+3 (Hard)])/INDEX(Encounter_Mod[[Small]:[Large]], MATCH(PartyCompare_7[[#This Row],[Mob Size]], Encounter_Mod[Type], 0), MATCH(PartyCompare_7[[#This Row],[Party Size]],Encounter_Mod[[#Headers],[Small]:[Large]],0))</f>
        <v>0</v>
      </c>
      <c r="BP69" s="38">
        <f>SUM(PartyCompare_7[+3 (Deadly)])/INDEX(Encounter_Mod[[Small]:[Large]], MATCH(PartyCompare_7[[#This Row],[Mob Size]], Encounter_Mod[Type], 0), MATCH(PartyCompare_7[[#This Row],[Party Size]],Encounter_Mod[[#Headers],[Small]:[Large]],0))</f>
        <v>0</v>
      </c>
      <c r="BQ69" s="46">
        <f>(PartyCompare_7[[#This Row],[+3 Easy]]-INDEX(PartyCompare_0[+3 Easy], MATCH(PartyCompare_7[[#This Row],[Mob Size]],PartyCompare_7[Mob Size],0)))/INDEX(PartyCompare_0[+3 Easy], MATCH(PartyCompare_7[[#This Row],[Mob Size]],PartyCompare_7[Mob Size],0))</f>
        <v>-1</v>
      </c>
      <c r="BR69" s="39">
        <f>(PartyCompare_7[[#This Row],[+3 Medium]]-INDEX(PartyCompare_0[+3 Medium], MATCH(PartyCompare_7[[#This Row],[Mob Size]],PartyCompare_7[Mob Size],0)))/INDEX(PartyCompare_0[+3 Medium], MATCH(PartyCompare_7[[#This Row],[Mob Size]],PartyCompare_7[Mob Size],0))</f>
        <v>-1</v>
      </c>
      <c r="BS69" s="39">
        <f>(PartyCompare_7[[#This Row],[+3 Hard]]-INDEX(PartyCompare_0[+3 Hard], MATCH(PartyCompare_7[[#This Row],[Mob Size]],PartyCompare_7[Mob Size],0)))/INDEX(PartyCompare_0[+3 Hard], MATCH(PartyCompare_7[[#This Row],[Mob Size]],PartyCompare_7[Mob Size],0))</f>
        <v>-1</v>
      </c>
      <c r="BT69" s="34">
        <f>(PartyCompare_7[[#This Row],[+3 Deadly]]-INDEX(PartyCompare_0[+3 Deadly], MATCH(PartyCompare_7[[#This Row],[Mob Size]],PartyCompare_7[Mob Size],0)))/INDEX(PartyCompare_0[+3 Deadly], MATCH(PartyCompare_7[[#This Row],[Mob Size]],PartyCompare_7[Mob Size],0))</f>
        <v>-1</v>
      </c>
      <c r="BU69" s="48">
        <f>AVERAGE(PartyCompare_7[[#This Row],[+3 Easy Deviation]:[+3 Deadly Deviation]])</f>
        <v>-1</v>
      </c>
      <c r="BV69" s="36">
        <f>IF(ISNUMBER(PartyCompare_7[[#This Row],[Level]]), PartyCompare_7[[#This Row],[Level]]+4, PartyCompare_7[[#This Row],[Level]])</f>
        <v>0</v>
      </c>
      <c r="BW69" s="36">
        <f>INDEX(Encounter_Diff[Easy], MATCH(PartyCompare_7[[#This Row],[+4 Level]],Encounter_Diff[Player Level],0))</f>
        <v>0</v>
      </c>
      <c r="BX69" s="36">
        <f>INDEX(Encounter_Diff[Medium], MATCH(PartyCompare_7[[#This Row],[+4 Level]],Encounter_Diff[Player Level],0))</f>
        <v>0</v>
      </c>
      <c r="BY69" s="36">
        <f>INDEX(Encounter_Diff[Hard], MATCH(PartyCompare_7[[#This Row],[+4 Level]],Encounter_Diff[Player Level],0))</f>
        <v>0</v>
      </c>
      <c r="BZ69" s="36">
        <f>INDEX(Encounter_Diff[Deadly], MATCH(PartyCompare_7[[#This Row],[+4 Level]],Encounter_Diff[Player Level],0))</f>
        <v>0</v>
      </c>
      <c r="CA69" s="63">
        <f>SUM(PartyCompare_7[+4 (Easy)])/INDEX(Encounter_Mod[[Small]:[Large]], MATCH(PartyCompare_7[[#This Row],[Mob Size]], Encounter_Mod[Type], 0), MATCH(PartyCompare_7[[#This Row],[Party Size]],Encounter_Mod[[#Headers],[Small]:[Large]],0))</f>
        <v>0</v>
      </c>
      <c r="CB69" s="38">
        <f>SUM(PartyCompare_7[+4 (Medium)])/INDEX(Encounter_Mod[[Small]:[Large]], MATCH(PartyCompare_7[[#This Row],[Mob Size]], Encounter_Mod[Type], 0), MATCH(PartyCompare_7[[#This Row],[Party Size]],Encounter_Mod[[#Headers],[Small]:[Large]],0))</f>
        <v>0</v>
      </c>
      <c r="CC69" s="38">
        <f>SUM(PartyCompare_7[+4 (Hard)])/INDEX(Encounter_Mod[[Small]:[Large]], MATCH(PartyCompare_7[[#This Row],[Mob Size]], Encounter_Mod[Type], 0), MATCH(PartyCompare_7[[#This Row],[Party Size]],Encounter_Mod[[#Headers],[Small]:[Large]],0))</f>
        <v>0</v>
      </c>
      <c r="CD69" s="38">
        <f>SUM(PartyCompare_7[+4 (Deadly)])/INDEX(Encounter_Mod[[Small]:[Large]], MATCH(PartyCompare_7[[#This Row],[Mob Size]], Encounter_Mod[Type], 0), MATCH(PartyCompare_7[[#This Row],[Party Size]],Encounter_Mod[[#Headers],[Small]:[Large]],0))</f>
        <v>0</v>
      </c>
      <c r="CE69" s="46">
        <f>(PartyCompare_7[[#This Row],[+4 Easy]]-INDEX(PartyCompare_0[+4 Easy], MATCH(PartyCompare_7[[#This Row],[Mob Size]],PartyCompare_7[Mob Size],0)))/INDEX(PartyCompare_0[+4 Easy], MATCH(PartyCompare_7[[#This Row],[Mob Size]],PartyCompare_7[Mob Size],0))</f>
        <v>-1</v>
      </c>
      <c r="CF69" s="39">
        <f>(PartyCompare_7[[#This Row],[+4 Medium]]-INDEX(PartyCompare_0[+4 Medium], MATCH(PartyCompare_7[[#This Row],[Mob Size]],PartyCompare_7[Mob Size],0)))/INDEX(PartyCompare_0[+4 Medium], MATCH(PartyCompare_7[[#This Row],[Mob Size]],PartyCompare_7[Mob Size],0))</f>
        <v>-1</v>
      </c>
      <c r="CG69" s="39">
        <f>(PartyCompare_7[[#This Row],[+4 Hard]]-INDEX(PartyCompare_0[+4 Hard], MATCH(PartyCompare_7[[#This Row],[Mob Size]],PartyCompare_7[Mob Size],0)))/INDEX(PartyCompare_0[+4 Hard], MATCH(PartyCompare_7[[#This Row],[Mob Size]],PartyCompare_7[Mob Size],0))</f>
        <v>-1</v>
      </c>
      <c r="CH69" s="34">
        <f>(PartyCompare_7[[#This Row],[+4 Deadly]]-INDEX(PartyCompare_0[+4 Deadly], MATCH(PartyCompare_7[[#This Row],[Mob Size]],PartyCompare_7[Mob Size],0)))/INDEX(PartyCompare_0[+4 Deadly], MATCH(PartyCompare_7[[#This Row],[Mob Size]],PartyCompare_7[Mob Size],0))</f>
        <v>-1</v>
      </c>
      <c r="CI69" s="48">
        <f>AVERAGE(PartyCompare_7[[#This Row],[+4 Easy Deviation]:[+4 Deadly Deviation]])</f>
        <v>-1</v>
      </c>
    </row>
    <row r="70" spans="12:87" x14ac:dyDescent="0.2">
      <c r="L70" s="233"/>
      <c r="M70" s="91"/>
      <c r="N70" s="90"/>
      <c r="O70" s="32">
        <f>INDEX(Encounter_Diff[Easy], MATCH(PartyCompare_7[[#This Row],[Level]],Encounter_Diff[Player Level],0))</f>
        <v>0</v>
      </c>
      <c r="P70" s="32">
        <f>INDEX(Encounter_Diff[Medium], MATCH(PartyCompare_7[[#This Row],[Level]],Encounter_Diff[Player Level],0))</f>
        <v>0</v>
      </c>
      <c r="Q70" s="32">
        <f>INDEX(Encounter_Diff[Hard], MATCH(PartyCompare_7[[#This Row],[Level]],Encounter_Diff[Player Level],0))</f>
        <v>0</v>
      </c>
      <c r="R70" s="30">
        <f>INDEX(Encounter_Diff[Deadly], MATCH(PartyCompare_7[[#This Row],[Level]],Encounter_Diff[Player Level],0))</f>
        <v>0</v>
      </c>
      <c r="S70" s="97">
        <f t="shared" si="7"/>
        <v>0</v>
      </c>
      <c r="T70" s="32" t="str">
        <f>IF(COUNT(PartyCompare_7[Level])&lt;=2,"Small", IF(COUNT(PartyCompare_7[Level])&lt;=5,"Med", IF(COUNT(PartyCompare_7[Level])&lt;=8, "Large", "TOO BIG!")))</f>
        <v>Small</v>
      </c>
      <c r="U70" s="73" t="s">
        <v>110</v>
      </c>
      <c r="V70" s="77" t="str">
        <f>INDEX(Encounter_Mod[Count], MATCH(PartyCompare_7[[#This Row],[Mob Size]], Encounter_Mod[Type],0))</f>
        <v>7-10</v>
      </c>
      <c r="W70" s="81">
        <f>SUM(PartyCompare_7[(Easy)])/INDEX(Encounter_Mod[[Small]:[Large]], MATCH(PartyCompare_7[[#This Row],[Mob Size]], Encounter_Mod[Type], 0), MATCH(PartyCompare_7[[#This Row],[Party Size]],Encounter_Mod[[#Headers],[Small]:[Large]],0))</f>
        <v>0</v>
      </c>
      <c r="X70" s="42">
        <f>SUM(PartyCompare_7[(Medium)])/INDEX(Encounter_Mod[[Small]:[Large]], MATCH(PartyCompare_7[[#This Row],[Mob Size]], Encounter_Mod[Type], 0), MATCH(PartyCompare_7[[#This Row],[Party Size]],Encounter_Mod[[#Headers],[Small]:[Large]],0))</f>
        <v>0</v>
      </c>
      <c r="Y70" s="42">
        <f>SUM(PartyCompare_7[(Hard)])/INDEX(Encounter_Mod[[Small]:[Large]], MATCH(PartyCompare_7[[#This Row],[Mob Size]], Encounter_Mod[Type], 0), MATCH(PartyCompare_7[[#This Row],[Party Size]],Encounter_Mod[[#Headers],[Small]:[Large]],0))</f>
        <v>0</v>
      </c>
      <c r="Z70" s="43">
        <f>SUM(PartyCompare_7[(Deadly)])/INDEX(Encounter_Mod[[Small]:[Large]], MATCH(PartyCompare_7[[#This Row],[Mob Size]], Encounter_Mod[Type], 0), MATCH(PartyCompare_7[[#This Row],[Party Size]],Encounter_Mod[[#Headers],[Small]:[Large]],0))</f>
        <v>0</v>
      </c>
      <c r="AA70" s="46">
        <f>(PartyCompare_7[[#This Row],[Easy]]-INDEX(PartyCompare_0[Easy], MATCH(PartyCompare_7[[#This Row],[Mob Size]],PartyCompare_0[Mob Size],0)))/INDEX(PartyCompare_0[Easy], MATCH(PartyCompare_7[[#This Row],[Mob Size]],PartyCompare_0[Mob Size],0))</f>
        <v>-1</v>
      </c>
      <c r="AB70" s="33">
        <f>(PartyCompare_7[[#This Row],[Medium]]-INDEX(PartyCompare_0[Medium], MATCH(PartyCompare_7[[#This Row],[Mob Size]],PartyCompare_0[Mob Size],0)))/INDEX(PartyCompare_0[Medium], MATCH(PartyCompare_7[[#This Row],[Mob Size]],PartyCompare_0[Mob Size],0))</f>
        <v>-1</v>
      </c>
      <c r="AC70" s="33">
        <f>(PartyCompare_7[[#This Row],[Hard]]-INDEX(PartyCompare_0[Hard], MATCH(PartyCompare_7[[#This Row],[Mob Size]],PartyCompare_0[Mob Size],0)))/INDEX(PartyCompare_0[Hard], MATCH(PartyCompare_7[[#This Row],[Mob Size]],PartyCompare_0[Mob Size],0))</f>
        <v>-1</v>
      </c>
      <c r="AD70" s="34">
        <f>(PartyCompare_7[[#This Row],[Deadly]]-INDEX(PartyCompare_0[Deadly], MATCH(PartyCompare_7[[#This Row],[Mob Size]],PartyCompare_0[Mob Size],0)))/INDEX(PartyCompare_0[Deadly], MATCH(PartyCompare_7[[#This Row],[Mob Size]],PartyCompare_0[Mob Size],0))</f>
        <v>-1</v>
      </c>
      <c r="AE70" s="48">
        <f>AVERAGE(PartyCompare_7[[#This Row],[Easy Deviation]:[Deadly Deviation]])</f>
        <v>-1</v>
      </c>
      <c r="AF70" s="36">
        <f>IF(ISNUMBER(PartyCompare_7[[#This Row],[Level]]), PartyCompare_7[[#This Row],[Level]]+1, PartyCompare_7[[#This Row],[Level]])</f>
        <v>0</v>
      </c>
      <c r="AG70" s="36">
        <f>INDEX(Encounter_Diff[Easy], MATCH(PartyCompare_7[[#This Row],[+1 Level]],Encounter_Diff[Player Level],0))</f>
        <v>0</v>
      </c>
      <c r="AH70" s="36">
        <f>INDEX(Encounter_Diff[Medium], MATCH(PartyCompare_7[[#This Row],[+1 Level]],Encounter_Diff[Player Level],0))</f>
        <v>0</v>
      </c>
      <c r="AI70" s="36">
        <f>INDEX(Encounter_Diff[Hard], MATCH(PartyCompare_7[[#This Row],[+1 Level]],Encounter_Diff[Player Level],0))</f>
        <v>0</v>
      </c>
      <c r="AJ70" s="36">
        <f>INDEX(Encounter_Diff[Deadly], MATCH(PartyCompare_7[[#This Row],[+1 Level]],Encounter_Diff[Player Level],0))</f>
        <v>0</v>
      </c>
      <c r="AK70" s="63">
        <f>SUM(PartyCompare_7[+1 (Easy)])/INDEX(Encounter_Mod[[Small]:[Large]], MATCH(PartyCompare_7[[#This Row],[Mob Size]], Encounter_Mod[Type], 0), MATCH(PartyCompare_7[[#This Row],[Party Size]],Encounter_Mod[[#Headers],[Small]:[Large]],0))</f>
        <v>0</v>
      </c>
      <c r="AL70" s="38">
        <f>SUM(PartyCompare_7[+1 (Medium)])/INDEX(Encounter_Mod[[Small]:[Large]], MATCH(PartyCompare_7[[#This Row],[Mob Size]], Encounter_Mod[Type], 0), MATCH(PartyCompare_7[[#This Row],[Party Size]],Encounter_Mod[[#Headers],[Small]:[Large]],0))</f>
        <v>0</v>
      </c>
      <c r="AM70" s="38">
        <f>SUM(PartyCompare_7[+1 (Hard)])/INDEX(Encounter_Mod[[Small]:[Large]], MATCH(PartyCompare_7[[#This Row],[Mob Size]], Encounter_Mod[Type], 0), MATCH(PartyCompare_7[[#This Row],[Party Size]],Encounter_Mod[[#Headers],[Small]:[Large]],0))</f>
        <v>0</v>
      </c>
      <c r="AN70" s="38">
        <f>SUM(PartyCompare_7[+1 (Deadly)])/INDEX(Encounter_Mod[[Small]:[Large]], MATCH(PartyCompare_7[[#This Row],[Mob Size]], Encounter_Mod[Type], 0), MATCH(PartyCompare_7[[#This Row],[Party Size]],Encounter_Mod[[#Headers],[Small]:[Large]],0))</f>
        <v>0</v>
      </c>
      <c r="AO70" s="46">
        <f>(PartyCompare_7[[#This Row],[+1 Easy]]-INDEX(PartyCompare_0[+1 Easy], MATCH(PartyCompare_7[[#This Row],[Mob Size]],PartyCompare_7[Mob Size],0)))/INDEX(PartyCompare_0[+1 Easy], MATCH(PartyCompare_7[[#This Row],[Mob Size]],PartyCompare_7[Mob Size],0))</f>
        <v>-1</v>
      </c>
      <c r="AP70" s="39">
        <f>(PartyCompare_7[[#This Row],[+1 Medium]]-INDEX(PartyCompare_0[+1 Medium], MATCH(PartyCompare_7[[#This Row],[Mob Size]],PartyCompare_7[Mob Size],0)))/INDEX(PartyCompare_0[+1 Medium], MATCH(PartyCompare_7[[#This Row],[Mob Size]],PartyCompare_7[Mob Size],0))</f>
        <v>-1</v>
      </c>
      <c r="AQ70" s="39">
        <f>(PartyCompare_7[[#This Row],[+1 Hard]]-INDEX(PartyCompare_0[+1 Hard], MATCH(PartyCompare_7[[#This Row],[Mob Size]],PartyCompare_7[Mob Size],0)))/INDEX(PartyCompare_0[+1 Hard], MATCH(PartyCompare_7[[#This Row],[Mob Size]],PartyCompare_7[Mob Size],0))</f>
        <v>-1</v>
      </c>
      <c r="AR70" s="34">
        <f>(PartyCompare_7[[#This Row],[+1 Deadly]]-INDEX(PartyCompare_0[+1 Deadly], MATCH(PartyCompare_7[[#This Row],[Mob Size]],PartyCompare_7[Mob Size],0)))/INDEX(PartyCompare_0[+1 Deadly], MATCH(PartyCompare_7[[#This Row],[Mob Size]],PartyCompare_7[Mob Size],0))</f>
        <v>-1</v>
      </c>
      <c r="AS70" s="48">
        <f>AVERAGE(PartyCompare_7[[#This Row],[+1 Easy Deviation]:[+1 Deadly Deviation]])</f>
        <v>-1</v>
      </c>
      <c r="AT70" s="36">
        <f>IF(ISNUMBER(PartyCompare_7[[#This Row],[Level]]), PartyCompare_7[[#This Row],[Level]]+2, PartyCompare_7[[#This Row],[Level]])</f>
        <v>0</v>
      </c>
      <c r="AU70" s="36">
        <f>INDEX(Encounter_Diff[Easy], MATCH(PartyCompare_7[[#This Row],[+2 Level]],Encounter_Diff[Player Level],0))</f>
        <v>0</v>
      </c>
      <c r="AV70" s="36">
        <f>INDEX(Encounter_Diff[Medium], MATCH(PartyCompare_7[[#This Row],[+2 Level]],Encounter_Diff[Player Level],0))</f>
        <v>0</v>
      </c>
      <c r="AW70" s="36">
        <f>INDEX(Encounter_Diff[Hard], MATCH(PartyCompare_7[[#This Row],[+2 Level]],Encounter_Diff[Player Level],0))</f>
        <v>0</v>
      </c>
      <c r="AX70" s="36">
        <f>INDEX(Encounter_Diff[Deadly], MATCH(PartyCompare_7[[#This Row],[+2 Level]],Encounter_Diff[Player Level],0))</f>
        <v>0</v>
      </c>
      <c r="AY70" s="63">
        <f>SUM(PartyCompare_7[+2 (Easy)])/INDEX(Encounter_Mod[[Small]:[Large]], MATCH(PartyCompare_7[[#This Row],[Mob Size]], Encounter_Mod[Type], 0), MATCH(PartyCompare_7[[#This Row],[Party Size]],Encounter_Mod[[#Headers],[Small]:[Large]],0))</f>
        <v>0</v>
      </c>
      <c r="AZ70" s="38">
        <f>SUM(PartyCompare_7[+2 (Medium)])/INDEX(Encounter_Mod[[Small]:[Large]], MATCH(PartyCompare_7[[#This Row],[Mob Size]], Encounter_Mod[Type], 0), MATCH(PartyCompare_7[[#This Row],[Party Size]],Encounter_Mod[[#Headers],[Small]:[Large]],0))</f>
        <v>0</v>
      </c>
      <c r="BA70" s="38">
        <f>SUM(PartyCompare_7[+2 (Hard)])/INDEX(Encounter_Mod[[Small]:[Large]], MATCH(PartyCompare_7[[#This Row],[Mob Size]], Encounter_Mod[Type], 0), MATCH(PartyCompare_7[[#This Row],[Party Size]],Encounter_Mod[[#Headers],[Small]:[Large]],0))</f>
        <v>0</v>
      </c>
      <c r="BB70" s="38">
        <f>SUM(PartyCompare_7[+2 (Deadly)])/INDEX(Encounter_Mod[[Small]:[Large]], MATCH(PartyCompare_7[[#This Row],[Mob Size]], Encounter_Mod[Type], 0), MATCH(PartyCompare_7[[#This Row],[Party Size]],Encounter_Mod[[#Headers],[Small]:[Large]],0))</f>
        <v>0</v>
      </c>
      <c r="BC70" s="46">
        <f>(PartyCompare_7[[#This Row],[+2 Easy]]-INDEX(PartyCompare_0[+2 Easy], MATCH(PartyCompare_7[[#This Row],[Mob Size]],PartyCompare_7[Mob Size],0)))/INDEX(PartyCompare_0[+2 Easy], MATCH(PartyCompare_7[[#This Row],[Mob Size]],PartyCompare_7[Mob Size],0))</f>
        <v>-1</v>
      </c>
      <c r="BD70" s="39">
        <f>(PartyCompare_7[[#This Row],[+2 Medium]]-INDEX(PartyCompare_0[+2 Medium], MATCH(PartyCompare_7[[#This Row],[Mob Size]],PartyCompare_7[Mob Size],0)))/INDEX(PartyCompare_0[+2 Medium], MATCH(PartyCompare_7[[#This Row],[Mob Size]],PartyCompare_7[Mob Size],0))</f>
        <v>-1</v>
      </c>
      <c r="BE70" s="39">
        <f>(PartyCompare_7[[#This Row],[+2 Hard]]-INDEX(PartyCompare_0[+2 Hard], MATCH(PartyCompare_7[[#This Row],[Mob Size]],PartyCompare_7[Mob Size],0)))/INDEX(PartyCompare_0[+2 Hard], MATCH(PartyCompare_7[[#This Row],[Mob Size]],PartyCompare_7[Mob Size],0))</f>
        <v>-1</v>
      </c>
      <c r="BF70" s="34">
        <f>(PartyCompare_7[[#This Row],[+2 Deadly]]-INDEX(PartyCompare_0[+2 Deadly], MATCH(PartyCompare_7[[#This Row],[Mob Size]],PartyCompare_7[Mob Size],0)))/INDEX(PartyCompare_0[+2 Deadly], MATCH(PartyCompare_7[[#This Row],[Mob Size]],PartyCompare_7[Mob Size],0))</f>
        <v>-1</v>
      </c>
      <c r="BG70" s="48">
        <f>AVERAGE(PartyCompare_7[[#This Row],[+2 Easy Deviation]:[+2 Deadly Deviation]])</f>
        <v>-1</v>
      </c>
      <c r="BH70" s="36">
        <f>IF(ISNUMBER(PartyCompare_7[[#This Row],[Level]]), PartyCompare_7[[#This Row],[Level]]+3, PartyCompare_7[[#This Row],[Level]])</f>
        <v>0</v>
      </c>
      <c r="BI70" s="36">
        <f>INDEX(Encounter_Diff[Easy], MATCH(PartyCompare_7[[#This Row],[+3 Level]],Encounter_Diff[Player Level],0))</f>
        <v>0</v>
      </c>
      <c r="BJ70" s="36">
        <f>INDEX(Encounter_Diff[Medium], MATCH(PartyCompare_7[[#This Row],[+3 Level]],Encounter_Diff[Player Level],0))</f>
        <v>0</v>
      </c>
      <c r="BK70" s="36">
        <f>INDEX(Encounter_Diff[Hard], MATCH(PartyCompare_7[[#This Row],[+3 Level]],Encounter_Diff[Player Level],0))</f>
        <v>0</v>
      </c>
      <c r="BL70" s="36">
        <f>INDEX(Encounter_Diff[Deadly], MATCH(PartyCompare_7[[#This Row],[+3 Level]],Encounter_Diff[Player Level],0))</f>
        <v>0</v>
      </c>
      <c r="BM70" s="63">
        <f>SUM(PartyCompare_7[+3 (Easy)])/INDEX(Encounter_Mod[[Small]:[Large]], MATCH(PartyCompare_7[[#This Row],[Mob Size]], Encounter_Mod[Type], 0), MATCH(PartyCompare_7[[#This Row],[Party Size]],Encounter_Mod[[#Headers],[Small]:[Large]],0))</f>
        <v>0</v>
      </c>
      <c r="BN70" s="38">
        <f>SUM(PartyCompare_7[+3 (Medium)])/INDEX(Encounter_Mod[[Small]:[Large]], MATCH(PartyCompare_7[[#This Row],[Mob Size]], Encounter_Mod[Type], 0), MATCH(PartyCompare_7[[#This Row],[Party Size]],Encounter_Mod[[#Headers],[Small]:[Large]],0))</f>
        <v>0</v>
      </c>
      <c r="BO70" s="38">
        <f>SUM(PartyCompare_7[+3 (Hard)])/INDEX(Encounter_Mod[[Small]:[Large]], MATCH(PartyCompare_7[[#This Row],[Mob Size]], Encounter_Mod[Type], 0), MATCH(PartyCompare_7[[#This Row],[Party Size]],Encounter_Mod[[#Headers],[Small]:[Large]],0))</f>
        <v>0</v>
      </c>
      <c r="BP70" s="38">
        <f>SUM(PartyCompare_7[+3 (Deadly)])/INDEX(Encounter_Mod[[Small]:[Large]], MATCH(PartyCompare_7[[#This Row],[Mob Size]], Encounter_Mod[Type], 0), MATCH(PartyCompare_7[[#This Row],[Party Size]],Encounter_Mod[[#Headers],[Small]:[Large]],0))</f>
        <v>0</v>
      </c>
      <c r="BQ70" s="46">
        <f>(PartyCompare_7[[#This Row],[+3 Easy]]-INDEX(PartyCompare_0[+3 Easy], MATCH(PartyCompare_7[[#This Row],[Mob Size]],PartyCompare_7[Mob Size],0)))/INDEX(PartyCompare_0[+3 Easy], MATCH(PartyCompare_7[[#This Row],[Mob Size]],PartyCompare_7[Mob Size],0))</f>
        <v>-1</v>
      </c>
      <c r="BR70" s="39">
        <f>(PartyCompare_7[[#This Row],[+3 Medium]]-INDEX(PartyCompare_0[+3 Medium], MATCH(PartyCompare_7[[#This Row],[Mob Size]],PartyCompare_7[Mob Size],0)))/INDEX(PartyCompare_0[+3 Medium], MATCH(PartyCompare_7[[#This Row],[Mob Size]],PartyCompare_7[Mob Size],0))</f>
        <v>-1</v>
      </c>
      <c r="BS70" s="39">
        <f>(PartyCompare_7[[#This Row],[+3 Hard]]-INDEX(PartyCompare_0[+3 Hard], MATCH(PartyCompare_7[[#This Row],[Mob Size]],PartyCompare_7[Mob Size],0)))/INDEX(PartyCompare_0[+3 Hard], MATCH(PartyCompare_7[[#This Row],[Mob Size]],PartyCompare_7[Mob Size],0))</f>
        <v>-1</v>
      </c>
      <c r="BT70" s="34">
        <f>(PartyCompare_7[[#This Row],[+3 Deadly]]-INDEX(PartyCompare_0[+3 Deadly], MATCH(PartyCompare_7[[#This Row],[Mob Size]],PartyCompare_7[Mob Size],0)))/INDEX(PartyCompare_0[+3 Deadly], MATCH(PartyCompare_7[[#This Row],[Mob Size]],PartyCompare_7[Mob Size],0))</f>
        <v>-1</v>
      </c>
      <c r="BU70" s="48">
        <f>AVERAGE(PartyCompare_7[[#This Row],[+3 Easy Deviation]:[+3 Deadly Deviation]])</f>
        <v>-1</v>
      </c>
      <c r="BV70" s="36">
        <f>IF(ISNUMBER(PartyCompare_7[[#This Row],[Level]]), PartyCompare_7[[#This Row],[Level]]+4, PartyCompare_7[[#This Row],[Level]])</f>
        <v>0</v>
      </c>
      <c r="BW70" s="36">
        <f>INDEX(Encounter_Diff[Easy], MATCH(PartyCompare_7[[#This Row],[+4 Level]],Encounter_Diff[Player Level],0))</f>
        <v>0</v>
      </c>
      <c r="BX70" s="36">
        <f>INDEX(Encounter_Diff[Medium], MATCH(PartyCompare_7[[#This Row],[+4 Level]],Encounter_Diff[Player Level],0))</f>
        <v>0</v>
      </c>
      <c r="BY70" s="36">
        <f>INDEX(Encounter_Diff[Hard], MATCH(PartyCompare_7[[#This Row],[+4 Level]],Encounter_Diff[Player Level],0))</f>
        <v>0</v>
      </c>
      <c r="BZ70" s="36">
        <f>INDEX(Encounter_Diff[Deadly], MATCH(PartyCompare_7[[#This Row],[+4 Level]],Encounter_Diff[Player Level],0))</f>
        <v>0</v>
      </c>
      <c r="CA70" s="63">
        <f>SUM(PartyCompare_7[+4 (Easy)])/INDEX(Encounter_Mod[[Small]:[Large]], MATCH(PartyCompare_7[[#This Row],[Mob Size]], Encounter_Mod[Type], 0), MATCH(PartyCompare_7[[#This Row],[Party Size]],Encounter_Mod[[#Headers],[Small]:[Large]],0))</f>
        <v>0</v>
      </c>
      <c r="CB70" s="38">
        <f>SUM(PartyCompare_7[+4 (Medium)])/INDEX(Encounter_Mod[[Small]:[Large]], MATCH(PartyCompare_7[[#This Row],[Mob Size]], Encounter_Mod[Type], 0), MATCH(PartyCompare_7[[#This Row],[Party Size]],Encounter_Mod[[#Headers],[Small]:[Large]],0))</f>
        <v>0</v>
      </c>
      <c r="CC70" s="38">
        <f>SUM(PartyCompare_7[+4 (Hard)])/INDEX(Encounter_Mod[[Small]:[Large]], MATCH(PartyCompare_7[[#This Row],[Mob Size]], Encounter_Mod[Type], 0), MATCH(PartyCompare_7[[#This Row],[Party Size]],Encounter_Mod[[#Headers],[Small]:[Large]],0))</f>
        <v>0</v>
      </c>
      <c r="CD70" s="38">
        <f>SUM(PartyCompare_7[+4 (Deadly)])/INDEX(Encounter_Mod[[Small]:[Large]], MATCH(PartyCompare_7[[#This Row],[Mob Size]], Encounter_Mod[Type], 0), MATCH(PartyCompare_7[[#This Row],[Party Size]],Encounter_Mod[[#Headers],[Small]:[Large]],0))</f>
        <v>0</v>
      </c>
      <c r="CE70" s="46">
        <f>(PartyCompare_7[[#This Row],[+4 Easy]]-INDEX(PartyCompare_0[+4 Easy], MATCH(PartyCompare_7[[#This Row],[Mob Size]],PartyCompare_7[Mob Size],0)))/INDEX(PartyCompare_0[+4 Easy], MATCH(PartyCompare_7[[#This Row],[Mob Size]],PartyCompare_7[Mob Size],0))</f>
        <v>-1</v>
      </c>
      <c r="CF70" s="39">
        <f>(PartyCompare_7[[#This Row],[+4 Medium]]-INDEX(PartyCompare_0[+4 Medium], MATCH(PartyCompare_7[[#This Row],[Mob Size]],PartyCompare_7[Mob Size],0)))/INDEX(PartyCompare_0[+4 Medium], MATCH(PartyCompare_7[[#This Row],[Mob Size]],PartyCompare_7[Mob Size],0))</f>
        <v>-1</v>
      </c>
      <c r="CG70" s="39">
        <f>(PartyCompare_7[[#This Row],[+4 Hard]]-INDEX(PartyCompare_0[+4 Hard], MATCH(PartyCompare_7[[#This Row],[Mob Size]],PartyCompare_7[Mob Size],0)))/INDEX(PartyCompare_0[+4 Hard], MATCH(PartyCompare_7[[#This Row],[Mob Size]],PartyCompare_7[Mob Size],0))</f>
        <v>-1</v>
      </c>
      <c r="CH70" s="34">
        <f>(PartyCompare_7[[#This Row],[+4 Deadly]]-INDEX(PartyCompare_0[+4 Deadly], MATCH(PartyCompare_7[[#This Row],[Mob Size]],PartyCompare_7[Mob Size],0)))/INDEX(PartyCompare_0[+4 Deadly], MATCH(PartyCompare_7[[#This Row],[Mob Size]],PartyCompare_7[Mob Size],0))</f>
        <v>-1</v>
      </c>
      <c r="CI70" s="48">
        <f>AVERAGE(PartyCompare_7[[#This Row],[+4 Easy Deviation]:[+4 Deadly Deviation]])</f>
        <v>-1</v>
      </c>
    </row>
    <row r="71" spans="12:87" x14ac:dyDescent="0.2">
      <c r="L71" s="233"/>
      <c r="M71" s="91"/>
      <c r="N71" s="90"/>
      <c r="O71" s="32">
        <f>INDEX(Encounter_Diff[Easy], MATCH(PartyCompare_7[[#This Row],[Level]],Encounter_Diff[Player Level],0))</f>
        <v>0</v>
      </c>
      <c r="P71" s="32">
        <f>INDEX(Encounter_Diff[Medium], MATCH(PartyCompare_7[[#This Row],[Level]],Encounter_Diff[Player Level],0))</f>
        <v>0</v>
      </c>
      <c r="Q71" s="32">
        <f>INDEX(Encounter_Diff[Hard], MATCH(PartyCompare_7[[#This Row],[Level]],Encounter_Diff[Player Level],0))</f>
        <v>0</v>
      </c>
      <c r="R71" s="30">
        <f>INDEX(Encounter_Diff[Deadly], MATCH(PartyCompare_7[[#This Row],[Level]],Encounter_Diff[Player Level],0))</f>
        <v>0</v>
      </c>
      <c r="S71" s="97">
        <f t="shared" si="7"/>
        <v>0</v>
      </c>
      <c r="T71" s="32" t="str">
        <f>IF(COUNT(PartyCompare_7[Level])&lt;=2,"Small", IF(COUNT(PartyCompare_7[Level])&lt;=5,"Med", IF(COUNT(PartyCompare_7[Level])&lt;=8, "Large", "TOO BIG!")))</f>
        <v>Small</v>
      </c>
      <c r="U71" s="73" t="s">
        <v>111</v>
      </c>
      <c r="V71" s="77" t="str">
        <f>INDEX(Encounter_Mod[Count], MATCH(PartyCompare_7[[#This Row],[Mob Size]], Encounter_Mod[Type],0))</f>
        <v>11-14</v>
      </c>
      <c r="W71" s="81">
        <f>SUM(PartyCompare_7[(Easy)])/INDEX(Encounter_Mod[[Small]:[Large]], MATCH(PartyCompare_7[[#This Row],[Mob Size]], Encounter_Mod[Type], 0), MATCH(PartyCompare_7[[#This Row],[Party Size]],Encounter_Mod[[#Headers],[Small]:[Large]],0))</f>
        <v>0</v>
      </c>
      <c r="X71" s="42">
        <f>SUM(PartyCompare_7[(Medium)])/INDEX(Encounter_Mod[[Small]:[Large]], MATCH(PartyCompare_7[[#This Row],[Mob Size]], Encounter_Mod[Type], 0), MATCH(PartyCompare_7[[#This Row],[Party Size]],Encounter_Mod[[#Headers],[Small]:[Large]],0))</f>
        <v>0</v>
      </c>
      <c r="Y71" s="42">
        <f>SUM(PartyCompare_7[(Hard)])/INDEX(Encounter_Mod[[Small]:[Large]], MATCH(PartyCompare_7[[#This Row],[Mob Size]], Encounter_Mod[Type], 0), MATCH(PartyCompare_7[[#This Row],[Party Size]],Encounter_Mod[[#Headers],[Small]:[Large]],0))</f>
        <v>0</v>
      </c>
      <c r="Z71" s="43">
        <f>SUM(PartyCompare_7[(Deadly)])/INDEX(Encounter_Mod[[Small]:[Large]], MATCH(PartyCompare_7[[#This Row],[Mob Size]], Encounter_Mod[Type], 0), MATCH(PartyCompare_7[[#This Row],[Party Size]],Encounter_Mod[[#Headers],[Small]:[Large]],0))</f>
        <v>0</v>
      </c>
      <c r="AA71" s="46">
        <f>(PartyCompare_7[[#This Row],[Easy]]-INDEX(PartyCompare_0[Easy], MATCH(PartyCompare_7[[#This Row],[Mob Size]],PartyCompare_0[Mob Size],0)))/INDEX(PartyCompare_0[Easy], MATCH(PartyCompare_7[[#This Row],[Mob Size]],PartyCompare_0[Mob Size],0))</f>
        <v>-1</v>
      </c>
      <c r="AB71" s="33">
        <f>(PartyCompare_7[[#This Row],[Medium]]-INDEX(PartyCompare_0[Medium], MATCH(PartyCompare_7[[#This Row],[Mob Size]],PartyCompare_0[Mob Size],0)))/INDEX(PartyCompare_0[Medium], MATCH(PartyCompare_7[[#This Row],[Mob Size]],PartyCompare_0[Mob Size],0))</f>
        <v>-1</v>
      </c>
      <c r="AC71" s="33">
        <f>(PartyCompare_7[[#This Row],[Hard]]-INDEX(PartyCompare_0[Hard], MATCH(PartyCompare_7[[#This Row],[Mob Size]],PartyCompare_0[Mob Size],0)))/INDEX(PartyCompare_0[Hard], MATCH(PartyCompare_7[[#This Row],[Mob Size]],PartyCompare_0[Mob Size],0))</f>
        <v>-1</v>
      </c>
      <c r="AD71" s="34">
        <f>(PartyCompare_7[[#This Row],[Deadly]]-INDEX(PartyCompare_0[Deadly], MATCH(PartyCompare_7[[#This Row],[Mob Size]],PartyCompare_0[Mob Size],0)))/INDEX(PartyCompare_0[Deadly], MATCH(PartyCompare_7[[#This Row],[Mob Size]],PartyCompare_0[Mob Size],0))</f>
        <v>-1</v>
      </c>
      <c r="AE71" s="48">
        <f>AVERAGE(PartyCompare_7[[#This Row],[Easy Deviation]:[Deadly Deviation]])</f>
        <v>-1</v>
      </c>
      <c r="AF71" s="36">
        <f>IF(ISNUMBER(PartyCompare_7[[#This Row],[Level]]), PartyCompare_7[[#This Row],[Level]]+1, PartyCompare_7[[#This Row],[Level]])</f>
        <v>0</v>
      </c>
      <c r="AG71" s="36">
        <f>INDEX(Encounter_Diff[Easy], MATCH(PartyCompare_7[[#This Row],[+1 Level]],Encounter_Diff[Player Level],0))</f>
        <v>0</v>
      </c>
      <c r="AH71" s="36">
        <f>INDEX(Encounter_Diff[Medium], MATCH(PartyCompare_7[[#This Row],[+1 Level]],Encounter_Diff[Player Level],0))</f>
        <v>0</v>
      </c>
      <c r="AI71" s="36">
        <f>INDEX(Encounter_Diff[Hard], MATCH(PartyCompare_7[[#This Row],[+1 Level]],Encounter_Diff[Player Level],0))</f>
        <v>0</v>
      </c>
      <c r="AJ71" s="36">
        <f>INDEX(Encounter_Diff[Deadly], MATCH(PartyCompare_7[[#This Row],[+1 Level]],Encounter_Diff[Player Level],0))</f>
        <v>0</v>
      </c>
      <c r="AK71" s="63">
        <f>SUM(PartyCompare_7[+1 (Easy)])/INDEX(Encounter_Mod[[Small]:[Large]], MATCH(PartyCompare_7[[#This Row],[Mob Size]], Encounter_Mod[Type], 0), MATCH(PartyCompare_7[[#This Row],[Party Size]],Encounter_Mod[[#Headers],[Small]:[Large]],0))</f>
        <v>0</v>
      </c>
      <c r="AL71" s="38">
        <f>SUM(PartyCompare_7[+1 (Medium)])/INDEX(Encounter_Mod[[Small]:[Large]], MATCH(PartyCompare_7[[#This Row],[Mob Size]], Encounter_Mod[Type], 0), MATCH(PartyCompare_7[[#This Row],[Party Size]],Encounter_Mod[[#Headers],[Small]:[Large]],0))</f>
        <v>0</v>
      </c>
      <c r="AM71" s="38">
        <f>SUM(PartyCompare_7[+1 (Hard)])/INDEX(Encounter_Mod[[Small]:[Large]], MATCH(PartyCompare_7[[#This Row],[Mob Size]], Encounter_Mod[Type], 0), MATCH(PartyCompare_7[[#This Row],[Party Size]],Encounter_Mod[[#Headers],[Small]:[Large]],0))</f>
        <v>0</v>
      </c>
      <c r="AN71" s="38">
        <f>SUM(PartyCompare_7[+1 (Deadly)])/INDEX(Encounter_Mod[[Small]:[Large]], MATCH(PartyCompare_7[[#This Row],[Mob Size]], Encounter_Mod[Type], 0), MATCH(PartyCompare_7[[#This Row],[Party Size]],Encounter_Mod[[#Headers],[Small]:[Large]],0))</f>
        <v>0</v>
      </c>
      <c r="AO71" s="46">
        <f>(PartyCompare_7[[#This Row],[+1 Easy]]-INDEX(PartyCompare_0[+1 Easy], MATCH(PartyCompare_7[[#This Row],[Mob Size]],PartyCompare_7[Mob Size],0)))/INDEX(PartyCompare_0[+1 Easy], MATCH(PartyCompare_7[[#This Row],[Mob Size]],PartyCompare_7[Mob Size],0))</f>
        <v>-1</v>
      </c>
      <c r="AP71" s="39">
        <f>(PartyCompare_7[[#This Row],[+1 Medium]]-INDEX(PartyCompare_0[+1 Medium], MATCH(PartyCompare_7[[#This Row],[Mob Size]],PartyCompare_7[Mob Size],0)))/INDEX(PartyCompare_0[+1 Medium], MATCH(PartyCompare_7[[#This Row],[Mob Size]],PartyCompare_7[Mob Size],0))</f>
        <v>-1</v>
      </c>
      <c r="AQ71" s="39">
        <f>(PartyCompare_7[[#This Row],[+1 Hard]]-INDEX(PartyCompare_0[+1 Hard], MATCH(PartyCompare_7[[#This Row],[Mob Size]],PartyCompare_7[Mob Size],0)))/INDEX(PartyCompare_0[+1 Hard], MATCH(PartyCompare_7[[#This Row],[Mob Size]],PartyCompare_7[Mob Size],0))</f>
        <v>-1</v>
      </c>
      <c r="AR71" s="34">
        <f>(PartyCompare_7[[#This Row],[+1 Deadly]]-INDEX(PartyCompare_0[+1 Deadly], MATCH(PartyCompare_7[[#This Row],[Mob Size]],PartyCompare_7[Mob Size],0)))/INDEX(PartyCompare_0[+1 Deadly], MATCH(PartyCompare_7[[#This Row],[Mob Size]],PartyCompare_7[Mob Size],0))</f>
        <v>-1</v>
      </c>
      <c r="AS71" s="48">
        <f>AVERAGE(PartyCompare_7[[#This Row],[+1 Easy Deviation]:[+1 Deadly Deviation]])</f>
        <v>-1</v>
      </c>
      <c r="AT71" s="36">
        <f>IF(ISNUMBER(PartyCompare_7[[#This Row],[Level]]), PartyCompare_7[[#This Row],[Level]]+2, PartyCompare_7[[#This Row],[Level]])</f>
        <v>0</v>
      </c>
      <c r="AU71" s="36">
        <f>INDEX(Encounter_Diff[Easy], MATCH(PartyCompare_7[[#This Row],[+2 Level]],Encounter_Diff[Player Level],0))</f>
        <v>0</v>
      </c>
      <c r="AV71" s="36">
        <f>INDEX(Encounter_Diff[Medium], MATCH(PartyCompare_7[[#This Row],[+2 Level]],Encounter_Diff[Player Level],0))</f>
        <v>0</v>
      </c>
      <c r="AW71" s="36">
        <f>INDEX(Encounter_Diff[Hard], MATCH(PartyCompare_7[[#This Row],[+2 Level]],Encounter_Diff[Player Level],0))</f>
        <v>0</v>
      </c>
      <c r="AX71" s="36">
        <f>INDEX(Encounter_Diff[Deadly], MATCH(PartyCompare_7[[#This Row],[+2 Level]],Encounter_Diff[Player Level],0))</f>
        <v>0</v>
      </c>
      <c r="AY71" s="63">
        <f>SUM(PartyCompare_7[+2 (Easy)])/INDEX(Encounter_Mod[[Small]:[Large]], MATCH(PartyCompare_7[[#This Row],[Mob Size]], Encounter_Mod[Type], 0), MATCH(PartyCompare_7[[#This Row],[Party Size]],Encounter_Mod[[#Headers],[Small]:[Large]],0))</f>
        <v>0</v>
      </c>
      <c r="AZ71" s="38">
        <f>SUM(PartyCompare_7[+2 (Medium)])/INDEX(Encounter_Mod[[Small]:[Large]], MATCH(PartyCompare_7[[#This Row],[Mob Size]], Encounter_Mod[Type], 0), MATCH(PartyCompare_7[[#This Row],[Party Size]],Encounter_Mod[[#Headers],[Small]:[Large]],0))</f>
        <v>0</v>
      </c>
      <c r="BA71" s="38">
        <f>SUM(PartyCompare_7[+2 (Hard)])/INDEX(Encounter_Mod[[Small]:[Large]], MATCH(PartyCompare_7[[#This Row],[Mob Size]], Encounter_Mod[Type], 0), MATCH(PartyCompare_7[[#This Row],[Party Size]],Encounter_Mod[[#Headers],[Small]:[Large]],0))</f>
        <v>0</v>
      </c>
      <c r="BB71" s="38">
        <f>SUM(PartyCompare_7[+2 (Deadly)])/INDEX(Encounter_Mod[[Small]:[Large]], MATCH(PartyCompare_7[[#This Row],[Mob Size]], Encounter_Mod[Type], 0), MATCH(PartyCompare_7[[#This Row],[Party Size]],Encounter_Mod[[#Headers],[Small]:[Large]],0))</f>
        <v>0</v>
      </c>
      <c r="BC71" s="46">
        <f>(PartyCompare_7[[#This Row],[+2 Easy]]-INDEX(PartyCompare_0[+2 Easy], MATCH(PartyCompare_7[[#This Row],[Mob Size]],PartyCompare_7[Mob Size],0)))/INDEX(PartyCompare_0[+2 Easy], MATCH(PartyCompare_7[[#This Row],[Mob Size]],PartyCompare_7[Mob Size],0))</f>
        <v>-1</v>
      </c>
      <c r="BD71" s="39">
        <f>(PartyCompare_7[[#This Row],[+2 Medium]]-INDEX(PartyCompare_0[+2 Medium], MATCH(PartyCompare_7[[#This Row],[Mob Size]],PartyCompare_7[Mob Size],0)))/INDEX(PartyCompare_0[+2 Medium], MATCH(PartyCompare_7[[#This Row],[Mob Size]],PartyCompare_7[Mob Size],0))</f>
        <v>-1</v>
      </c>
      <c r="BE71" s="39">
        <f>(PartyCompare_7[[#This Row],[+2 Hard]]-INDEX(PartyCompare_0[+2 Hard], MATCH(PartyCompare_7[[#This Row],[Mob Size]],PartyCompare_7[Mob Size],0)))/INDEX(PartyCompare_0[+2 Hard], MATCH(PartyCompare_7[[#This Row],[Mob Size]],PartyCompare_7[Mob Size],0))</f>
        <v>-1</v>
      </c>
      <c r="BF71" s="34">
        <f>(PartyCompare_7[[#This Row],[+2 Deadly]]-INDEX(PartyCompare_0[+2 Deadly], MATCH(PartyCompare_7[[#This Row],[Mob Size]],PartyCompare_7[Mob Size],0)))/INDEX(PartyCompare_0[+2 Deadly], MATCH(PartyCompare_7[[#This Row],[Mob Size]],PartyCompare_7[Mob Size],0))</f>
        <v>-1</v>
      </c>
      <c r="BG71" s="48">
        <f>AVERAGE(PartyCompare_7[[#This Row],[+2 Easy Deviation]:[+2 Deadly Deviation]])</f>
        <v>-1</v>
      </c>
      <c r="BH71" s="36">
        <f>IF(ISNUMBER(PartyCompare_7[[#This Row],[Level]]), PartyCompare_7[[#This Row],[Level]]+3, PartyCompare_7[[#This Row],[Level]])</f>
        <v>0</v>
      </c>
      <c r="BI71" s="36">
        <f>INDEX(Encounter_Diff[Easy], MATCH(PartyCompare_7[[#This Row],[+3 Level]],Encounter_Diff[Player Level],0))</f>
        <v>0</v>
      </c>
      <c r="BJ71" s="36">
        <f>INDEX(Encounter_Diff[Medium], MATCH(PartyCompare_7[[#This Row],[+3 Level]],Encounter_Diff[Player Level],0))</f>
        <v>0</v>
      </c>
      <c r="BK71" s="36">
        <f>INDEX(Encounter_Diff[Hard], MATCH(PartyCompare_7[[#This Row],[+3 Level]],Encounter_Diff[Player Level],0))</f>
        <v>0</v>
      </c>
      <c r="BL71" s="36">
        <f>INDEX(Encounter_Diff[Deadly], MATCH(PartyCompare_7[[#This Row],[+3 Level]],Encounter_Diff[Player Level],0))</f>
        <v>0</v>
      </c>
      <c r="BM71" s="63">
        <f>SUM(PartyCompare_7[+3 (Easy)])/INDEX(Encounter_Mod[[Small]:[Large]], MATCH(PartyCompare_7[[#This Row],[Mob Size]], Encounter_Mod[Type], 0), MATCH(PartyCompare_7[[#This Row],[Party Size]],Encounter_Mod[[#Headers],[Small]:[Large]],0))</f>
        <v>0</v>
      </c>
      <c r="BN71" s="38">
        <f>SUM(PartyCompare_7[+3 (Medium)])/INDEX(Encounter_Mod[[Small]:[Large]], MATCH(PartyCompare_7[[#This Row],[Mob Size]], Encounter_Mod[Type], 0), MATCH(PartyCompare_7[[#This Row],[Party Size]],Encounter_Mod[[#Headers],[Small]:[Large]],0))</f>
        <v>0</v>
      </c>
      <c r="BO71" s="38">
        <f>SUM(PartyCompare_7[+3 (Hard)])/INDEX(Encounter_Mod[[Small]:[Large]], MATCH(PartyCompare_7[[#This Row],[Mob Size]], Encounter_Mod[Type], 0), MATCH(PartyCompare_7[[#This Row],[Party Size]],Encounter_Mod[[#Headers],[Small]:[Large]],0))</f>
        <v>0</v>
      </c>
      <c r="BP71" s="38">
        <f>SUM(PartyCompare_7[+3 (Deadly)])/INDEX(Encounter_Mod[[Small]:[Large]], MATCH(PartyCompare_7[[#This Row],[Mob Size]], Encounter_Mod[Type], 0), MATCH(PartyCompare_7[[#This Row],[Party Size]],Encounter_Mod[[#Headers],[Small]:[Large]],0))</f>
        <v>0</v>
      </c>
      <c r="BQ71" s="46">
        <f>(PartyCompare_7[[#This Row],[+3 Easy]]-INDEX(PartyCompare_0[+3 Easy], MATCH(PartyCompare_7[[#This Row],[Mob Size]],PartyCompare_7[Mob Size],0)))/INDEX(PartyCompare_0[+3 Easy], MATCH(PartyCompare_7[[#This Row],[Mob Size]],PartyCompare_7[Mob Size],0))</f>
        <v>-1</v>
      </c>
      <c r="BR71" s="39">
        <f>(PartyCompare_7[[#This Row],[+3 Medium]]-INDEX(PartyCompare_0[+3 Medium], MATCH(PartyCompare_7[[#This Row],[Mob Size]],PartyCompare_7[Mob Size],0)))/INDEX(PartyCompare_0[+3 Medium], MATCH(PartyCompare_7[[#This Row],[Mob Size]],PartyCompare_7[Mob Size],0))</f>
        <v>-1</v>
      </c>
      <c r="BS71" s="39">
        <f>(PartyCompare_7[[#This Row],[+3 Hard]]-INDEX(PartyCompare_0[+3 Hard], MATCH(PartyCompare_7[[#This Row],[Mob Size]],PartyCompare_7[Mob Size],0)))/INDEX(PartyCompare_0[+3 Hard], MATCH(PartyCompare_7[[#This Row],[Mob Size]],PartyCompare_7[Mob Size],0))</f>
        <v>-1</v>
      </c>
      <c r="BT71" s="34">
        <f>(PartyCompare_7[[#This Row],[+3 Deadly]]-INDEX(PartyCompare_0[+3 Deadly], MATCH(PartyCompare_7[[#This Row],[Mob Size]],PartyCompare_7[Mob Size],0)))/INDEX(PartyCompare_0[+3 Deadly], MATCH(PartyCompare_7[[#This Row],[Mob Size]],PartyCompare_7[Mob Size],0))</f>
        <v>-1</v>
      </c>
      <c r="BU71" s="48">
        <f>AVERAGE(PartyCompare_7[[#This Row],[+3 Easy Deviation]:[+3 Deadly Deviation]])</f>
        <v>-1</v>
      </c>
      <c r="BV71" s="36">
        <f>IF(ISNUMBER(PartyCompare_7[[#This Row],[Level]]), PartyCompare_7[[#This Row],[Level]]+4, PartyCompare_7[[#This Row],[Level]])</f>
        <v>0</v>
      </c>
      <c r="BW71" s="36">
        <f>INDEX(Encounter_Diff[Easy], MATCH(PartyCompare_7[[#This Row],[+4 Level]],Encounter_Diff[Player Level],0))</f>
        <v>0</v>
      </c>
      <c r="BX71" s="36">
        <f>INDEX(Encounter_Diff[Medium], MATCH(PartyCompare_7[[#This Row],[+4 Level]],Encounter_Diff[Player Level],0))</f>
        <v>0</v>
      </c>
      <c r="BY71" s="36">
        <f>INDEX(Encounter_Diff[Hard], MATCH(PartyCompare_7[[#This Row],[+4 Level]],Encounter_Diff[Player Level],0))</f>
        <v>0</v>
      </c>
      <c r="BZ71" s="36">
        <f>INDEX(Encounter_Diff[Deadly], MATCH(PartyCompare_7[[#This Row],[+4 Level]],Encounter_Diff[Player Level],0))</f>
        <v>0</v>
      </c>
      <c r="CA71" s="63">
        <f>SUM(PartyCompare_7[+4 (Easy)])/INDEX(Encounter_Mod[[Small]:[Large]], MATCH(PartyCompare_7[[#This Row],[Mob Size]], Encounter_Mod[Type], 0), MATCH(PartyCompare_7[[#This Row],[Party Size]],Encounter_Mod[[#Headers],[Small]:[Large]],0))</f>
        <v>0</v>
      </c>
      <c r="CB71" s="38">
        <f>SUM(PartyCompare_7[+4 (Medium)])/INDEX(Encounter_Mod[[Small]:[Large]], MATCH(PartyCompare_7[[#This Row],[Mob Size]], Encounter_Mod[Type], 0), MATCH(PartyCompare_7[[#This Row],[Party Size]],Encounter_Mod[[#Headers],[Small]:[Large]],0))</f>
        <v>0</v>
      </c>
      <c r="CC71" s="38">
        <f>SUM(PartyCompare_7[+4 (Hard)])/INDEX(Encounter_Mod[[Small]:[Large]], MATCH(PartyCompare_7[[#This Row],[Mob Size]], Encounter_Mod[Type], 0), MATCH(PartyCompare_7[[#This Row],[Party Size]],Encounter_Mod[[#Headers],[Small]:[Large]],0))</f>
        <v>0</v>
      </c>
      <c r="CD71" s="38">
        <f>SUM(PartyCompare_7[+4 (Deadly)])/INDEX(Encounter_Mod[[Small]:[Large]], MATCH(PartyCompare_7[[#This Row],[Mob Size]], Encounter_Mod[Type], 0), MATCH(PartyCompare_7[[#This Row],[Party Size]],Encounter_Mod[[#Headers],[Small]:[Large]],0))</f>
        <v>0</v>
      </c>
      <c r="CE71" s="46">
        <f>(PartyCompare_7[[#This Row],[+4 Easy]]-INDEX(PartyCompare_0[+4 Easy], MATCH(PartyCompare_7[[#This Row],[Mob Size]],PartyCompare_7[Mob Size],0)))/INDEX(PartyCompare_0[+4 Easy], MATCH(PartyCompare_7[[#This Row],[Mob Size]],PartyCompare_7[Mob Size],0))</f>
        <v>-1</v>
      </c>
      <c r="CF71" s="39">
        <f>(PartyCompare_7[[#This Row],[+4 Medium]]-INDEX(PartyCompare_0[+4 Medium], MATCH(PartyCompare_7[[#This Row],[Mob Size]],PartyCompare_7[Mob Size],0)))/INDEX(PartyCompare_0[+4 Medium], MATCH(PartyCompare_7[[#This Row],[Mob Size]],PartyCompare_7[Mob Size],0))</f>
        <v>-1</v>
      </c>
      <c r="CG71" s="39">
        <f>(PartyCompare_7[[#This Row],[+4 Hard]]-INDEX(PartyCompare_0[+4 Hard], MATCH(PartyCompare_7[[#This Row],[Mob Size]],PartyCompare_7[Mob Size],0)))/INDEX(PartyCompare_0[+4 Hard], MATCH(PartyCompare_7[[#This Row],[Mob Size]],PartyCompare_7[Mob Size],0))</f>
        <v>-1</v>
      </c>
      <c r="CH71" s="34">
        <f>(PartyCompare_7[[#This Row],[+4 Deadly]]-INDEX(PartyCompare_0[+4 Deadly], MATCH(PartyCompare_7[[#This Row],[Mob Size]],PartyCompare_7[Mob Size],0)))/INDEX(PartyCompare_0[+4 Deadly], MATCH(PartyCompare_7[[#This Row],[Mob Size]],PartyCompare_7[Mob Size],0))</f>
        <v>-1</v>
      </c>
      <c r="CI71" s="48">
        <f>AVERAGE(PartyCompare_7[[#This Row],[+4 Easy Deviation]:[+4 Deadly Deviation]])</f>
        <v>-1</v>
      </c>
    </row>
    <row r="72" spans="12:87" x14ac:dyDescent="0.2">
      <c r="L72" s="233"/>
      <c r="M72" s="91"/>
      <c r="N72" s="90"/>
      <c r="O72" s="32">
        <f>INDEX(Encounter_Diff[Easy], MATCH(PartyCompare_7[[#This Row],[Level]],Encounter_Diff[Player Level],0))</f>
        <v>0</v>
      </c>
      <c r="P72" s="32">
        <f>INDEX(Encounter_Diff[Medium], MATCH(PartyCompare_7[[#This Row],[Level]],Encounter_Diff[Player Level],0))</f>
        <v>0</v>
      </c>
      <c r="Q72" s="32">
        <f>INDEX(Encounter_Diff[Hard], MATCH(PartyCompare_7[[#This Row],[Level]],Encounter_Diff[Player Level],0))</f>
        <v>0</v>
      </c>
      <c r="R72" s="30">
        <f>INDEX(Encounter_Diff[Deadly], MATCH(PartyCompare_7[[#This Row],[Level]],Encounter_Diff[Player Level],0))</f>
        <v>0</v>
      </c>
      <c r="S72" s="97">
        <f t="shared" si="7"/>
        <v>0</v>
      </c>
      <c r="T72" s="32" t="str">
        <f>IF(COUNT(PartyCompare_7[Level])&lt;=2,"Small", IF(COUNT(PartyCompare_7[Level])&lt;=5,"Med", IF(COUNT(PartyCompare_7[Level])&lt;=8, "Large", "TOO BIG!")))</f>
        <v>Small</v>
      </c>
      <c r="U72" s="73" t="s">
        <v>112</v>
      </c>
      <c r="V72" s="77" t="str">
        <f>INDEX(Encounter_Mod[Count], MATCH(PartyCompare_7[[#This Row],[Mob Size]], Encounter_Mod[Type],0))</f>
        <v>15+</v>
      </c>
      <c r="W72" s="81">
        <f>SUM(PartyCompare_7[(Easy)])/INDEX(Encounter_Mod[[Small]:[Large]], MATCH(PartyCompare_7[[#This Row],[Mob Size]], Encounter_Mod[Type], 0), MATCH(PartyCompare_7[[#This Row],[Party Size]],Encounter_Mod[[#Headers],[Small]:[Large]],0))</f>
        <v>0</v>
      </c>
      <c r="X72" s="42">
        <f>SUM(PartyCompare_7[(Medium)])/INDEX(Encounter_Mod[[Small]:[Large]], MATCH(PartyCompare_7[[#This Row],[Mob Size]], Encounter_Mod[Type], 0), MATCH(PartyCompare_7[[#This Row],[Party Size]],Encounter_Mod[[#Headers],[Small]:[Large]],0))</f>
        <v>0</v>
      </c>
      <c r="Y72" s="42">
        <f>SUM(PartyCompare_7[(Hard)])/INDEX(Encounter_Mod[[Small]:[Large]], MATCH(PartyCompare_7[[#This Row],[Mob Size]], Encounter_Mod[Type], 0), MATCH(PartyCompare_7[[#This Row],[Party Size]],Encounter_Mod[[#Headers],[Small]:[Large]],0))</f>
        <v>0</v>
      </c>
      <c r="Z72" s="43">
        <f>SUM(PartyCompare_7[(Deadly)])/INDEX(Encounter_Mod[[Small]:[Large]], MATCH(PartyCompare_7[[#This Row],[Mob Size]], Encounter_Mod[Type], 0), MATCH(PartyCompare_7[[#This Row],[Party Size]],Encounter_Mod[[#Headers],[Small]:[Large]],0))</f>
        <v>0</v>
      </c>
      <c r="AA72" s="46">
        <f>(PartyCompare_7[[#This Row],[Easy]]-INDEX(PartyCompare_0[Easy], MATCH(PartyCompare_7[[#This Row],[Mob Size]],PartyCompare_0[Mob Size],0)))/INDEX(PartyCompare_0[Easy], MATCH(PartyCompare_7[[#This Row],[Mob Size]],PartyCompare_0[Mob Size],0))</f>
        <v>-1</v>
      </c>
      <c r="AB72" s="33">
        <f>(PartyCompare_7[[#This Row],[Medium]]-INDEX(PartyCompare_0[Medium], MATCH(PartyCompare_7[[#This Row],[Mob Size]],PartyCompare_0[Mob Size],0)))/INDEX(PartyCompare_0[Medium], MATCH(PartyCompare_7[[#This Row],[Mob Size]],PartyCompare_0[Mob Size],0))</f>
        <v>-1</v>
      </c>
      <c r="AC72" s="33">
        <f>(PartyCompare_7[[#This Row],[Hard]]-INDEX(PartyCompare_0[Hard], MATCH(PartyCompare_7[[#This Row],[Mob Size]],PartyCompare_0[Mob Size],0)))/INDEX(PartyCompare_0[Hard], MATCH(PartyCompare_7[[#This Row],[Mob Size]],PartyCompare_0[Mob Size],0))</f>
        <v>-1</v>
      </c>
      <c r="AD72" s="34">
        <f>(PartyCompare_7[[#This Row],[Deadly]]-INDEX(PartyCompare_0[Deadly], MATCH(PartyCompare_7[[#This Row],[Mob Size]],PartyCompare_0[Mob Size],0)))/INDEX(PartyCompare_0[Deadly], MATCH(PartyCompare_7[[#This Row],[Mob Size]],PartyCompare_0[Mob Size],0))</f>
        <v>-1</v>
      </c>
      <c r="AE72" s="48">
        <f>AVERAGE(PartyCompare_7[[#This Row],[Easy Deviation]:[Deadly Deviation]])</f>
        <v>-1</v>
      </c>
      <c r="AF72" s="36">
        <f>IF(ISNUMBER(PartyCompare_7[[#This Row],[Level]]), PartyCompare_7[[#This Row],[Level]]+1, PartyCompare_7[[#This Row],[Level]])</f>
        <v>0</v>
      </c>
      <c r="AG72" s="36">
        <f>INDEX(Encounter_Diff[Easy], MATCH(PartyCompare_7[[#This Row],[+1 Level]],Encounter_Diff[Player Level],0))</f>
        <v>0</v>
      </c>
      <c r="AH72" s="36">
        <f>INDEX(Encounter_Diff[Medium], MATCH(PartyCompare_7[[#This Row],[+1 Level]],Encounter_Diff[Player Level],0))</f>
        <v>0</v>
      </c>
      <c r="AI72" s="36">
        <f>INDEX(Encounter_Diff[Hard], MATCH(PartyCompare_7[[#This Row],[+1 Level]],Encounter_Diff[Player Level],0))</f>
        <v>0</v>
      </c>
      <c r="AJ72" s="36">
        <f>INDEX(Encounter_Diff[Deadly], MATCH(PartyCompare_7[[#This Row],[+1 Level]],Encounter_Diff[Player Level],0))</f>
        <v>0</v>
      </c>
      <c r="AK72" s="63">
        <f>SUM(PartyCompare_7[+1 (Easy)])/INDEX(Encounter_Mod[[Small]:[Large]], MATCH(PartyCompare_7[[#This Row],[Mob Size]], Encounter_Mod[Type], 0), MATCH(PartyCompare_7[[#This Row],[Party Size]],Encounter_Mod[[#Headers],[Small]:[Large]],0))</f>
        <v>0</v>
      </c>
      <c r="AL72" s="38">
        <f>SUM(PartyCompare_7[+1 (Medium)])/INDEX(Encounter_Mod[[Small]:[Large]], MATCH(PartyCompare_7[[#This Row],[Mob Size]], Encounter_Mod[Type], 0), MATCH(PartyCompare_7[[#This Row],[Party Size]],Encounter_Mod[[#Headers],[Small]:[Large]],0))</f>
        <v>0</v>
      </c>
      <c r="AM72" s="38">
        <f>SUM(PartyCompare_7[+1 (Hard)])/INDEX(Encounter_Mod[[Small]:[Large]], MATCH(PartyCompare_7[[#This Row],[Mob Size]], Encounter_Mod[Type], 0), MATCH(PartyCompare_7[[#This Row],[Party Size]],Encounter_Mod[[#Headers],[Small]:[Large]],0))</f>
        <v>0</v>
      </c>
      <c r="AN72" s="38">
        <f>SUM(PartyCompare_7[+1 (Deadly)])/INDEX(Encounter_Mod[[Small]:[Large]], MATCH(PartyCompare_7[[#This Row],[Mob Size]], Encounter_Mod[Type], 0), MATCH(PartyCompare_7[[#This Row],[Party Size]],Encounter_Mod[[#Headers],[Small]:[Large]],0))</f>
        <v>0</v>
      </c>
      <c r="AO72" s="46">
        <f>(PartyCompare_7[[#This Row],[+1 Easy]]-INDEX(PartyCompare_0[+1 Easy], MATCH(PartyCompare_7[[#This Row],[Mob Size]],PartyCompare_7[Mob Size],0)))/INDEX(PartyCompare_0[+1 Easy], MATCH(PartyCompare_7[[#This Row],[Mob Size]],PartyCompare_7[Mob Size],0))</f>
        <v>-1</v>
      </c>
      <c r="AP72" s="39">
        <f>(PartyCompare_7[[#This Row],[+1 Medium]]-INDEX(PartyCompare_0[+1 Medium], MATCH(PartyCompare_7[[#This Row],[Mob Size]],PartyCompare_7[Mob Size],0)))/INDEX(PartyCompare_0[+1 Medium], MATCH(PartyCompare_7[[#This Row],[Mob Size]],PartyCompare_7[Mob Size],0))</f>
        <v>-1</v>
      </c>
      <c r="AQ72" s="39">
        <f>(PartyCompare_7[[#This Row],[+1 Hard]]-INDEX(PartyCompare_0[+1 Hard], MATCH(PartyCompare_7[[#This Row],[Mob Size]],PartyCompare_7[Mob Size],0)))/INDEX(PartyCompare_0[+1 Hard], MATCH(PartyCompare_7[[#This Row],[Mob Size]],PartyCompare_7[Mob Size],0))</f>
        <v>-1</v>
      </c>
      <c r="AR72" s="34">
        <f>(PartyCompare_7[[#This Row],[+1 Deadly]]-INDEX(PartyCompare_0[+1 Deadly], MATCH(PartyCompare_7[[#This Row],[Mob Size]],PartyCompare_7[Mob Size],0)))/INDEX(PartyCompare_0[+1 Deadly], MATCH(PartyCompare_7[[#This Row],[Mob Size]],PartyCompare_7[Mob Size],0))</f>
        <v>-1</v>
      </c>
      <c r="AS72" s="48">
        <f>AVERAGE(PartyCompare_7[[#This Row],[+1 Easy Deviation]:[+1 Deadly Deviation]])</f>
        <v>-1</v>
      </c>
      <c r="AT72" s="36">
        <f>IF(ISNUMBER(PartyCompare_7[[#This Row],[Level]]), PartyCompare_7[[#This Row],[Level]]+2, PartyCompare_7[[#This Row],[Level]])</f>
        <v>0</v>
      </c>
      <c r="AU72" s="36">
        <f>INDEX(Encounter_Diff[Easy], MATCH(PartyCompare_7[[#This Row],[+2 Level]],Encounter_Diff[Player Level],0))</f>
        <v>0</v>
      </c>
      <c r="AV72" s="36">
        <f>INDEX(Encounter_Diff[Medium], MATCH(PartyCompare_7[[#This Row],[+2 Level]],Encounter_Diff[Player Level],0))</f>
        <v>0</v>
      </c>
      <c r="AW72" s="36">
        <f>INDEX(Encounter_Diff[Hard], MATCH(PartyCompare_7[[#This Row],[+2 Level]],Encounter_Diff[Player Level],0))</f>
        <v>0</v>
      </c>
      <c r="AX72" s="36">
        <f>INDEX(Encounter_Diff[Deadly], MATCH(PartyCompare_7[[#This Row],[+2 Level]],Encounter_Diff[Player Level],0))</f>
        <v>0</v>
      </c>
      <c r="AY72" s="63">
        <f>SUM(PartyCompare_7[+2 (Easy)])/INDEX(Encounter_Mod[[Small]:[Large]], MATCH(PartyCompare_7[[#This Row],[Mob Size]], Encounter_Mod[Type], 0), MATCH(PartyCompare_7[[#This Row],[Party Size]],Encounter_Mod[[#Headers],[Small]:[Large]],0))</f>
        <v>0</v>
      </c>
      <c r="AZ72" s="38">
        <f>SUM(PartyCompare_7[+2 (Medium)])/INDEX(Encounter_Mod[[Small]:[Large]], MATCH(PartyCompare_7[[#This Row],[Mob Size]], Encounter_Mod[Type], 0), MATCH(PartyCompare_7[[#This Row],[Party Size]],Encounter_Mod[[#Headers],[Small]:[Large]],0))</f>
        <v>0</v>
      </c>
      <c r="BA72" s="38">
        <f>SUM(PartyCompare_7[+2 (Hard)])/INDEX(Encounter_Mod[[Small]:[Large]], MATCH(PartyCompare_7[[#This Row],[Mob Size]], Encounter_Mod[Type], 0), MATCH(PartyCompare_7[[#This Row],[Party Size]],Encounter_Mod[[#Headers],[Small]:[Large]],0))</f>
        <v>0</v>
      </c>
      <c r="BB72" s="38">
        <f>SUM(PartyCompare_7[+2 (Deadly)])/INDEX(Encounter_Mod[[Small]:[Large]], MATCH(PartyCompare_7[[#This Row],[Mob Size]], Encounter_Mod[Type], 0), MATCH(PartyCompare_7[[#This Row],[Party Size]],Encounter_Mod[[#Headers],[Small]:[Large]],0))</f>
        <v>0</v>
      </c>
      <c r="BC72" s="46">
        <f>(PartyCompare_7[[#This Row],[+2 Easy]]-INDEX(PartyCompare_0[+2 Easy], MATCH(PartyCompare_7[[#This Row],[Mob Size]],PartyCompare_7[Mob Size],0)))/INDEX(PartyCompare_0[+2 Easy], MATCH(PartyCompare_7[[#This Row],[Mob Size]],PartyCompare_7[Mob Size],0))</f>
        <v>-1</v>
      </c>
      <c r="BD72" s="39">
        <f>(PartyCompare_7[[#This Row],[+2 Medium]]-INDEX(PartyCompare_0[+2 Medium], MATCH(PartyCompare_7[[#This Row],[Mob Size]],PartyCompare_7[Mob Size],0)))/INDEX(PartyCompare_0[+2 Medium], MATCH(PartyCompare_7[[#This Row],[Mob Size]],PartyCompare_7[Mob Size],0))</f>
        <v>-1</v>
      </c>
      <c r="BE72" s="39">
        <f>(PartyCompare_7[[#This Row],[+2 Hard]]-INDEX(PartyCompare_0[+2 Hard], MATCH(PartyCompare_7[[#This Row],[Mob Size]],PartyCompare_7[Mob Size],0)))/INDEX(PartyCompare_0[+2 Hard], MATCH(PartyCompare_7[[#This Row],[Mob Size]],PartyCompare_7[Mob Size],0))</f>
        <v>-1</v>
      </c>
      <c r="BF72" s="34">
        <f>(PartyCompare_7[[#This Row],[+2 Deadly]]-INDEX(PartyCompare_0[+2 Deadly], MATCH(PartyCompare_7[[#This Row],[Mob Size]],PartyCompare_7[Mob Size],0)))/INDEX(PartyCompare_0[+2 Deadly], MATCH(PartyCompare_7[[#This Row],[Mob Size]],PartyCompare_7[Mob Size],0))</f>
        <v>-1</v>
      </c>
      <c r="BG72" s="48">
        <f>AVERAGE(PartyCompare_7[[#This Row],[+2 Easy Deviation]:[+2 Deadly Deviation]])</f>
        <v>-1</v>
      </c>
      <c r="BH72" s="36">
        <f>IF(ISNUMBER(PartyCompare_7[[#This Row],[Level]]), PartyCompare_7[[#This Row],[Level]]+3, PartyCompare_7[[#This Row],[Level]])</f>
        <v>0</v>
      </c>
      <c r="BI72" s="36">
        <f>INDEX(Encounter_Diff[Easy], MATCH(PartyCompare_7[[#This Row],[+3 Level]],Encounter_Diff[Player Level],0))</f>
        <v>0</v>
      </c>
      <c r="BJ72" s="36">
        <f>INDEX(Encounter_Diff[Medium], MATCH(PartyCompare_7[[#This Row],[+3 Level]],Encounter_Diff[Player Level],0))</f>
        <v>0</v>
      </c>
      <c r="BK72" s="36">
        <f>INDEX(Encounter_Diff[Hard], MATCH(PartyCompare_7[[#This Row],[+3 Level]],Encounter_Diff[Player Level],0))</f>
        <v>0</v>
      </c>
      <c r="BL72" s="36">
        <f>INDEX(Encounter_Diff[Deadly], MATCH(PartyCompare_7[[#This Row],[+3 Level]],Encounter_Diff[Player Level],0))</f>
        <v>0</v>
      </c>
      <c r="BM72" s="63">
        <f>SUM(PartyCompare_7[+3 (Easy)])/INDEX(Encounter_Mod[[Small]:[Large]], MATCH(PartyCompare_7[[#This Row],[Mob Size]], Encounter_Mod[Type], 0), MATCH(PartyCompare_7[[#This Row],[Party Size]],Encounter_Mod[[#Headers],[Small]:[Large]],0))</f>
        <v>0</v>
      </c>
      <c r="BN72" s="38">
        <f>SUM(PartyCompare_7[+3 (Medium)])/INDEX(Encounter_Mod[[Small]:[Large]], MATCH(PartyCompare_7[[#This Row],[Mob Size]], Encounter_Mod[Type], 0), MATCH(PartyCompare_7[[#This Row],[Party Size]],Encounter_Mod[[#Headers],[Small]:[Large]],0))</f>
        <v>0</v>
      </c>
      <c r="BO72" s="38">
        <f>SUM(PartyCompare_7[+3 (Hard)])/INDEX(Encounter_Mod[[Small]:[Large]], MATCH(PartyCompare_7[[#This Row],[Mob Size]], Encounter_Mod[Type], 0), MATCH(PartyCompare_7[[#This Row],[Party Size]],Encounter_Mod[[#Headers],[Small]:[Large]],0))</f>
        <v>0</v>
      </c>
      <c r="BP72" s="38">
        <f>SUM(PartyCompare_7[+3 (Deadly)])/INDEX(Encounter_Mod[[Small]:[Large]], MATCH(PartyCompare_7[[#This Row],[Mob Size]], Encounter_Mod[Type], 0), MATCH(PartyCompare_7[[#This Row],[Party Size]],Encounter_Mod[[#Headers],[Small]:[Large]],0))</f>
        <v>0</v>
      </c>
      <c r="BQ72" s="46">
        <f>(PartyCompare_7[[#This Row],[+3 Easy]]-INDEX(PartyCompare_0[+3 Easy], MATCH(PartyCompare_7[[#This Row],[Mob Size]],PartyCompare_7[Mob Size],0)))/INDEX(PartyCompare_0[+3 Easy], MATCH(PartyCompare_7[[#This Row],[Mob Size]],PartyCompare_7[Mob Size],0))</f>
        <v>-1</v>
      </c>
      <c r="BR72" s="39">
        <f>(PartyCompare_7[[#This Row],[+3 Medium]]-INDEX(PartyCompare_0[+3 Medium], MATCH(PartyCompare_7[[#This Row],[Mob Size]],PartyCompare_7[Mob Size],0)))/INDEX(PartyCompare_0[+3 Medium], MATCH(PartyCompare_7[[#This Row],[Mob Size]],PartyCompare_7[Mob Size],0))</f>
        <v>-1</v>
      </c>
      <c r="BS72" s="39">
        <f>(PartyCompare_7[[#This Row],[+3 Hard]]-INDEX(PartyCompare_0[+3 Hard], MATCH(PartyCompare_7[[#This Row],[Mob Size]],PartyCompare_7[Mob Size],0)))/INDEX(PartyCompare_0[+3 Hard], MATCH(PartyCompare_7[[#This Row],[Mob Size]],PartyCompare_7[Mob Size],0))</f>
        <v>-1</v>
      </c>
      <c r="BT72" s="34">
        <f>(PartyCompare_7[[#This Row],[+3 Deadly]]-INDEX(PartyCompare_0[+3 Deadly], MATCH(PartyCompare_7[[#This Row],[Mob Size]],PartyCompare_7[Mob Size],0)))/INDEX(PartyCompare_0[+3 Deadly], MATCH(PartyCompare_7[[#This Row],[Mob Size]],PartyCompare_7[Mob Size],0))</f>
        <v>-1</v>
      </c>
      <c r="BU72" s="48">
        <f>AVERAGE(PartyCompare_7[[#This Row],[+3 Easy Deviation]:[+3 Deadly Deviation]])</f>
        <v>-1</v>
      </c>
      <c r="BV72" s="36">
        <f>IF(ISNUMBER(PartyCompare_7[[#This Row],[Level]]), PartyCompare_7[[#This Row],[Level]]+4, PartyCompare_7[[#This Row],[Level]])</f>
        <v>0</v>
      </c>
      <c r="BW72" s="36">
        <f>INDEX(Encounter_Diff[Easy], MATCH(PartyCompare_7[[#This Row],[+4 Level]],Encounter_Diff[Player Level],0))</f>
        <v>0</v>
      </c>
      <c r="BX72" s="36">
        <f>INDEX(Encounter_Diff[Medium], MATCH(PartyCompare_7[[#This Row],[+4 Level]],Encounter_Diff[Player Level],0))</f>
        <v>0</v>
      </c>
      <c r="BY72" s="36">
        <f>INDEX(Encounter_Diff[Hard], MATCH(PartyCompare_7[[#This Row],[+4 Level]],Encounter_Diff[Player Level],0))</f>
        <v>0</v>
      </c>
      <c r="BZ72" s="36">
        <f>INDEX(Encounter_Diff[Deadly], MATCH(PartyCompare_7[[#This Row],[+4 Level]],Encounter_Diff[Player Level],0))</f>
        <v>0</v>
      </c>
      <c r="CA72" s="63">
        <f>SUM(PartyCompare_7[+4 (Easy)])/INDEX(Encounter_Mod[[Small]:[Large]], MATCH(PartyCompare_7[[#This Row],[Mob Size]], Encounter_Mod[Type], 0), MATCH(PartyCompare_7[[#This Row],[Party Size]],Encounter_Mod[[#Headers],[Small]:[Large]],0))</f>
        <v>0</v>
      </c>
      <c r="CB72" s="38">
        <f>SUM(PartyCompare_7[+4 (Medium)])/INDEX(Encounter_Mod[[Small]:[Large]], MATCH(PartyCompare_7[[#This Row],[Mob Size]], Encounter_Mod[Type], 0), MATCH(PartyCompare_7[[#This Row],[Party Size]],Encounter_Mod[[#Headers],[Small]:[Large]],0))</f>
        <v>0</v>
      </c>
      <c r="CC72" s="38">
        <f>SUM(PartyCompare_7[+4 (Hard)])/INDEX(Encounter_Mod[[Small]:[Large]], MATCH(PartyCompare_7[[#This Row],[Mob Size]], Encounter_Mod[Type], 0), MATCH(PartyCompare_7[[#This Row],[Party Size]],Encounter_Mod[[#Headers],[Small]:[Large]],0))</f>
        <v>0</v>
      </c>
      <c r="CD72" s="38">
        <f>SUM(PartyCompare_7[+4 (Deadly)])/INDEX(Encounter_Mod[[Small]:[Large]], MATCH(PartyCompare_7[[#This Row],[Mob Size]], Encounter_Mod[Type], 0), MATCH(PartyCompare_7[[#This Row],[Party Size]],Encounter_Mod[[#Headers],[Small]:[Large]],0))</f>
        <v>0</v>
      </c>
      <c r="CE72" s="46">
        <f>(PartyCompare_7[[#This Row],[+4 Easy]]-INDEX(PartyCompare_0[+4 Easy], MATCH(PartyCompare_7[[#This Row],[Mob Size]],PartyCompare_7[Mob Size],0)))/INDEX(PartyCompare_0[+4 Easy], MATCH(PartyCompare_7[[#This Row],[Mob Size]],PartyCompare_7[Mob Size],0))</f>
        <v>-1</v>
      </c>
      <c r="CF72" s="39">
        <f>(PartyCompare_7[[#This Row],[+4 Medium]]-INDEX(PartyCompare_0[+4 Medium], MATCH(PartyCompare_7[[#This Row],[Mob Size]],PartyCompare_7[Mob Size],0)))/INDEX(PartyCompare_0[+4 Medium], MATCH(PartyCompare_7[[#This Row],[Mob Size]],PartyCompare_7[Mob Size],0))</f>
        <v>-1</v>
      </c>
      <c r="CG72" s="39">
        <f>(PartyCompare_7[[#This Row],[+4 Hard]]-INDEX(PartyCompare_0[+4 Hard], MATCH(PartyCompare_7[[#This Row],[Mob Size]],PartyCompare_7[Mob Size],0)))/INDEX(PartyCompare_0[+4 Hard], MATCH(PartyCompare_7[[#This Row],[Mob Size]],PartyCompare_7[Mob Size],0))</f>
        <v>-1</v>
      </c>
      <c r="CH72" s="34">
        <f>(PartyCompare_7[[#This Row],[+4 Deadly]]-INDEX(PartyCompare_0[+4 Deadly], MATCH(PartyCompare_7[[#This Row],[Mob Size]],PartyCompare_7[Mob Size],0)))/INDEX(PartyCompare_0[+4 Deadly], MATCH(PartyCompare_7[[#This Row],[Mob Size]],PartyCompare_7[Mob Size],0))</f>
        <v>-1</v>
      </c>
      <c r="CI72" s="48">
        <f>AVERAGE(PartyCompare_7[[#This Row],[+4 Easy Deviation]:[+4 Deadly Deviation]])</f>
        <v>-1</v>
      </c>
    </row>
    <row r="73" spans="12:87" x14ac:dyDescent="0.2">
      <c r="L73" s="233"/>
      <c r="M73" s="91"/>
      <c r="N73" s="90"/>
      <c r="O73" s="32">
        <f>INDEX(Encounter_Diff[Easy], MATCH(PartyCompare_7[[#This Row],[Level]],Encounter_Diff[Player Level],0))</f>
        <v>0</v>
      </c>
      <c r="P73" s="32">
        <f>INDEX(Encounter_Diff[Medium], MATCH(PartyCompare_7[[#This Row],[Level]],Encounter_Diff[Player Level],0))</f>
        <v>0</v>
      </c>
      <c r="Q73" s="32">
        <f>INDEX(Encounter_Diff[Hard], MATCH(PartyCompare_7[[#This Row],[Level]],Encounter_Diff[Player Level],0))</f>
        <v>0</v>
      </c>
      <c r="R73" s="30">
        <f>INDEX(Encounter_Diff[Deadly], MATCH(PartyCompare_7[[#This Row],[Level]],Encounter_Diff[Player Level],0))</f>
        <v>0</v>
      </c>
      <c r="S73" s="97">
        <f t="shared" si="7"/>
        <v>0</v>
      </c>
      <c r="T73" s="45" t="s">
        <v>139</v>
      </c>
      <c r="U73" s="74" t="s">
        <v>139</v>
      </c>
      <c r="V73" s="78" t="s">
        <v>139</v>
      </c>
      <c r="W73" s="82" t="s">
        <v>139</v>
      </c>
      <c r="X73" s="45" t="s">
        <v>139</v>
      </c>
      <c r="Y73" s="45" t="s">
        <v>139</v>
      </c>
      <c r="Z73" s="41" t="s">
        <v>139</v>
      </c>
      <c r="AA73" s="44" t="s">
        <v>139</v>
      </c>
      <c r="AB73" s="45" t="s">
        <v>139</v>
      </c>
      <c r="AC73" s="45" t="s">
        <v>139</v>
      </c>
      <c r="AD73" s="41" t="s">
        <v>139</v>
      </c>
      <c r="AE73" s="49" t="s">
        <v>139</v>
      </c>
      <c r="AF73" s="36">
        <f>IF(ISNUMBER(PartyCompare_7[[#This Row],[Level]]), PartyCompare_7[[#This Row],[Level]]+1, PartyCompare_7[[#This Row],[Level]])</f>
        <v>0</v>
      </c>
      <c r="AG73" s="36">
        <f>INDEX(Encounter_Diff[Easy], MATCH(PartyCompare_7[[#This Row],[+1 Level]],Encounter_Diff[Player Level],0))</f>
        <v>0</v>
      </c>
      <c r="AH73" s="36">
        <f>INDEX(Encounter_Diff[Medium], MATCH(PartyCompare_7[[#This Row],[+1 Level]],Encounter_Diff[Player Level],0))</f>
        <v>0</v>
      </c>
      <c r="AI73" s="36">
        <f>INDEX(Encounter_Diff[Hard], MATCH(PartyCompare_7[[#This Row],[+1 Level]],Encounter_Diff[Player Level],0))</f>
        <v>0</v>
      </c>
      <c r="AJ73" s="36">
        <f>INDEX(Encounter_Diff[Deadly], MATCH(PartyCompare_7[[#This Row],[+1 Level]],Encounter_Diff[Player Level],0))</f>
        <v>0</v>
      </c>
      <c r="AK73" s="44" t="s">
        <v>139</v>
      </c>
      <c r="AL73" s="37" t="s">
        <v>139</v>
      </c>
      <c r="AM73" s="37" t="s">
        <v>139</v>
      </c>
      <c r="AN73" s="45" t="s">
        <v>139</v>
      </c>
      <c r="AO73" s="44" t="s">
        <v>139</v>
      </c>
      <c r="AP73" s="37" t="s">
        <v>139</v>
      </c>
      <c r="AQ73" s="37" t="s">
        <v>139</v>
      </c>
      <c r="AR73" s="41" t="s">
        <v>139</v>
      </c>
      <c r="AS73" s="49" t="s">
        <v>139</v>
      </c>
      <c r="AT73" s="36">
        <f>IF(ISNUMBER(PartyCompare_7[[#This Row],[Level]]), PartyCompare_7[[#This Row],[Level]]+2, PartyCompare_7[[#This Row],[Level]])</f>
        <v>0</v>
      </c>
      <c r="AU73" s="36">
        <f>INDEX(Encounter_Diff[Easy], MATCH(PartyCompare_7[[#This Row],[+2 Level]],Encounter_Diff[Player Level],0))</f>
        <v>0</v>
      </c>
      <c r="AV73" s="36">
        <f>INDEX(Encounter_Diff[Medium], MATCH(PartyCompare_7[[#This Row],[+2 Level]],Encounter_Diff[Player Level],0))</f>
        <v>0</v>
      </c>
      <c r="AW73" s="36">
        <f>INDEX(Encounter_Diff[Hard], MATCH(PartyCompare_7[[#This Row],[+2 Level]],Encounter_Diff[Player Level],0))</f>
        <v>0</v>
      </c>
      <c r="AX73" s="36">
        <f>INDEX(Encounter_Diff[Deadly], MATCH(PartyCompare_7[[#This Row],[+2 Level]],Encounter_Diff[Player Level],0))</f>
        <v>0</v>
      </c>
      <c r="AY73" s="44" t="s">
        <v>139</v>
      </c>
      <c r="AZ73" s="37" t="s">
        <v>139</v>
      </c>
      <c r="BA73" s="37" t="s">
        <v>139</v>
      </c>
      <c r="BB73" s="45" t="s">
        <v>139</v>
      </c>
      <c r="BC73" s="44" t="s">
        <v>139</v>
      </c>
      <c r="BD73" s="37" t="s">
        <v>139</v>
      </c>
      <c r="BE73" s="37" t="s">
        <v>139</v>
      </c>
      <c r="BF73" s="41" t="s">
        <v>139</v>
      </c>
      <c r="BG73" s="49" t="s">
        <v>139</v>
      </c>
      <c r="BH73" s="36">
        <f>IF(ISNUMBER(PartyCompare_7[[#This Row],[Level]]), PartyCompare_7[[#This Row],[Level]]+3, PartyCompare_7[[#This Row],[Level]])</f>
        <v>0</v>
      </c>
      <c r="BI73" s="36">
        <f>INDEX(Encounter_Diff[Easy], MATCH(PartyCompare_7[[#This Row],[+3 Level]],Encounter_Diff[Player Level],0))</f>
        <v>0</v>
      </c>
      <c r="BJ73" s="36">
        <f>INDEX(Encounter_Diff[Medium], MATCH(PartyCompare_7[[#This Row],[+3 Level]],Encounter_Diff[Player Level],0))</f>
        <v>0</v>
      </c>
      <c r="BK73" s="36">
        <f>INDEX(Encounter_Diff[Hard], MATCH(PartyCompare_7[[#This Row],[+3 Level]],Encounter_Diff[Player Level],0))</f>
        <v>0</v>
      </c>
      <c r="BL73" s="36">
        <f>INDEX(Encounter_Diff[Deadly], MATCH(PartyCompare_7[[#This Row],[+3 Level]],Encounter_Diff[Player Level],0))</f>
        <v>0</v>
      </c>
      <c r="BM73" s="44" t="s">
        <v>139</v>
      </c>
      <c r="BN73" s="37" t="s">
        <v>139</v>
      </c>
      <c r="BO73" s="37" t="s">
        <v>139</v>
      </c>
      <c r="BP73" s="45" t="s">
        <v>139</v>
      </c>
      <c r="BQ73" s="44" t="s">
        <v>139</v>
      </c>
      <c r="BR73" s="37" t="s">
        <v>139</v>
      </c>
      <c r="BS73" s="37" t="s">
        <v>139</v>
      </c>
      <c r="BT73" s="41" t="s">
        <v>139</v>
      </c>
      <c r="BU73" s="49" t="s">
        <v>139</v>
      </c>
      <c r="BV73" s="36">
        <f>IF(ISNUMBER(PartyCompare_7[[#This Row],[Level]]), PartyCompare_7[[#This Row],[Level]]+4, PartyCompare_7[[#This Row],[Level]])</f>
        <v>0</v>
      </c>
      <c r="BW73" s="36">
        <f>INDEX(Encounter_Diff[Easy], MATCH(PartyCompare_7[[#This Row],[+4 Level]],Encounter_Diff[Player Level],0))</f>
        <v>0</v>
      </c>
      <c r="BX73" s="36">
        <f>INDEX(Encounter_Diff[Medium], MATCH(PartyCompare_7[[#This Row],[+4 Level]],Encounter_Diff[Player Level],0))</f>
        <v>0</v>
      </c>
      <c r="BY73" s="36">
        <f>INDEX(Encounter_Diff[Hard], MATCH(PartyCompare_7[[#This Row],[+4 Level]],Encounter_Diff[Player Level],0))</f>
        <v>0</v>
      </c>
      <c r="BZ73" s="36">
        <f>INDEX(Encounter_Diff[Deadly], MATCH(PartyCompare_7[[#This Row],[+4 Level]],Encounter_Diff[Player Level],0))</f>
        <v>0</v>
      </c>
      <c r="CA73" s="44" t="s">
        <v>139</v>
      </c>
      <c r="CB73" s="37" t="s">
        <v>139</v>
      </c>
      <c r="CC73" s="37" t="s">
        <v>139</v>
      </c>
      <c r="CD73" s="45" t="s">
        <v>139</v>
      </c>
      <c r="CE73" s="44" t="s">
        <v>139</v>
      </c>
      <c r="CF73" s="37" t="s">
        <v>139</v>
      </c>
      <c r="CG73" s="37" t="s">
        <v>139</v>
      </c>
      <c r="CH73" s="41" t="s">
        <v>139</v>
      </c>
      <c r="CI73" s="49" t="s">
        <v>139</v>
      </c>
    </row>
    <row r="74" spans="12:87" ht="15.75" thickBot="1" x14ac:dyDescent="0.25">
      <c r="L74" s="234"/>
      <c r="M74" s="91"/>
      <c r="N74" s="90"/>
      <c r="O74" s="32">
        <f>INDEX(Encounter_Diff[Easy], MATCH(PartyCompare_7[[#This Row],[Level]],Encounter_Diff[Player Level],0))</f>
        <v>0</v>
      </c>
      <c r="P74" s="32">
        <f>INDEX(Encounter_Diff[Medium], MATCH(PartyCompare_7[[#This Row],[Level]],Encounter_Diff[Player Level],0))</f>
        <v>0</v>
      </c>
      <c r="Q74" s="32">
        <f>INDEX(Encounter_Diff[Hard], MATCH(PartyCompare_7[[#This Row],[Level]],Encounter_Diff[Player Level],0))</f>
        <v>0</v>
      </c>
      <c r="R74" s="30">
        <f>INDEX(Encounter_Diff[Deadly], MATCH(PartyCompare_7[[#This Row],[Level]],Encounter_Diff[Player Level],0))</f>
        <v>0</v>
      </c>
      <c r="S74" s="98">
        <f t="shared" si="7"/>
        <v>0</v>
      </c>
      <c r="T74" s="45" t="s">
        <v>139</v>
      </c>
      <c r="U74" s="74" t="s">
        <v>139</v>
      </c>
      <c r="V74" s="80" t="s">
        <v>139</v>
      </c>
      <c r="W74" s="82" t="s">
        <v>139</v>
      </c>
      <c r="X74" s="45" t="s">
        <v>139</v>
      </c>
      <c r="Y74" s="45" t="s">
        <v>139</v>
      </c>
      <c r="Z74" s="41" t="s">
        <v>139</v>
      </c>
      <c r="AA74" s="44" t="s">
        <v>139</v>
      </c>
      <c r="AB74" s="45" t="s">
        <v>139</v>
      </c>
      <c r="AC74" s="45" t="s">
        <v>139</v>
      </c>
      <c r="AD74" s="41" t="s">
        <v>139</v>
      </c>
      <c r="AE74" s="49" t="s">
        <v>139</v>
      </c>
      <c r="AF74" s="36">
        <f>IF(ISNUMBER(PartyCompare_7[[#This Row],[Level]]), PartyCompare_7[[#This Row],[Level]]+1, PartyCompare_7[[#This Row],[Level]])</f>
        <v>0</v>
      </c>
      <c r="AG74" s="36">
        <f>INDEX(Encounter_Diff[Easy], MATCH(PartyCompare_7[[#This Row],[+1 Level]],Encounter_Diff[Player Level],0))</f>
        <v>0</v>
      </c>
      <c r="AH74" s="36">
        <f>INDEX(Encounter_Diff[Medium], MATCH(PartyCompare_7[[#This Row],[+1 Level]],Encounter_Diff[Player Level],0))</f>
        <v>0</v>
      </c>
      <c r="AI74" s="36">
        <f>INDEX(Encounter_Diff[Hard], MATCH(PartyCompare_7[[#This Row],[+1 Level]],Encounter_Diff[Player Level],0))</f>
        <v>0</v>
      </c>
      <c r="AJ74" s="36">
        <f>INDEX(Encounter_Diff[Deadly], MATCH(PartyCompare_7[[#This Row],[+1 Level]],Encounter_Diff[Player Level],0))</f>
        <v>0</v>
      </c>
      <c r="AK74" s="44" t="s">
        <v>139</v>
      </c>
      <c r="AL74" s="37" t="s">
        <v>139</v>
      </c>
      <c r="AM74" s="37" t="s">
        <v>139</v>
      </c>
      <c r="AN74" s="45" t="s">
        <v>139</v>
      </c>
      <c r="AO74" s="44" t="s">
        <v>139</v>
      </c>
      <c r="AP74" s="37" t="s">
        <v>139</v>
      </c>
      <c r="AQ74" s="37" t="s">
        <v>139</v>
      </c>
      <c r="AR74" s="41" t="s">
        <v>139</v>
      </c>
      <c r="AS74" s="49" t="s">
        <v>139</v>
      </c>
      <c r="AT74" s="53">
        <f>IF(ISNUMBER(PartyCompare_7[[#This Row],[Level]]), PartyCompare_7[[#This Row],[Level]]+2, PartyCompare_7[[#This Row],[Level]])</f>
        <v>0</v>
      </c>
      <c r="AU74" s="53">
        <f>INDEX(Encounter_Diff[Easy], MATCH(PartyCompare_7[[#This Row],[+2 Level]],Encounter_Diff[Player Level],0))</f>
        <v>0</v>
      </c>
      <c r="AV74" s="53">
        <f>INDEX(Encounter_Diff[Medium], MATCH(PartyCompare_7[[#This Row],[+2 Level]],Encounter_Diff[Player Level],0))</f>
        <v>0</v>
      </c>
      <c r="AW74" s="53">
        <f>INDEX(Encounter_Diff[Hard], MATCH(PartyCompare_7[[#This Row],[+2 Level]],Encounter_Diff[Player Level],0))</f>
        <v>0</v>
      </c>
      <c r="AX74" s="53">
        <f>INDEX(Encounter_Diff[Deadly], MATCH(PartyCompare_7[[#This Row],[+2 Level]],Encounter_Diff[Player Level],0))</f>
        <v>0</v>
      </c>
      <c r="AY74" s="61" t="s">
        <v>139</v>
      </c>
      <c r="AZ74" s="54" t="s">
        <v>139</v>
      </c>
      <c r="BA74" s="54" t="s">
        <v>139</v>
      </c>
      <c r="BB74" s="54" t="s">
        <v>139</v>
      </c>
      <c r="BC74" s="61" t="s">
        <v>139</v>
      </c>
      <c r="BD74" s="54" t="s">
        <v>139</v>
      </c>
      <c r="BE74" s="54" t="s">
        <v>139</v>
      </c>
      <c r="BF74" s="55" t="s">
        <v>139</v>
      </c>
      <c r="BG74" s="56" t="s">
        <v>139</v>
      </c>
      <c r="BH74" s="53">
        <f>IF(ISNUMBER(PartyCompare_7[[#This Row],[Level]]), PartyCompare_7[[#This Row],[Level]]+3, PartyCompare_7[[#This Row],[Level]])</f>
        <v>0</v>
      </c>
      <c r="BI74" s="53">
        <f>INDEX(Encounter_Diff[Easy], MATCH(PartyCompare_7[[#This Row],[+3 Level]],Encounter_Diff[Player Level],0))</f>
        <v>0</v>
      </c>
      <c r="BJ74" s="53">
        <f>INDEX(Encounter_Diff[Medium], MATCH(PartyCompare_7[[#This Row],[+3 Level]],Encounter_Diff[Player Level],0))</f>
        <v>0</v>
      </c>
      <c r="BK74" s="53">
        <f>INDEX(Encounter_Diff[Hard], MATCH(PartyCompare_7[[#This Row],[+3 Level]],Encounter_Diff[Player Level],0))</f>
        <v>0</v>
      </c>
      <c r="BL74" s="53">
        <f>INDEX(Encounter_Diff[Deadly], MATCH(PartyCompare_7[[#This Row],[+3 Level]],Encounter_Diff[Player Level],0))</f>
        <v>0</v>
      </c>
      <c r="BM74" s="61" t="s">
        <v>139</v>
      </c>
      <c r="BN74" s="54" t="s">
        <v>139</v>
      </c>
      <c r="BO74" s="54" t="s">
        <v>139</v>
      </c>
      <c r="BP74" s="54" t="s">
        <v>139</v>
      </c>
      <c r="BQ74" s="61" t="s">
        <v>139</v>
      </c>
      <c r="BR74" s="54" t="s">
        <v>139</v>
      </c>
      <c r="BS74" s="54" t="s">
        <v>139</v>
      </c>
      <c r="BT74" s="55" t="s">
        <v>139</v>
      </c>
      <c r="BU74" s="56" t="s">
        <v>139</v>
      </c>
      <c r="BV74" s="53">
        <f>IF(ISNUMBER(PartyCompare_7[[#This Row],[Level]]), PartyCompare_7[[#This Row],[Level]]+4, PartyCompare_7[[#This Row],[Level]])</f>
        <v>0</v>
      </c>
      <c r="BW74" s="53">
        <f>INDEX(Encounter_Diff[Easy], MATCH(PartyCompare_7[[#This Row],[+4 Level]],Encounter_Diff[Player Level],0))</f>
        <v>0</v>
      </c>
      <c r="BX74" s="53">
        <f>INDEX(Encounter_Diff[Medium], MATCH(PartyCompare_7[[#This Row],[+4 Level]],Encounter_Diff[Player Level],0))</f>
        <v>0</v>
      </c>
      <c r="BY74" s="53">
        <f>INDEX(Encounter_Diff[Hard], MATCH(PartyCompare_7[[#This Row],[+4 Level]],Encounter_Diff[Player Level],0))</f>
        <v>0</v>
      </c>
      <c r="BZ74" s="53">
        <f>INDEX(Encounter_Diff[Deadly], MATCH(PartyCompare_7[[#This Row],[+4 Level]],Encounter_Diff[Player Level],0))</f>
        <v>0</v>
      </c>
      <c r="CA74" s="61" t="s">
        <v>139</v>
      </c>
      <c r="CB74" s="54" t="s">
        <v>139</v>
      </c>
      <c r="CC74" s="54" t="s">
        <v>139</v>
      </c>
      <c r="CD74" s="54" t="s">
        <v>139</v>
      </c>
      <c r="CE74" s="61" t="s">
        <v>139</v>
      </c>
      <c r="CF74" s="54" t="s">
        <v>139</v>
      </c>
      <c r="CG74" s="54" t="s">
        <v>139</v>
      </c>
      <c r="CH74" s="55" t="s">
        <v>139</v>
      </c>
      <c r="CI74" s="56" t="s">
        <v>139</v>
      </c>
    </row>
    <row r="75" spans="12:87" ht="15.75" x14ac:dyDescent="0.2">
      <c r="L75" s="40" t="s">
        <v>144</v>
      </c>
      <c r="M75" s="29" t="s">
        <v>134</v>
      </c>
      <c r="N75" s="72" t="s">
        <v>33</v>
      </c>
      <c r="O75" s="32" t="s">
        <v>140</v>
      </c>
      <c r="P75" s="32" t="s">
        <v>141</v>
      </c>
      <c r="Q75" s="32" t="s">
        <v>142</v>
      </c>
      <c r="R75" s="30" t="s">
        <v>143</v>
      </c>
      <c r="S75" s="96" t="s">
        <v>144</v>
      </c>
      <c r="T75" s="32" t="s">
        <v>119</v>
      </c>
      <c r="U75" s="73" t="s">
        <v>120</v>
      </c>
      <c r="V75" s="79" t="s">
        <v>224</v>
      </c>
      <c r="W75" s="29" t="s">
        <v>36</v>
      </c>
      <c r="X75" s="32" t="s">
        <v>37</v>
      </c>
      <c r="Y75" s="32" t="s">
        <v>38</v>
      </c>
      <c r="Z75" s="30" t="s">
        <v>40</v>
      </c>
      <c r="AA75" s="31" t="s">
        <v>129</v>
      </c>
      <c r="AB75" s="32" t="s">
        <v>130</v>
      </c>
      <c r="AC75" s="32" t="s">
        <v>131</v>
      </c>
      <c r="AD75" s="30" t="s">
        <v>132</v>
      </c>
      <c r="AE75" s="47" t="s">
        <v>133</v>
      </c>
      <c r="AF75" s="41" t="s">
        <v>154</v>
      </c>
      <c r="AG75" s="37" t="s">
        <v>155</v>
      </c>
      <c r="AH75" s="37" t="s">
        <v>156</v>
      </c>
      <c r="AI75" s="37" t="s">
        <v>157</v>
      </c>
      <c r="AJ75" s="37" t="s">
        <v>158</v>
      </c>
      <c r="AK75" s="44" t="s">
        <v>159</v>
      </c>
      <c r="AL75" s="37" t="s">
        <v>160</v>
      </c>
      <c r="AM75" s="37" t="s">
        <v>161</v>
      </c>
      <c r="AN75" s="41" t="s">
        <v>162</v>
      </c>
      <c r="AO75" s="37" t="s">
        <v>163</v>
      </c>
      <c r="AP75" s="37" t="s">
        <v>164</v>
      </c>
      <c r="AQ75" s="37" t="s">
        <v>165</v>
      </c>
      <c r="AR75" s="41" t="s">
        <v>166</v>
      </c>
      <c r="AS75" s="49" t="s">
        <v>167</v>
      </c>
      <c r="AT75" s="57" t="s">
        <v>196</v>
      </c>
      <c r="AU75" s="58" t="s">
        <v>197</v>
      </c>
      <c r="AV75" s="58" t="s">
        <v>198</v>
      </c>
      <c r="AW75" s="58" t="s">
        <v>199</v>
      </c>
      <c r="AX75" s="58" t="s">
        <v>200</v>
      </c>
      <c r="AY75" s="65" t="s">
        <v>201</v>
      </c>
      <c r="AZ75" s="58" t="s">
        <v>202</v>
      </c>
      <c r="BA75" s="58" t="s">
        <v>203</v>
      </c>
      <c r="BB75" s="58" t="s">
        <v>204</v>
      </c>
      <c r="BC75" s="65" t="s">
        <v>205</v>
      </c>
      <c r="BD75" s="58" t="s">
        <v>206</v>
      </c>
      <c r="BE75" s="58" t="s">
        <v>207</v>
      </c>
      <c r="BF75" s="57" t="s">
        <v>208</v>
      </c>
      <c r="BG75" s="59" t="s">
        <v>209</v>
      </c>
      <c r="BH75" s="57" t="s">
        <v>168</v>
      </c>
      <c r="BI75" s="58" t="s">
        <v>169</v>
      </c>
      <c r="BJ75" s="58" t="s">
        <v>170</v>
      </c>
      <c r="BK75" s="58" t="s">
        <v>171</v>
      </c>
      <c r="BL75" s="58" t="s">
        <v>172</v>
      </c>
      <c r="BM75" s="65" t="s">
        <v>173</v>
      </c>
      <c r="BN75" s="58" t="s">
        <v>174</v>
      </c>
      <c r="BO75" s="58" t="s">
        <v>175</v>
      </c>
      <c r="BP75" s="58" t="s">
        <v>176</v>
      </c>
      <c r="BQ75" s="65" t="s">
        <v>177</v>
      </c>
      <c r="BR75" s="58" t="s">
        <v>178</v>
      </c>
      <c r="BS75" s="58" t="s">
        <v>179</v>
      </c>
      <c r="BT75" s="58" t="s">
        <v>180</v>
      </c>
      <c r="BU75" s="59" t="s">
        <v>181</v>
      </c>
      <c r="BV75" s="58" t="s">
        <v>182</v>
      </c>
      <c r="BW75" s="65" t="s">
        <v>183</v>
      </c>
      <c r="BX75" s="58" t="s">
        <v>184</v>
      </c>
      <c r="BY75" s="58" t="s">
        <v>185</v>
      </c>
      <c r="BZ75" s="58" t="s">
        <v>186</v>
      </c>
      <c r="CA75" s="65" t="s">
        <v>187</v>
      </c>
      <c r="CB75" s="58" t="s">
        <v>188</v>
      </c>
      <c r="CC75" s="58" t="s">
        <v>189</v>
      </c>
      <c r="CD75" s="58" t="s">
        <v>190</v>
      </c>
      <c r="CE75" s="65" t="s">
        <v>191</v>
      </c>
      <c r="CF75" s="58" t="s">
        <v>192</v>
      </c>
      <c r="CG75" s="58" t="s">
        <v>193</v>
      </c>
      <c r="CH75" s="58" t="s">
        <v>194</v>
      </c>
      <c r="CI75" s="59" t="s">
        <v>195</v>
      </c>
    </row>
    <row r="76" spans="12:87" x14ac:dyDescent="0.2">
      <c r="L76" s="232" t="s">
        <v>232</v>
      </c>
      <c r="M76" s="91" t="s">
        <v>225</v>
      </c>
      <c r="N76" s="90">
        <v>2</v>
      </c>
      <c r="O76" s="32">
        <f>INDEX(Encounter_Diff[Easy], MATCH(PartyCompare_8[[#This Row],[Level]],Encounter_Diff[Player Level],0))</f>
        <v>50</v>
      </c>
      <c r="P76" s="32">
        <f>INDEX(Encounter_Diff[Medium], MATCH(PartyCompare_8[[#This Row],[Level]],Encounter_Diff[Player Level],0))</f>
        <v>100</v>
      </c>
      <c r="Q76" s="32">
        <f>INDEX(Encounter_Diff[Hard], MATCH(PartyCompare_8[[#This Row],[Level]],Encounter_Diff[Player Level],0))</f>
        <v>150</v>
      </c>
      <c r="R76" s="30">
        <f>INDEX(Encounter_Diff[Deadly], MATCH(PartyCompare_8[[#This Row],[Level]],Encounter_Diff[Player Level],0))</f>
        <v>200</v>
      </c>
      <c r="S76" s="97" t="str">
        <f>L76</f>
        <v>2, 2, 1</v>
      </c>
      <c r="T76" s="32" t="str">
        <f>IF(COUNT(PartyCompare_8[Level])&lt;=2,"Small", IF(COUNT(PartyCompare_8[Level])&lt;=5,"Med", IF(COUNT(PartyCompare_8[Level])&lt;=8, "Large", "TOO BIG!")))</f>
        <v>Med</v>
      </c>
      <c r="U76" s="73" t="s">
        <v>107</v>
      </c>
      <c r="V76" s="77" t="str">
        <f>INDEX(Encounter_Mod[Count], MATCH(PartyCompare_8[[#This Row],[Mob Size]], Encounter_Mod[Type],0))</f>
        <v>1</v>
      </c>
      <c r="W76" s="81">
        <f>SUM(PartyCompare_8[(Easy)])/INDEX(Encounter_Mod[[Small]:[Large]], MATCH(PartyCompare_8[[#This Row],[Mob Size]], Encounter_Mod[Type], 0), MATCH(PartyCompare_8[[#This Row],[Party Size]],Encounter_Mod[[#Headers],[Small]:[Large]],0))</f>
        <v>125</v>
      </c>
      <c r="X76" s="42">
        <f>SUM(PartyCompare_8[(Medium)])/INDEX(Encounter_Mod[[Small]:[Large]], MATCH(PartyCompare_8[[#This Row],[Mob Size]], Encounter_Mod[Type], 0), MATCH(PartyCompare_8[[#This Row],[Party Size]],Encounter_Mod[[#Headers],[Small]:[Large]],0))</f>
        <v>250</v>
      </c>
      <c r="Y76" s="42">
        <f>SUM(PartyCompare_8[(Hard)])/INDEX(Encounter_Mod[[Small]:[Large]], MATCH(PartyCompare_8[[#This Row],[Mob Size]], Encounter_Mod[Type], 0), MATCH(PartyCompare_8[[#This Row],[Party Size]],Encounter_Mod[[#Headers],[Small]:[Large]],0))</f>
        <v>375</v>
      </c>
      <c r="Z76" s="43">
        <f>SUM(PartyCompare_8[(Deadly)])/INDEX(Encounter_Mod[[Small]:[Large]], MATCH(PartyCompare_8[[#This Row],[Mob Size]], Encounter_Mod[Type], 0), MATCH(PartyCompare_8[[#This Row],[Party Size]],Encounter_Mod[[#Headers],[Small]:[Large]],0))</f>
        <v>500</v>
      </c>
      <c r="AA76" s="46">
        <f>(PartyCompare_8[[#This Row],[Easy]]-INDEX(PartyCompare_0[Easy], MATCH(PartyCompare_8[[#This Row],[Mob Size]],PartyCompare_0[Mob Size],0)))/INDEX(PartyCompare_0[Easy], MATCH(PartyCompare_8[[#This Row],[Mob Size]],PartyCompare_0[Mob Size],0))</f>
        <v>0.25</v>
      </c>
      <c r="AB76" s="33">
        <f>(PartyCompare_8[[#This Row],[Medium]]-INDEX(PartyCompare_0[Medium], MATCH(PartyCompare_8[[#This Row],[Mob Size]],PartyCompare_0[Mob Size],0)))/INDEX(PartyCompare_0[Medium], MATCH(PartyCompare_8[[#This Row],[Mob Size]],PartyCompare_0[Mob Size],0))</f>
        <v>0.25</v>
      </c>
      <c r="AC76" s="33">
        <f>(PartyCompare_8[[#This Row],[Hard]]-INDEX(PartyCompare_0[Hard], MATCH(PartyCompare_8[[#This Row],[Mob Size]],PartyCompare_0[Mob Size],0)))/INDEX(PartyCompare_0[Hard], MATCH(PartyCompare_8[[#This Row],[Mob Size]],PartyCompare_0[Mob Size],0))</f>
        <v>0.25</v>
      </c>
      <c r="AD76" s="34">
        <f>(PartyCompare_8[[#This Row],[Deadly]]-INDEX(PartyCompare_0[Deadly], MATCH(PartyCompare_8[[#This Row],[Mob Size]],PartyCompare_0[Mob Size],0)))/INDEX(PartyCompare_0[Deadly], MATCH(PartyCompare_8[[#This Row],[Mob Size]],PartyCompare_0[Mob Size],0))</f>
        <v>0.25</v>
      </c>
      <c r="AE76" s="48">
        <f>AVERAGE(PartyCompare_8[[#This Row],[Easy Deviation]:[Deadly Deviation]])</f>
        <v>0.25</v>
      </c>
      <c r="AF76" s="36">
        <f>IF(ISNUMBER(PartyCompare_8[[#This Row],[Level]]), PartyCompare_8[[#This Row],[Level]]+1, PartyCompare_8[[#This Row],[Level]])</f>
        <v>3</v>
      </c>
      <c r="AG76" s="36">
        <f>INDEX(Encounter_Diff[Easy], MATCH(PartyCompare_8[[#This Row],[+1 Level]],Encounter_Diff[Player Level],0))</f>
        <v>75</v>
      </c>
      <c r="AH76" s="36">
        <f>INDEX(Encounter_Diff[Medium], MATCH(PartyCompare_8[[#This Row],[+1 Level]],Encounter_Diff[Player Level],0))</f>
        <v>150</v>
      </c>
      <c r="AI76" s="36">
        <f>INDEX(Encounter_Diff[Hard], MATCH(PartyCompare_8[[#This Row],[+1 Level]],Encounter_Diff[Player Level],0))</f>
        <v>225</v>
      </c>
      <c r="AJ76" s="36">
        <f>INDEX(Encounter_Diff[Deadly], MATCH(PartyCompare_8[[#This Row],[+1 Level]],Encounter_Diff[Player Level],0))</f>
        <v>400</v>
      </c>
      <c r="AK76" s="63">
        <f>SUM(PartyCompare_8[+1 (Easy)])/INDEX(Encounter_Mod[[Small]:[Large]], MATCH(PartyCompare_8[[#This Row],[Mob Size]], Encounter_Mod[Type], 0), MATCH(PartyCompare_8[[#This Row],[Party Size]],Encounter_Mod[[#Headers],[Small]:[Large]],0))</f>
        <v>200</v>
      </c>
      <c r="AL76" s="38">
        <f>SUM(PartyCompare_8[+1 (Medium)])/INDEX(Encounter_Mod[[Small]:[Large]], MATCH(PartyCompare_8[[#This Row],[Mob Size]], Encounter_Mod[Type], 0), MATCH(PartyCompare_8[[#This Row],[Party Size]],Encounter_Mod[[#Headers],[Small]:[Large]],0))</f>
        <v>400</v>
      </c>
      <c r="AM76" s="38">
        <f>SUM(PartyCompare_8[+1 (Hard)])/INDEX(Encounter_Mod[[Small]:[Large]], MATCH(PartyCompare_8[[#This Row],[Mob Size]], Encounter_Mod[Type], 0), MATCH(PartyCompare_8[[#This Row],[Party Size]],Encounter_Mod[[#Headers],[Small]:[Large]],0))</f>
        <v>600</v>
      </c>
      <c r="AN76" s="38">
        <f>SUM(PartyCompare_8[+1 (Deadly)])/INDEX(Encounter_Mod[[Small]:[Large]], MATCH(PartyCompare_8[[#This Row],[Mob Size]], Encounter_Mod[Type], 0), MATCH(PartyCompare_8[[#This Row],[Party Size]],Encounter_Mod[[#Headers],[Small]:[Large]],0))</f>
        <v>1000</v>
      </c>
      <c r="AO76" s="46">
        <f>(PartyCompare_8[[#This Row],[+1 Easy]]-INDEX(PartyCompare_0[+1 Easy], MATCH(PartyCompare_8[[#This Row],[Mob Size]],PartyCompare_8[Mob Size],0)))/INDEX(PartyCompare_0[+1 Easy], MATCH(PartyCompare_8[[#This Row],[Mob Size]],PartyCompare_8[Mob Size],0))</f>
        <v>0</v>
      </c>
      <c r="AP76" s="39">
        <f>(PartyCompare_8[[#This Row],[+1 Medium]]-INDEX(PartyCompare_0[+1 Medium], MATCH(PartyCompare_8[[#This Row],[Mob Size]],PartyCompare_8[Mob Size],0)))/INDEX(PartyCompare_0[+1 Medium], MATCH(PartyCompare_8[[#This Row],[Mob Size]],PartyCompare_8[Mob Size],0))</f>
        <v>0</v>
      </c>
      <c r="AQ76" s="39">
        <f>(PartyCompare_8[[#This Row],[+1 Hard]]-INDEX(PartyCompare_0[+1 Hard], MATCH(PartyCompare_8[[#This Row],[Mob Size]],PartyCompare_8[Mob Size],0)))/INDEX(PartyCompare_0[+1 Hard], MATCH(PartyCompare_8[[#This Row],[Mob Size]],PartyCompare_8[Mob Size],0))</f>
        <v>0</v>
      </c>
      <c r="AR76" s="34">
        <f>(PartyCompare_8[[#This Row],[+1 Deadly]]-INDEX(PartyCompare_0[+1 Deadly], MATCH(PartyCompare_8[[#This Row],[Mob Size]],PartyCompare_8[Mob Size],0)))/INDEX(PartyCompare_0[+1 Deadly], MATCH(PartyCompare_8[[#This Row],[Mob Size]],PartyCompare_8[Mob Size],0))</f>
        <v>0.25</v>
      </c>
      <c r="AS76" s="48">
        <f>AVERAGE(PartyCompare_8[[#This Row],[+1 Easy Deviation]:[+1 Deadly Deviation]])</f>
        <v>6.25E-2</v>
      </c>
      <c r="AT76" s="36">
        <f>IF(ISNUMBER(PartyCompare_8[[#This Row],[Level]]), PartyCompare_8[[#This Row],[Level]]+2, PartyCompare_8[[#This Row],[Level]])</f>
        <v>4</v>
      </c>
      <c r="AU76" s="36">
        <f>INDEX(Encounter_Diff[Easy], MATCH(PartyCompare_8[[#This Row],[+2 Level]],Encounter_Diff[Player Level],0))</f>
        <v>125</v>
      </c>
      <c r="AV76" s="36">
        <f>INDEX(Encounter_Diff[Medium], MATCH(PartyCompare_8[[#This Row],[+2 Level]],Encounter_Diff[Player Level],0))</f>
        <v>250</v>
      </c>
      <c r="AW76" s="36">
        <f>INDEX(Encounter_Diff[Hard], MATCH(PartyCompare_8[[#This Row],[+2 Level]],Encounter_Diff[Player Level],0))</f>
        <v>375</v>
      </c>
      <c r="AX76" s="36">
        <f>INDEX(Encounter_Diff[Deadly], MATCH(PartyCompare_8[[#This Row],[+2 Level]],Encounter_Diff[Player Level],0))</f>
        <v>500</v>
      </c>
      <c r="AY76" s="63">
        <f>SUM(PartyCompare_8[+2 (Easy)])/INDEX(Encounter_Mod[[Small]:[Large]], MATCH(PartyCompare_8[[#This Row],[Mob Size]], Encounter_Mod[Type], 0), MATCH(PartyCompare_8[[#This Row],[Party Size]],Encounter_Mod[[#Headers],[Small]:[Large]],0))</f>
        <v>325</v>
      </c>
      <c r="AZ76" s="38">
        <f>SUM(PartyCompare_8[+2 (Medium)])/INDEX(Encounter_Mod[[Small]:[Large]], MATCH(PartyCompare_8[[#This Row],[Mob Size]], Encounter_Mod[Type], 0), MATCH(PartyCompare_8[[#This Row],[Party Size]],Encounter_Mod[[#Headers],[Small]:[Large]],0))</f>
        <v>650</v>
      </c>
      <c r="BA76" s="38">
        <f>SUM(PartyCompare_8[+2 (Hard)])/INDEX(Encounter_Mod[[Small]:[Large]], MATCH(PartyCompare_8[[#This Row],[Mob Size]], Encounter_Mod[Type], 0), MATCH(PartyCompare_8[[#This Row],[Party Size]],Encounter_Mod[[#Headers],[Small]:[Large]],0))</f>
        <v>975</v>
      </c>
      <c r="BB76" s="38">
        <f>SUM(PartyCompare_8[+2 (Deadly)])/INDEX(Encounter_Mod[[Small]:[Large]], MATCH(PartyCompare_8[[#This Row],[Mob Size]], Encounter_Mod[Type], 0), MATCH(PartyCompare_8[[#This Row],[Party Size]],Encounter_Mod[[#Headers],[Small]:[Large]],0))</f>
        <v>1400</v>
      </c>
      <c r="BC76" s="60">
        <f>(PartyCompare_8[[#This Row],[+2 Easy]]-INDEX(PartyCompare_0[+2 Easy], MATCH(PartyCompare_8[[#This Row],[Mob Size]],PartyCompare_8[Mob Size],0)))/INDEX(PartyCompare_0[+2 Easy], MATCH(PartyCompare_8[[#This Row],[Mob Size]],PartyCompare_8[Mob Size],0))</f>
        <v>8.3333333333333329E-2</v>
      </c>
      <c r="BD76" s="39">
        <f>(PartyCompare_8[[#This Row],[+2 Medium]]-INDEX(PartyCompare_0[+2 Medium], MATCH(PartyCompare_8[[#This Row],[Mob Size]],PartyCompare_8[Mob Size],0)))/INDEX(PartyCompare_0[+2 Medium], MATCH(PartyCompare_8[[#This Row],[Mob Size]],PartyCompare_8[Mob Size],0))</f>
        <v>8.3333333333333329E-2</v>
      </c>
      <c r="BE76" s="39">
        <f>(PartyCompare_8[[#This Row],[+2 Hard]]-INDEX(PartyCompare_0[+2 Hard], MATCH(PartyCompare_8[[#This Row],[Mob Size]],PartyCompare_8[Mob Size],0)))/INDEX(PartyCompare_0[+2 Hard], MATCH(PartyCompare_8[[#This Row],[Mob Size]],PartyCompare_8[Mob Size],0))</f>
        <v>8.3333333333333329E-2</v>
      </c>
      <c r="BF76" s="34">
        <f>(PartyCompare_8[[#This Row],[+2 Deadly]]-INDEX(PartyCompare_0[+2 Deadly], MATCH(PartyCompare_8[[#This Row],[Mob Size]],PartyCompare_8[Mob Size],0)))/INDEX(PartyCompare_0[+2 Deadly], MATCH(PartyCompare_8[[#This Row],[Mob Size]],PartyCompare_8[Mob Size],0))</f>
        <v>-0.125</v>
      </c>
      <c r="BG76" s="48">
        <f>AVERAGE(PartyCompare_8[[#This Row],[+2 Easy Deviation]:[+2 Deadly Deviation]])</f>
        <v>3.125E-2</v>
      </c>
      <c r="BH76" s="36">
        <f>IF(ISNUMBER(PartyCompare_8[[#This Row],[Level]]), PartyCompare_8[[#This Row],[Level]]+3, PartyCompare_8[[#This Row],[Level]])</f>
        <v>5</v>
      </c>
      <c r="BI76" s="36">
        <f>INDEX(Encounter_Diff[Easy], MATCH(PartyCompare_8[[#This Row],[+3 Level]],Encounter_Diff[Player Level],0))</f>
        <v>250</v>
      </c>
      <c r="BJ76" s="36">
        <f>INDEX(Encounter_Diff[Medium], MATCH(PartyCompare_8[[#This Row],[+3 Level]],Encounter_Diff[Player Level],0))</f>
        <v>500</v>
      </c>
      <c r="BK76" s="36">
        <f>INDEX(Encounter_Diff[Hard], MATCH(PartyCompare_8[[#This Row],[+3 Level]],Encounter_Diff[Player Level],0))</f>
        <v>750</v>
      </c>
      <c r="BL76" s="36">
        <f>INDEX(Encounter_Diff[Deadly], MATCH(PartyCompare_8[[#This Row],[+3 Level]],Encounter_Diff[Player Level],0))</f>
        <v>1100</v>
      </c>
      <c r="BM76" s="63">
        <f>SUM(PartyCompare_8[+3 (Easy)])/INDEX(Encounter_Mod[[Small]:[Large]], MATCH(PartyCompare_8[[#This Row],[Mob Size]], Encounter_Mod[Type], 0), MATCH(PartyCompare_8[[#This Row],[Party Size]],Encounter_Mod[[#Headers],[Small]:[Large]],0))</f>
        <v>625</v>
      </c>
      <c r="BN76" s="38">
        <f>SUM(PartyCompare_8[+3 (Medium)])/INDEX(Encounter_Mod[[Small]:[Large]], MATCH(PartyCompare_8[[#This Row],[Mob Size]], Encounter_Mod[Type], 0), MATCH(PartyCompare_8[[#This Row],[Party Size]],Encounter_Mod[[#Headers],[Small]:[Large]],0))</f>
        <v>1250</v>
      </c>
      <c r="BO76" s="38">
        <f>SUM(PartyCompare_8[+3 (Hard)])/INDEX(Encounter_Mod[[Small]:[Large]], MATCH(PartyCompare_8[[#This Row],[Mob Size]], Encounter_Mod[Type], 0), MATCH(PartyCompare_8[[#This Row],[Party Size]],Encounter_Mod[[#Headers],[Small]:[Large]],0))</f>
        <v>1875</v>
      </c>
      <c r="BP76" s="38">
        <f>SUM(PartyCompare_8[+3 (Deadly)])/INDEX(Encounter_Mod[[Small]:[Large]], MATCH(PartyCompare_8[[#This Row],[Mob Size]], Encounter_Mod[Type], 0), MATCH(PartyCompare_8[[#This Row],[Party Size]],Encounter_Mod[[#Headers],[Small]:[Large]],0))</f>
        <v>2700</v>
      </c>
      <c r="BQ76" s="60">
        <f>(PartyCompare_8[[#This Row],[+3 Easy]]-INDEX(PartyCompare_0[+3 Easy], MATCH(PartyCompare_8[[#This Row],[Mob Size]],PartyCompare_8[Mob Size],0)))/INDEX(PartyCompare_0[+3 Easy], MATCH(PartyCompare_8[[#This Row],[Mob Size]],PartyCompare_8[Mob Size],0))</f>
        <v>0.25</v>
      </c>
      <c r="BR76" s="39">
        <f>(PartyCompare_8[[#This Row],[+3 Medium]]-INDEX(PartyCompare_0[+3 Medium], MATCH(PartyCompare_8[[#This Row],[Mob Size]],PartyCompare_8[Mob Size],0)))/INDEX(PartyCompare_0[+3 Medium], MATCH(PartyCompare_8[[#This Row],[Mob Size]],PartyCompare_8[Mob Size],0))</f>
        <v>0.25</v>
      </c>
      <c r="BS76" s="39">
        <f>(PartyCompare_8[[#This Row],[+3 Hard]]-INDEX(PartyCompare_0[+3 Hard], MATCH(PartyCompare_8[[#This Row],[Mob Size]],PartyCompare_8[Mob Size],0)))/INDEX(PartyCompare_0[+3 Hard], MATCH(PartyCompare_8[[#This Row],[Mob Size]],PartyCompare_8[Mob Size],0))</f>
        <v>0.25</v>
      </c>
      <c r="BT76" s="34">
        <f>(PartyCompare_8[[#This Row],[+3 Deadly]]-INDEX(PartyCompare_0[+3 Deadly], MATCH(PartyCompare_8[[#This Row],[Mob Size]],PartyCompare_8[Mob Size],0)))/INDEX(PartyCompare_0[+3 Deadly], MATCH(PartyCompare_8[[#This Row],[Mob Size]],PartyCompare_8[Mob Size],0))</f>
        <v>0.35</v>
      </c>
      <c r="BU76" s="48">
        <f>AVERAGE(PartyCompare_8[[#This Row],[+3 Easy Deviation]:[+3 Deadly Deviation]])</f>
        <v>0.27500000000000002</v>
      </c>
      <c r="BV76" s="36">
        <f>IF(ISNUMBER(PartyCompare_8[[#This Row],[Level]]), PartyCompare_8[[#This Row],[Level]]+4, PartyCompare_8[[#This Row],[Level]])</f>
        <v>6</v>
      </c>
      <c r="BW76" s="36">
        <f>INDEX(Encounter_Diff[Easy], MATCH(PartyCompare_8[[#This Row],[+4 Level]],Encounter_Diff[Player Level],0))</f>
        <v>300</v>
      </c>
      <c r="BX76" s="36">
        <f>INDEX(Encounter_Diff[Medium], MATCH(PartyCompare_8[[#This Row],[+4 Level]],Encounter_Diff[Player Level],0))</f>
        <v>600</v>
      </c>
      <c r="BY76" s="36">
        <f>INDEX(Encounter_Diff[Hard], MATCH(PartyCompare_8[[#This Row],[+4 Level]],Encounter_Diff[Player Level],0))</f>
        <v>900</v>
      </c>
      <c r="BZ76" s="36">
        <f>INDEX(Encounter_Diff[Deadly], MATCH(PartyCompare_8[[#This Row],[+4 Level]],Encounter_Diff[Player Level],0))</f>
        <v>1400</v>
      </c>
      <c r="CA76" s="63">
        <f>SUM(PartyCompare_8[+4 (Easy)])/INDEX(Encounter_Mod[[Small]:[Large]], MATCH(PartyCompare_8[[#This Row],[Mob Size]], Encounter_Mod[Type], 0), MATCH(PartyCompare_8[[#This Row],[Party Size]],Encounter_Mod[[#Headers],[Small]:[Large]],0))</f>
        <v>850</v>
      </c>
      <c r="CB76" s="38">
        <f>SUM(PartyCompare_8[+4 (Medium)])/INDEX(Encounter_Mod[[Small]:[Large]], MATCH(PartyCompare_8[[#This Row],[Mob Size]], Encounter_Mod[Type], 0), MATCH(PartyCompare_8[[#This Row],[Party Size]],Encounter_Mod[[#Headers],[Small]:[Large]],0))</f>
        <v>1700</v>
      </c>
      <c r="CC76" s="38">
        <f>SUM(PartyCompare_8[+4 (Hard)])/INDEX(Encounter_Mod[[Small]:[Large]], MATCH(PartyCompare_8[[#This Row],[Mob Size]], Encounter_Mod[Type], 0), MATCH(PartyCompare_8[[#This Row],[Party Size]],Encounter_Mod[[#Headers],[Small]:[Large]],0))</f>
        <v>2550</v>
      </c>
      <c r="CD76" s="38">
        <f>SUM(PartyCompare_8[+4 (Deadly)])/INDEX(Encounter_Mod[[Small]:[Large]], MATCH(PartyCompare_8[[#This Row],[Mob Size]], Encounter_Mod[Type], 0), MATCH(PartyCompare_8[[#This Row],[Party Size]],Encounter_Mod[[#Headers],[Small]:[Large]],0))</f>
        <v>3900</v>
      </c>
      <c r="CE76" s="60">
        <f>(PartyCompare_8[[#This Row],[+4 Easy]]-INDEX(PartyCompare_0[+4 Easy], MATCH(PartyCompare_8[[#This Row],[Mob Size]],PartyCompare_8[Mob Size],0)))/INDEX(PartyCompare_0[+4 Easy], MATCH(PartyCompare_8[[#This Row],[Mob Size]],PartyCompare_8[Mob Size],0))</f>
        <v>-0.15</v>
      </c>
      <c r="CF76" s="39">
        <f>(PartyCompare_8[[#This Row],[+4 Medium]]-INDEX(PartyCompare_0[+4 Medium], MATCH(PartyCompare_8[[#This Row],[Mob Size]],PartyCompare_8[Mob Size],0)))/INDEX(PartyCompare_0[+4 Medium], MATCH(PartyCompare_8[[#This Row],[Mob Size]],PartyCompare_8[Mob Size],0))</f>
        <v>-0.15</v>
      </c>
      <c r="CG76" s="39">
        <f>(PartyCompare_8[[#This Row],[+4 Hard]]-INDEX(PartyCompare_0[+4 Hard], MATCH(PartyCompare_8[[#This Row],[Mob Size]],PartyCompare_8[Mob Size],0)))/INDEX(PartyCompare_0[+4 Hard], MATCH(PartyCompare_8[[#This Row],[Mob Size]],PartyCompare_8[Mob Size],0))</f>
        <v>-0.15</v>
      </c>
      <c r="CH76" s="34">
        <f>(PartyCompare_8[[#This Row],[+4 Deadly]]-INDEX(PartyCompare_0[+4 Deadly], MATCH(PartyCompare_8[[#This Row],[Mob Size]],PartyCompare_8[Mob Size],0)))/INDEX(PartyCompare_0[+4 Deadly], MATCH(PartyCompare_8[[#This Row],[Mob Size]],PartyCompare_8[Mob Size],0))</f>
        <v>-0.11363636363636363</v>
      </c>
      <c r="CI76" s="48">
        <f>AVERAGE(PartyCompare_8[[#This Row],[+4 Easy Deviation]:[+4 Deadly Deviation]])</f>
        <v>-0.1409090909090909</v>
      </c>
    </row>
    <row r="77" spans="12:87" x14ac:dyDescent="0.2">
      <c r="L77" s="233"/>
      <c r="M77" s="91" t="s">
        <v>226</v>
      </c>
      <c r="N77" s="90">
        <v>2</v>
      </c>
      <c r="O77" s="32">
        <f>INDEX(Encounter_Diff[Easy], MATCH(PartyCompare_8[[#This Row],[Level]],Encounter_Diff[Player Level],0))</f>
        <v>50</v>
      </c>
      <c r="P77" s="32">
        <f>INDEX(Encounter_Diff[Medium], MATCH(PartyCompare_8[[#This Row],[Level]],Encounter_Diff[Player Level],0))</f>
        <v>100</v>
      </c>
      <c r="Q77" s="32">
        <f>INDEX(Encounter_Diff[Hard], MATCH(PartyCompare_8[[#This Row],[Level]],Encounter_Diff[Player Level],0))</f>
        <v>150</v>
      </c>
      <c r="R77" s="30">
        <f>INDEX(Encounter_Diff[Deadly], MATCH(PartyCompare_8[[#This Row],[Level]],Encounter_Diff[Player Level],0))</f>
        <v>200</v>
      </c>
      <c r="S77" s="97" t="str">
        <f>S76</f>
        <v>2, 2, 1</v>
      </c>
      <c r="T77" s="32" t="str">
        <f>IF(COUNT(PartyCompare_8[Level])&lt;=2,"Small", IF(COUNT(PartyCompare_8[Level])&lt;=5,"Med", IF(COUNT(PartyCompare_8[Level])&lt;=8, "Large", "TOO BIG!")))</f>
        <v>Med</v>
      </c>
      <c r="U77" s="73" t="s">
        <v>108</v>
      </c>
      <c r="V77" s="77" t="str">
        <f>INDEX(Encounter_Mod[Count], MATCH(PartyCompare_8[[#This Row],[Mob Size]], Encounter_Mod[Type],0))</f>
        <v>2</v>
      </c>
      <c r="W77" s="81">
        <f>SUM(PartyCompare_8[(Easy)])/INDEX(Encounter_Mod[[Small]:[Large]], MATCH(PartyCompare_8[[#This Row],[Mob Size]], Encounter_Mod[Type], 0), MATCH(PartyCompare_8[[#This Row],[Party Size]],Encounter_Mod[[#Headers],[Small]:[Large]],0))</f>
        <v>83.333333333333329</v>
      </c>
      <c r="X77" s="42">
        <f>SUM(PartyCompare_8[(Medium)])/INDEX(Encounter_Mod[[Small]:[Large]], MATCH(PartyCompare_8[[#This Row],[Mob Size]], Encounter_Mod[Type], 0), MATCH(PartyCompare_8[[#This Row],[Party Size]],Encounter_Mod[[#Headers],[Small]:[Large]],0))</f>
        <v>166.66666666666666</v>
      </c>
      <c r="Y77" s="42">
        <f>SUM(PartyCompare_8[(Hard)])/INDEX(Encounter_Mod[[Small]:[Large]], MATCH(PartyCompare_8[[#This Row],[Mob Size]], Encounter_Mod[Type], 0), MATCH(PartyCompare_8[[#This Row],[Party Size]],Encounter_Mod[[#Headers],[Small]:[Large]],0))</f>
        <v>250</v>
      </c>
      <c r="Z77" s="43">
        <f>SUM(PartyCompare_8[(Deadly)])/INDEX(Encounter_Mod[[Small]:[Large]], MATCH(PartyCompare_8[[#This Row],[Mob Size]], Encounter_Mod[Type], 0), MATCH(PartyCompare_8[[#This Row],[Party Size]],Encounter_Mod[[#Headers],[Small]:[Large]],0))</f>
        <v>333.33333333333331</v>
      </c>
      <c r="AA77" s="46">
        <f>(PartyCompare_8[[#This Row],[Easy]]-INDEX(PartyCompare_0[Easy], MATCH(PartyCompare_8[[#This Row],[Mob Size]],PartyCompare_0[Mob Size],0)))/INDEX(PartyCompare_0[Easy], MATCH(PartyCompare_8[[#This Row],[Mob Size]],PartyCompare_0[Mob Size],0))</f>
        <v>0.24999999999999983</v>
      </c>
      <c r="AB77" s="33">
        <f>(PartyCompare_8[[#This Row],[Medium]]-INDEX(PartyCompare_0[Medium], MATCH(PartyCompare_8[[#This Row],[Mob Size]],PartyCompare_0[Mob Size],0)))/INDEX(PartyCompare_0[Medium], MATCH(PartyCompare_8[[#This Row],[Mob Size]],PartyCompare_0[Mob Size],0))</f>
        <v>0.24999999999999983</v>
      </c>
      <c r="AC77" s="33">
        <f>(PartyCompare_8[[#This Row],[Hard]]-INDEX(PartyCompare_0[Hard], MATCH(PartyCompare_8[[#This Row],[Mob Size]],PartyCompare_0[Mob Size],0)))/INDEX(PartyCompare_0[Hard], MATCH(PartyCompare_8[[#This Row],[Mob Size]],PartyCompare_0[Mob Size],0))</f>
        <v>0.25</v>
      </c>
      <c r="AD77" s="34">
        <f>(PartyCompare_8[[#This Row],[Deadly]]-INDEX(PartyCompare_0[Deadly], MATCH(PartyCompare_8[[#This Row],[Mob Size]],PartyCompare_0[Mob Size],0)))/INDEX(PartyCompare_0[Deadly], MATCH(PartyCompare_8[[#This Row],[Mob Size]],PartyCompare_0[Mob Size],0))</f>
        <v>0.24999999999999983</v>
      </c>
      <c r="AE77" s="48">
        <f>AVERAGE(PartyCompare_8[[#This Row],[Easy Deviation]:[Deadly Deviation]])</f>
        <v>0.24999999999999989</v>
      </c>
      <c r="AF77" s="36">
        <f>IF(ISNUMBER(PartyCompare_8[[#This Row],[Level]]), PartyCompare_8[[#This Row],[Level]]+1, PartyCompare_8[[#This Row],[Level]])</f>
        <v>3</v>
      </c>
      <c r="AG77" s="36">
        <f>INDEX(Encounter_Diff[Easy], MATCH(PartyCompare_8[[#This Row],[+1 Level]],Encounter_Diff[Player Level],0))</f>
        <v>75</v>
      </c>
      <c r="AH77" s="36">
        <f>INDEX(Encounter_Diff[Medium], MATCH(PartyCompare_8[[#This Row],[+1 Level]],Encounter_Diff[Player Level],0))</f>
        <v>150</v>
      </c>
      <c r="AI77" s="36">
        <f>INDEX(Encounter_Diff[Hard], MATCH(PartyCompare_8[[#This Row],[+1 Level]],Encounter_Diff[Player Level],0))</f>
        <v>225</v>
      </c>
      <c r="AJ77" s="36">
        <f>INDEX(Encounter_Diff[Deadly], MATCH(PartyCompare_8[[#This Row],[+1 Level]],Encounter_Diff[Player Level],0))</f>
        <v>400</v>
      </c>
      <c r="AK77" s="63">
        <f>SUM(PartyCompare_8[+1 (Easy)])/INDEX(Encounter_Mod[[Small]:[Large]], MATCH(PartyCompare_8[[#This Row],[Mob Size]], Encounter_Mod[Type], 0), MATCH(PartyCompare_8[[#This Row],[Party Size]],Encounter_Mod[[#Headers],[Small]:[Large]],0))</f>
        <v>133.33333333333334</v>
      </c>
      <c r="AL77" s="38">
        <f>SUM(PartyCompare_8[+1 (Medium)])/INDEX(Encounter_Mod[[Small]:[Large]], MATCH(PartyCompare_8[[#This Row],[Mob Size]], Encounter_Mod[Type], 0), MATCH(PartyCompare_8[[#This Row],[Party Size]],Encounter_Mod[[#Headers],[Small]:[Large]],0))</f>
        <v>266.66666666666669</v>
      </c>
      <c r="AM77" s="38">
        <f>SUM(PartyCompare_8[+1 (Hard)])/INDEX(Encounter_Mod[[Small]:[Large]], MATCH(PartyCompare_8[[#This Row],[Mob Size]], Encounter_Mod[Type], 0), MATCH(PartyCompare_8[[#This Row],[Party Size]],Encounter_Mod[[#Headers],[Small]:[Large]],0))</f>
        <v>400</v>
      </c>
      <c r="AN77" s="38">
        <f>SUM(PartyCompare_8[+1 (Deadly)])/INDEX(Encounter_Mod[[Small]:[Large]], MATCH(PartyCompare_8[[#This Row],[Mob Size]], Encounter_Mod[Type], 0), MATCH(PartyCompare_8[[#This Row],[Party Size]],Encounter_Mod[[#Headers],[Small]:[Large]],0))</f>
        <v>666.66666666666663</v>
      </c>
      <c r="AO77" s="46">
        <f>(PartyCompare_8[[#This Row],[+1 Easy]]-INDEX(PartyCompare_0[+1 Easy], MATCH(PartyCompare_8[[#This Row],[Mob Size]],PartyCompare_8[Mob Size],0)))/INDEX(PartyCompare_0[+1 Easy], MATCH(PartyCompare_8[[#This Row],[Mob Size]],PartyCompare_8[Mob Size],0))</f>
        <v>0</v>
      </c>
      <c r="AP77" s="39">
        <f>(PartyCompare_8[[#This Row],[+1 Medium]]-INDEX(PartyCompare_0[+1 Medium], MATCH(PartyCompare_8[[#This Row],[Mob Size]],PartyCompare_8[Mob Size],0)))/INDEX(PartyCompare_0[+1 Medium], MATCH(PartyCompare_8[[#This Row],[Mob Size]],PartyCompare_8[Mob Size],0))</f>
        <v>0</v>
      </c>
      <c r="AQ77" s="39">
        <f>(PartyCompare_8[[#This Row],[+1 Hard]]-INDEX(PartyCompare_0[+1 Hard], MATCH(PartyCompare_8[[#This Row],[Mob Size]],PartyCompare_8[Mob Size],0)))/INDEX(PartyCompare_0[+1 Hard], MATCH(PartyCompare_8[[#This Row],[Mob Size]],PartyCompare_8[Mob Size],0))</f>
        <v>0</v>
      </c>
      <c r="AR77" s="34">
        <f>(PartyCompare_8[[#This Row],[+1 Deadly]]-INDEX(PartyCompare_0[+1 Deadly], MATCH(PartyCompare_8[[#This Row],[Mob Size]],PartyCompare_8[Mob Size],0)))/INDEX(PartyCompare_0[+1 Deadly], MATCH(PartyCompare_8[[#This Row],[Mob Size]],PartyCompare_8[Mob Size],0))</f>
        <v>0.24999999999999983</v>
      </c>
      <c r="AS77" s="48">
        <f>AVERAGE(PartyCompare_8[[#This Row],[+1 Easy Deviation]:[+1 Deadly Deviation]])</f>
        <v>6.2499999999999958E-2</v>
      </c>
      <c r="AT77" s="36">
        <f>IF(ISNUMBER(PartyCompare_8[[#This Row],[Level]]), PartyCompare_8[[#This Row],[Level]]+2, PartyCompare_8[[#This Row],[Level]])</f>
        <v>4</v>
      </c>
      <c r="AU77" s="36">
        <f>INDEX(Encounter_Diff[Easy], MATCH(PartyCompare_8[[#This Row],[+2 Level]],Encounter_Diff[Player Level],0))</f>
        <v>125</v>
      </c>
      <c r="AV77" s="36">
        <f>INDEX(Encounter_Diff[Medium], MATCH(PartyCompare_8[[#This Row],[+2 Level]],Encounter_Diff[Player Level],0))</f>
        <v>250</v>
      </c>
      <c r="AW77" s="36">
        <f>INDEX(Encounter_Diff[Hard], MATCH(PartyCompare_8[[#This Row],[+2 Level]],Encounter_Diff[Player Level],0))</f>
        <v>375</v>
      </c>
      <c r="AX77" s="36">
        <f>INDEX(Encounter_Diff[Deadly], MATCH(PartyCompare_8[[#This Row],[+2 Level]],Encounter_Diff[Player Level],0))</f>
        <v>500</v>
      </c>
      <c r="AY77" s="63">
        <f>SUM(PartyCompare_8[+2 (Easy)])/INDEX(Encounter_Mod[[Small]:[Large]], MATCH(PartyCompare_8[[#This Row],[Mob Size]], Encounter_Mod[Type], 0), MATCH(PartyCompare_8[[#This Row],[Party Size]],Encounter_Mod[[#Headers],[Small]:[Large]],0))</f>
        <v>216.66666666666666</v>
      </c>
      <c r="AZ77" s="38">
        <f>SUM(PartyCompare_8[+2 (Medium)])/INDEX(Encounter_Mod[[Small]:[Large]], MATCH(PartyCompare_8[[#This Row],[Mob Size]], Encounter_Mod[Type], 0), MATCH(PartyCompare_8[[#This Row],[Party Size]],Encounter_Mod[[#Headers],[Small]:[Large]],0))</f>
        <v>433.33333333333331</v>
      </c>
      <c r="BA77" s="38">
        <f>SUM(PartyCompare_8[+2 (Hard)])/INDEX(Encounter_Mod[[Small]:[Large]], MATCH(PartyCompare_8[[#This Row],[Mob Size]], Encounter_Mod[Type], 0), MATCH(PartyCompare_8[[#This Row],[Party Size]],Encounter_Mod[[#Headers],[Small]:[Large]],0))</f>
        <v>650</v>
      </c>
      <c r="BB77" s="38">
        <f>SUM(PartyCompare_8[+2 (Deadly)])/INDEX(Encounter_Mod[[Small]:[Large]], MATCH(PartyCompare_8[[#This Row],[Mob Size]], Encounter_Mod[Type], 0), MATCH(PartyCompare_8[[#This Row],[Party Size]],Encounter_Mod[[#Headers],[Small]:[Large]],0))</f>
        <v>933.33333333333337</v>
      </c>
      <c r="BC77" s="46">
        <f>(PartyCompare_8[[#This Row],[+2 Easy]]-INDEX(PartyCompare_0[+2 Easy], MATCH(PartyCompare_8[[#This Row],[Mob Size]],PartyCompare_8[Mob Size],0)))/INDEX(PartyCompare_0[+2 Easy], MATCH(PartyCompare_8[[#This Row],[Mob Size]],PartyCompare_8[Mob Size],0))</f>
        <v>8.3333333333333287E-2</v>
      </c>
      <c r="BD77" s="39">
        <f>(PartyCompare_8[[#This Row],[+2 Medium]]-INDEX(PartyCompare_0[+2 Medium], MATCH(PartyCompare_8[[#This Row],[Mob Size]],PartyCompare_8[Mob Size],0)))/INDEX(PartyCompare_0[+2 Medium], MATCH(PartyCompare_8[[#This Row],[Mob Size]],PartyCompare_8[Mob Size],0))</f>
        <v>8.3333333333333287E-2</v>
      </c>
      <c r="BE77" s="39">
        <f>(PartyCompare_8[[#This Row],[+2 Hard]]-INDEX(PartyCompare_0[+2 Hard], MATCH(PartyCompare_8[[#This Row],[Mob Size]],PartyCompare_8[Mob Size],0)))/INDEX(PartyCompare_0[+2 Hard], MATCH(PartyCompare_8[[#This Row],[Mob Size]],PartyCompare_8[Mob Size],0))</f>
        <v>8.3333333333333329E-2</v>
      </c>
      <c r="BF77" s="34">
        <f>(PartyCompare_8[[#This Row],[+2 Deadly]]-INDEX(PartyCompare_0[+2 Deadly], MATCH(PartyCompare_8[[#This Row],[Mob Size]],PartyCompare_8[Mob Size],0)))/INDEX(PartyCompare_0[+2 Deadly], MATCH(PartyCompare_8[[#This Row],[Mob Size]],PartyCompare_8[Mob Size],0))</f>
        <v>-0.12500000000000003</v>
      </c>
      <c r="BG77" s="48">
        <f>AVERAGE(PartyCompare_8[[#This Row],[+2 Easy Deviation]:[+2 Deadly Deviation]])</f>
        <v>3.1249999999999965E-2</v>
      </c>
      <c r="BH77" s="36">
        <f>IF(ISNUMBER(PartyCompare_8[[#This Row],[Level]]), PartyCompare_8[[#This Row],[Level]]+3, PartyCompare_8[[#This Row],[Level]])</f>
        <v>5</v>
      </c>
      <c r="BI77" s="36">
        <f>INDEX(Encounter_Diff[Easy], MATCH(PartyCompare_8[[#This Row],[+3 Level]],Encounter_Diff[Player Level],0))</f>
        <v>250</v>
      </c>
      <c r="BJ77" s="36">
        <f>INDEX(Encounter_Diff[Medium], MATCH(PartyCompare_8[[#This Row],[+3 Level]],Encounter_Diff[Player Level],0))</f>
        <v>500</v>
      </c>
      <c r="BK77" s="36">
        <f>INDEX(Encounter_Diff[Hard], MATCH(PartyCompare_8[[#This Row],[+3 Level]],Encounter_Diff[Player Level],0))</f>
        <v>750</v>
      </c>
      <c r="BL77" s="36">
        <f>INDEX(Encounter_Diff[Deadly], MATCH(PartyCompare_8[[#This Row],[+3 Level]],Encounter_Diff[Player Level],0))</f>
        <v>1100</v>
      </c>
      <c r="BM77" s="63">
        <f>SUM(PartyCompare_8[+3 (Easy)])/INDEX(Encounter_Mod[[Small]:[Large]], MATCH(PartyCompare_8[[#This Row],[Mob Size]], Encounter_Mod[Type], 0), MATCH(PartyCompare_8[[#This Row],[Party Size]],Encounter_Mod[[#Headers],[Small]:[Large]],0))</f>
        <v>416.66666666666669</v>
      </c>
      <c r="BN77" s="38">
        <f>SUM(PartyCompare_8[+3 (Medium)])/INDEX(Encounter_Mod[[Small]:[Large]], MATCH(PartyCompare_8[[#This Row],[Mob Size]], Encounter_Mod[Type], 0), MATCH(PartyCompare_8[[#This Row],[Party Size]],Encounter_Mod[[#Headers],[Small]:[Large]],0))</f>
        <v>833.33333333333337</v>
      </c>
      <c r="BO77" s="38">
        <f>SUM(PartyCompare_8[+3 (Hard)])/INDEX(Encounter_Mod[[Small]:[Large]], MATCH(PartyCompare_8[[#This Row],[Mob Size]], Encounter_Mod[Type], 0), MATCH(PartyCompare_8[[#This Row],[Party Size]],Encounter_Mod[[#Headers],[Small]:[Large]],0))</f>
        <v>1250</v>
      </c>
      <c r="BP77" s="38">
        <f>SUM(PartyCompare_8[+3 (Deadly)])/INDEX(Encounter_Mod[[Small]:[Large]], MATCH(PartyCompare_8[[#This Row],[Mob Size]], Encounter_Mod[Type], 0), MATCH(PartyCompare_8[[#This Row],[Party Size]],Encounter_Mod[[#Headers],[Small]:[Large]],0))</f>
        <v>1800</v>
      </c>
      <c r="BQ77" s="46">
        <f>(PartyCompare_8[[#This Row],[+3 Easy]]-INDEX(PartyCompare_0[+3 Easy], MATCH(PartyCompare_8[[#This Row],[Mob Size]],PartyCompare_8[Mob Size],0)))/INDEX(PartyCompare_0[+3 Easy], MATCH(PartyCompare_8[[#This Row],[Mob Size]],PartyCompare_8[Mob Size],0))</f>
        <v>0.25000000000000011</v>
      </c>
      <c r="BR77" s="39">
        <f>(PartyCompare_8[[#This Row],[+3 Medium]]-INDEX(PartyCompare_0[+3 Medium], MATCH(PartyCompare_8[[#This Row],[Mob Size]],PartyCompare_8[Mob Size],0)))/INDEX(PartyCompare_0[+3 Medium], MATCH(PartyCompare_8[[#This Row],[Mob Size]],PartyCompare_8[Mob Size],0))</f>
        <v>0.25000000000000011</v>
      </c>
      <c r="BS77" s="39">
        <f>(PartyCompare_8[[#This Row],[+3 Hard]]-INDEX(PartyCompare_0[+3 Hard], MATCH(PartyCompare_8[[#This Row],[Mob Size]],PartyCompare_8[Mob Size],0)))/INDEX(PartyCompare_0[+3 Hard], MATCH(PartyCompare_8[[#This Row],[Mob Size]],PartyCompare_8[Mob Size],0))</f>
        <v>0.25</v>
      </c>
      <c r="BT77" s="34">
        <f>(PartyCompare_8[[#This Row],[+3 Deadly]]-INDEX(PartyCompare_0[+3 Deadly], MATCH(PartyCompare_8[[#This Row],[Mob Size]],PartyCompare_8[Mob Size],0)))/INDEX(PartyCompare_0[+3 Deadly], MATCH(PartyCompare_8[[#This Row],[Mob Size]],PartyCompare_8[Mob Size],0))</f>
        <v>0.35000000000000009</v>
      </c>
      <c r="BU77" s="48">
        <f>AVERAGE(PartyCompare_8[[#This Row],[+3 Easy Deviation]:[+3 Deadly Deviation]])</f>
        <v>0.27500000000000008</v>
      </c>
      <c r="BV77" s="36">
        <f>IF(ISNUMBER(PartyCompare_8[[#This Row],[Level]]), PartyCompare_8[[#This Row],[Level]]+4, PartyCompare_8[[#This Row],[Level]])</f>
        <v>6</v>
      </c>
      <c r="BW77" s="36">
        <f>INDEX(Encounter_Diff[Easy], MATCH(PartyCompare_8[[#This Row],[+4 Level]],Encounter_Diff[Player Level],0))</f>
        <v>300</v>
      </c>
      <c r="BX77" s="36">
        <f>INDEX(Encounter_Diff[Medium], MATCH(PartyCompare_8[[#This Row],[+4 Level]],Encounter_Diff[Player Level],0))</f>
        <v>600</v>
      </c>
      <c r="BY77" s="36">
        <f>INDEX(Encounter_Diff[Hard], MATCH(PartyCompare_8[[#This Row],[+4 Level]],Encounter_Diff[Player Level],0))</f>
        <v>900</v>
      </c>
      <c r="BZ77" s="36">
        <f>INDEX(Encounter_Diff[Deadly], MATCH(PartyCompare_8[[#This Row],[+4 Level]],Encounter_Diff[Player Level],0))</f>
        <v>1400</v>
      </c>
      <c r="CA77" s="63">
        <f>SUM(PartyCompare_8[+4 (Easy)])/INDEX(Encounter_Mod[[Small]:[Large]], MATCH(PartyCompare_8[[#This Row],[Mob Size]], Encounter_Mod[Type], 0), MATCH(PartyCompare_8[[#This Row],[Party Size]],Encounter_Mod[[#Headers],[Small]:[Large]],0))</f>
        <v>566.66666666666663</v>
      </c>
      <c r="CB77" s="38">
        <f>SUM(PartyCompare_8[+4 (Medium)])/INDEX(Encounter_Mod[[Small]:[Large]], MATCH(PartyCompare_8[[#This Row],[Mob Size]], Encounter_Mod[Type], 0), MATCH(PartyCompare_8[[#This Row],[Party Size]],Encounter_Mod[[#Headers],[Small]:[Large]],0))</f>
        <v>1133.3333333333333</v>
      </c>
      <c r="CC77" s="38">
        <f>SUM(PartyCompare_8[+4 (Hard)])/INDEX(Encounter_Mod[[Small]:[Large]], MATCH(PartyCompare_8[[#This Row],[Mob Size]], Encounter_Mod[Type], 0), MATCH(PartyCompare_8[[#This Row],[Party Size]],Encounter_Mod[[#Headers],[Small]:[Large]],0))</f>
        <v>1700</v>
      </c>
      <c r="CD77" s="38">
        <f>SUM(PartyCompare_8[+4 (Deadly)])/INDEX(Encounter_Mod[[Small]:[Large]], MATCH(PartyCompare_8[[#This Row],[Mob Size]], Encounter_Mod[Type], 0), MATCH(PartyCompare_8[[#This Row],[Party Size]],Encounter_Mod[[#Headers],[Small]:[Large]],0))</f>
        <v>2600</v>
      </c>
      <c r="CE77" s="46">
        <f>(PartyCompare_8[[#This Row],[+4 Easy]]-INDEX(PartyCompare_0[+4 Easy], MATCH(PartyCompare_8[[#This Row],[Mob Size]],PartyCompare_8[Mob Size],0)))/INDEX(PartyCompare_0[+4 Easy], MATCH(PartyCompare_8[[#This Row],[Mob Size]],PartyCompare_8[Mob Size],0))</f>
        <v>-0.15000000000000002</v>
      </c>
      <c r="CF77" s="39">
        <f>(PartyCompare_8[[#This Row],[+4 Medium]]-INDEX(PartyCompare_0[+4 Medium], MATCH(PartyCompare_8[[#This Row],[Mob Size]],PartyCompare_8[Mob Size],0)))/INDEX(PartyCompare_0[+4 Medium], MATCH(PartyCompare_8[[#This Row],[Mob Size]],PartyCompare_8[Mob Size],0))</f>
        <v>-0.15000000000000002</v>
      </c>
      <c r="CG77" s="39">
        <f>(PartyCompare_8[[#This Row],[+4 Hard]]-INDEX(PartyCompare_0[+4 Hard], MATCH(PartyCompare_8[[#This Row],[Mob Size]],PartyCompare_8[Mob Size],0)))/INDEX(PartyCompare_0[+4 Hard], MATCH(PartyCompare_8[[#This Row],[Mob Size]],PartyCompare_8[Mob Size],0))</f>
        <v>-0.15</v>
      </c>
      <c r="CH77" s="34">
        <f>(PartyCompare_8[[#This Row],[+4 Deadly]]-INDEX(PartyCompare_0[+4 Deadly], MATCH(PartyCompare_8[[#This Row],[Mob Size]],PartyCompare_8[Mob Size],0)))/INDEX(PartyCompare_0[+4 Deadly], MATCH(PartyCompare_8[[#This Row],[Mob Size]],PartyCompare_8[Mob Size],0))</f>
        <v>-0.11363636363636369</v>
      </c>
      <c r="CI77" s="48">
        <f>AVERAGE(PartyCompare_8[[#This Row],[+4 Easy Deviation]:[+4 Deadly Deviation]])</f>
        <v>-0.14090909090909093</v>
      </c>
    </row>
    <row r="78" spans="12:87" x14ac:dyDescent="0.2">
      <c r="L78" s="233"/>
      <c r="M78" s="91" t="s">
        <v>227</v>
      </c>
      <c r="N78" s="90">
        <v>1</v>
      </c>
      <c r="O78" s="32">
        <f>INDEX(Encounter_Diff[Easy], MATCH(PartyCompare_8[[#This Row],[Level]],Encounter_Diff[Player Level],0))</f>
        <v>25</v>
      </c>
      <c r="P78" s="32">
        <f>INDEX(Encounter_Diff[Medium], MATCH(PartyCompare_8[[#This Row],[Level]],Encounter_Diff[Player Level],0))</f>
        <v>50</v>
      </c>
      <c r="Q78" s="32">
        <f>INDEX(Encounter_Diff[Hard], MATCH(PartyCompare_8[[#This Row],[Level]],Encounter_Diff[Player Level],0))</f>
        <v>75</v>
      </c>
      <c r="R78" s="30">
        <f>INDEX(Encounter_Diff[Deadly], MATCH(PartyCompare_8[[#This Row],[Level]],Encounter_Diff[Player Level],0))</f>
        <v>100</v>
      </c>
      <c r="S78" s="97" t="str">
        <f t="shared" ref="S78:S83" si="8">S77</f>
        <v>2, 2, 1</v>
      </c>
      <c r="T78" s="32" t="str">
        <f>IF(COUNT(PartyCompare_8[Level])&lt;=2,"Small", IF(COUNT(PartyCompare_8[Level])&lt;=5,"Med", IF(COUNT(PartyCompare_8[Level])&lt;=8, "Large", "TOO BIG!")))</f>
        <v>Med</v>
      </c>
      <c r="U78" s="73" t="s">
        <v>109</v>
      </c>
      <c r="V78" s="77" t="str">
        <f>INDEX(Encounter_Mod[Count], MATCH(PartyCompare_8[[#This Row],[Mob Size]], Encounter_Mod[Type],0))</f>
        <v>3-6</v>
      </c>
      <c r="W78" s="81">
        <f>SUM(PartyCompare_8[(Easy)])/INDEX(Encounter_Mod[[Small]:[Large]], MATCH(PartyCompare_8[[#This Row],[Mob Size]], Encounter_Mod[Type], 0), MATCH(PartyCompare_8[[#This Row],[Party Size]],Encounter_Mod[[#Headers],[Small]:[Large]],0))</f>
        <v>62.5</v>
      </c>
      <c r="X78" s="42">
        <f>SUM(PartyCompare_8[(Medium)])/INDEX(Encounter_Mod[[Small]:[Large]], MATCH(PartyCompare_8[[#This Row],[Mob Size]], Encounter_Mod[Type], 0), MATCH(PartyCompare_8[[#This Row],[Party Size]],Encounter_Mod[[#Headers],[Small]:[Large]],0))</f>
        <v>125</v>
      </c>
      <c r="Y78" s="42">
        <f>SUM(PartyCompare_8[(Hard)])/INDEX(Encounter_Mod[[Small]:[Large]], MATCH(PartyCompare_8[[#This Row],[Mob Size]], Encounter_Mod[Type], 0), MATCH(PartyCompare_8[[#This Row],[Party Size]],Encounter_Mod[[#Headers],[Small]:[Large]],0))</f>
        <v>187.5</v>
      </c>
      <c r="Z78" s="43">
        <f>SUM(PartyCompare_8[(Deadly)])/INDEX(Encounter_Mod[[Small]:[Large]], MATCH(PartyCompare_8[[#This Row],[Mob Size]], Encounter_Mod[Type], 0), MATCH(PartyCompare_8[[#This Row],[Party Size]],Encounter_Mod[[#Headers],[Small]:[Large]],0))</f>
        <v>250</v>
      </c>
      <c r="AA78" s="46">
        <f>(PartyCompare_8[[#This Row],[Easy]]-INDEX(PartyCompare_0[Easy], MATCH(PartyCompare_8[[#This Row],[Mob Size]],PartyCompare_0[Mob Size],0)))/INDEX(PartyCompare_0[Easy], MATCH(PartyCompare_8[[#This Row],[Mob Size]],PartyCompare_0[Mob Size],0))</f>
        <v>0.25</v>
      </c>
      <c r="AB78" s="33">
        <f>(PartyCompare_8[[#This Row],[Medium]]-INDEX(PartyCompare_0[Medium], MATCH(PartyCompare_8[[#This Row],[Mob Size]],PartyCompare_0[Mob Size],0)))/INDEX(PartyCompare_0[Medium], MATCH(PartyCompare_8[[#This Row],[Mob Size]],PartyCompare_0[Mob Size],0))</f>
        <v>0.25</v>
      </c>
      <c r="AC78" s="33">
        <f>(PartyCompare_8[[#This Row],[Hard]]-INDEX(PartyCompare_0[Hard], MATCH(PartyCompare_8[[#This Row],[Mob Size]],PartyCompare_0[Mob Size],0)))/INDEX(PartyCompare_0[Hard], MATCH(PartyCompare_8[[#This Row],[Mob Size]],PartyCompare_0[Mob Size],0))</f>
        <v>0.25</v>
      </c>
      <c r="AD78" s="34">
        <f>(PartyCompare_8[[#This Row],[Deadly]]-INDEX(PartyCompare_0[Deadly], MATCH(PartyCompare_8[[#This Row],[Mob Size]],PartyCompare_0[Mob Size],0)))/INDEX(PartyCompare_0[Deadly], MATCH(PartyCompare_8[[#This Row],[Mob Size]],PartyCompare_0[Mob Size],0))</f>
        <v>0.25</v>
      </c>
      <c r="AE78" s="48">
        <f>AVERAGE(PartyCompare_8[[#This Row],[Easy Deviation]:[Deadly Deviation]])</f>
        <v>0.25</v>
      </c>
      <c r="AF78" s="36">
        <f>IF(ISNUMBER(PartyCompare_8[[#This Row],[Level]]), PartyCompare_8[[#This Row],[Level]]+1, PartyCompare_8[[#This Row],[Level]])</f>
        <v>2</v>
      </c>
      <c r="AG78" s="36">
        <f>INDEX(Encounter_Diff[Easy], MATCH(PartyCompare_8[[#This Row],[+1 Level]],Encounter_Diff[Player Level],0))</f>
        <v>50</v>
      </c>
      <c r="AH78" s="36">
        <f>INDEX(Encounter_Diff[Medium], MATCH(PartyCompare_8[[#This Row],[+1 Level]],Encounter_Diff[Player Level],0))</f>
        <v>100</v>
      </c>
      <c r="AI78" s="36">
        <f>INDEX(Encounter_Diff[Hard], MATCH(PartyCompare_8[[#This Row],[+1 Level]],Encounter_Diff[Player Level],0))</f>
        <v>150</v>
      </c>
      <c r="AJ78" s="36">
        <f>INDEX(Encounter_Diff[Deadly], MATCH(PartyCompare_8[[#This Row],[+1 Level]],Encounter_Diff[Player Level],0))</f>
        <v>200</v>
      </c>
      <c r="AK78" s="63">
        <f>SUM(PartyCompare_8[+1 (Easy)])/INDEX(Encounter_Mod[[Small]:[Large]], MATCH(PartyCompare_8[[#This Row],[Mob Size]], Encounter_Mod[Type], 0), MATCH(PartyCompare_8[[#This Row],[Party Size]],Encounter_Mod[[#Headers],[Small]:[Large]],0))</f>
        <v>100</v>
      </c>
      <c r="AL78" s="38">
        <f>SUM(PartyCompare_8[+1 (Medium)])/INDEX(Encounter_Mod[[Small]:[Large]], MATCH(PartyCompare_8[[#This Row],[Mob Size]], Encounter_Mod[Type], 0), MATCH(PartyCompare_8[[#This Row],[Party Size]],Encounter_Mod[[#Headers],[Small]:[Large]],0))</f>
        <v>200</v>
      </c>
      <c r="AM78" s="38">
        <f>SUM(PartyCompare_8[+1 (Hard)])/INDEX(Encounter_Mod[[Small]:[Large]], MATCH(PartyCompare_8[[#This Row],[Mob Size]], Encounter_Mod[Type], 0), MATCH(PartyCompare_8[[#This Row],[Party Size]],Encounter_Mod[[#Headers],[Small]:[Large]],0))</f>
        <v>300</v>
      </c>
      <c r="AN78" s="38">
        <f>SUM(PartyCompare_8[+1 (Deadly)])/INDEX(Encounter_Mod[[Small]:[Large]], MATCH(PartyCompare_8[[#This Row],[Mob Size]], Encounter_Mod[Type], 0), MATCH(PartyCompare_8[[#This Row],[Party Size]],Encounter_Mod[[#Headers],[Small]:[Large]],0))</f>
        <v>500</v>
      </c>
      <c r="AO78" s="46">
        <f>(PartyCompare_8[[#This Row],[+1 Easy]]-INDEX(PartyCompare_0[+1 Easy], MATCH(PartyCompare_8[[#This Row],[Mob Size]],PartyCompare_8[Mob Size],0)))/INDEX(PartyCompare_0[+1 Easy], MATCH(PartyCompare_8[[#This Row],[Mob Size]],PartyCompare_8[Mob Size],0))</f>
        <v>0</v>
      </c>
      <c r="AP78" s="39">
        <f>(PartyCompare_8[[#This Row],[+1 Medium]]-INDEX(PartyCompare_0[+1 Medium], MATCH(PartyCompare_8[[#This Row],[Mob Size]],PartyCompare_8[Mob Size],0)))/INDEX(PartyCompare_0[+1 Medium], MATCH(PartyCompare_8[[#This Row],[Mob Size]],PartyCompare_8[Mob Size],0))</f>
        <v>0</v>
      </c>
      <c r="AQ78" s="39">
        <f>(PartyCompare_8[[#This Row],[+1 Hard]]-INDEX(PartyCompare_0[+1 Hard], MATCH(PartyCompare_8[[#This Row],[Mob Size]],PartyCompare_8[Mob Size],0)))/INDEX(PartyCompare_0[+1 Hard], MATCH(PartyCompare_8[[#This Row],[Mob Size]],PartyCompare_8[Mob Size],0))</f>
        <v>0</v>
      </c>
      <c r="AR78" s="34">
        <f>(PartyCompare_8[[#This Row],[+1 Deadly]]-INDEX(PartyCompare_0[+1 Deadly], MATCH(PartyCompare_8[[#This Row],[Mob Size]],PartyCompare_8[Mob Size],0)))/INDEX(PartyCompare_0[+1 Deadly], MATCH(PartyCompare_8[[#This Row],[Mob Size]],PartyCompare_8[Mob Size],0))</f>
        <v>0.25</v>
      </c>
      <c r="AS78" s="48">
        <f>AVERAGE(PartyCompare_8[[#This Row],[+1 Easy Deviation]:[+1 Deadly Deviation]])</f>
        <v>6.25E-2</v>
      </c>
      <c r="AT78" s="36">
        <f>IF(ISNUMBER(PartyCompare_8[[#This Row],[Level]]), PartyCompare_8[[#This Row],[Level]]+2, PartyCompare_8[[#This Row],[Level]])</f>
        <v>3</v>
      </c>
      <c r="AU78" s="36">
        <f>INDEX(Encounter_Diff[Easy], MATCH(PartyCompare_8[[#This Row],[+2 Level]],Encounter_Diff[Player Level],0))</f>
        <v>75</v>
      </c>
      <c r="AV78" s="36">
        <f>INDEX(Encounter_Diff[Medium], MATCH(PartyCompare_8[[#This Row],[+2 Level]],Encounter_Diff[Player Level],0))</f>
        <v>150</v>
      </c>
      <c r="AW78" s="36">
        <f>INDEX(Encounter_Diff[Hard], MATCH(PartyCompare_8[[#This Row],[+2 Level]],Encounter_Diff[Player Level],0))</f>
        <v>225</v>
      </c>
      <c r="AX78" s="36">
        <f>INDEX(Encounter_Diff[Deadly], MATCH(PartyCompare_8[[#This Row],[+2 Level]],Encounter_Diff[Player Level],0))</f>
        <v>400</v>
      </c>
      <c r="AY78" s="63">
        <f>SUM(PartyCompare_8[+2 (Easy)])/INDEX(Encounter_Mod[[Small]:[Large]], MATCH(PartyCompare_8[[#This Row],[Mob Size]], Encounter_Mod[Type], 0), MATCH(PartyCompare_8[[#This Row],[Party Size]],Encounter_Mod[[#Headers],[Small]:[Large]],0))</f>
        <v>162.5</v>
      </c>
      <c r="AZ78" s="38">
        <f>SUM(PartyCompare_8[+2 (Medium)])/INDEX(Encounter_Mod[[Small]:[Large]], MATCH(PartyCompare_8[[#This Row],[Mob Size]], Encounter_Mod[Type], 0), MATCH(PartyCompare_8[[#This Row],[Party Size]],Encounter_Mod[[#Headers],[Small]:[Large]],0))</f>
        <v>325</v>
      </c>
      <c r="BA78" s="38">
        <f>SUM(PartyCompare_8[+2 (Hard)])/INDEX(Encounter_Mod[[Small]:[Large]], MATCH(PartyCompare_8[[#This Row],[Mob Size]], Encounter_Mod[Type], 0), MATCH(PartyCompare_8[[#This Row],[Party Size]],Encounter_Mod[[#Headers],[Small]:[Large]],0))</f>
        <v>487.5</v>
      </c>
      <c r="BB78" s="38">
        <f>SUM(PartyCompare_8[+2 (Deadly)])/INDEX(Encounter_Mod[[Small]:[Large]], MATCH(PartyCompare_8[[#This Row],[Mob Size]], Encounter_Mod[Type], 0), MATCH(PartyCompare_8[[#This Row],[Party Size]],Encounter_Mod[[#Headers],[Small]:[Large]],0))</f>
        <v>700</v>
      </c>
      <c r="BC78" s="46">
        <f>(PartyCompare_8[[#This Row],[+2 Easy]]-INDEX(PartyCompare_0[+2 Easy], MATCH(PartyCompare_8[[#This Row],[Mob Size]],PartyCompare_8[Mob Size],0)))/INDEX(PartyCompare_0[+2 Easy], MATCH(PartyCompare_8[[#This Row],[Mob Size]],PartyCompare_8[Mob Size],0))</f>
        <v>8.3333333333333329E-2</v>
      </c>
      <c r="BD78" s="39">
        <f>(PartyCompare_8[[#This Row],[+2 Medium]]-INDEX(PartyCompare_0[+2 Medium], MATCH(PartyCompare_8[[#This Row],[Mob Size]],PartyCompare_8[Mob Size],0)))/INDEX(PartyCompare_0[+2 Medium], MATCH(PartyCompare_8[[#This Row],[Mob Size]],PartyCompare_8[Mob Size],0))</f>
        <v>8.3333333333333329E-2</v>
      </c>
      <c r="BE78" s="39">
        <f>(PartyCompare_8[[#This Row],[+2 Hard]]-INDEX(PartyCompare_0[+2 Hard], MATCH(PartyCompare_8[[#This Row],[Mob Size]],PartyCompare_8[Mob Size],0)))/INDEX(PartyCompare_0[+2 Hard], MATCH(PartyCompare_8[[#This Row],[Mob Size]],PartyCompare_8[Mob Size],0))</f>
        <v>8.3333333333333329E-2</v>
      </c>
      <c r="BF78" s="34">
        <f>(PartyCompare_8[[#This Row],[+2 Deadly]]-INDEX(PartyCompare_0[+2 Deadly], MATCH(PartyCompare_8[[#This Row],[Mob Size]],PartyCompare_8[Mob Size],0)))/INDEX(PartyCompare_0[+2 Deadly], MATCH(PartyCompare_8[[#This Row],[Mob Size]],PartyCompare_8[Mob Size],0))</f>
        <v>-0.125</v>
      </c>
      <c r="BG78" s="48">
        <f>AVERAGE(PartyCompare_8[[#This Row],[+2 Easy Deviation]:[+2 Deadly Deviation]])</f>
        <v>3.125E-2</v>
      </c>
      <c r="BH78" s="36">
        <f>IF(ISNUMBER(PartyCompare_8[[#This Row],[Level]]), PartyCompare_8[[#This Row],[Level]]+3, PartyCompare_8[[#This Row],[Level]])</f>
        <v>4</v>
      </c>
      <c r="BI78" s="36">
        <f>INDEX(Encounter_Diff[Easy], MATCH(PartyCompare_8[[#This Row],[+3 Level]],Encounter_Diff[Player Level],0))</f>
        <v>125</v>
      </c>
      <c r="BJ78" s="36">
        <f>INDEX(Encounter_Diff[Medium], MATCH(PartyCompare_8[[#This Row],[+3 Level]],Encounter_Diff[Player Level],0))</f>
        <v>250</v>
      </c>
      <c r="BK78" s="36">
        <f>INDEX(Encounter_Diff[Hard], MATCH(PartyCompare_8[[#This Row],[+3 Level]],Encounter_Diff[Player Level],0))</f>
        <v>375</v>
      </c>
      <c r="BL78" s="36">
        <f>INDEX(Encounter_Diff[Deadly], MATCH(PartyCompare_8[[#This Row],[+3 Level]],Encounter_Diff[Player Level],0))</f>
        <v>500</v>
      </c>
      <c r="BM78" s="63">
        <f>SUM(PartyCompare_8[+3 (Easy)])/INDEX(Encounter_Mod[[Small]:[Large]], MATCH(PartyCompare_8[[#This Row],[Mob Size]], Encounter_Mod[Type], 0), MATCH(PartyCompare_8[[#This Row],[Party Size]],Encounter_Mod[[#Headers],[Small]:[Large]],0))</f>
        <v>312.5</v>
      </c>
      <c r="BN78" s="38">
        <f>SUM(PartyCompare_8[+3 (Medium)])/INDEX(Encounter_Mod[[Small]:[Large]], MATCH(PartyCompare_8[[#This Row],[Mob Size]], Encounter_Mod[Type], 0), MATCH(PartyCompare_8[[#This Row],[Party Size]],Encounter_Mod[[#Headers],[Small]:[Large]],0))</f>
        <v>625</v>
      </c>
      <c r="BO78" s="38">
        <f>SUM(PartyCompare_8[+3 (Hard)])/INDEX(Encounter_Mod[[Small]:[Large]], MATCH(PartyCompare_8[[#This Row],[Mob Size]], Encounter_Mod[Type], 0), MATCH(PartyCompare_8[[#This Row],[Party Size]],Encounter_Mod[[#Headers],[Small]:[Large]],0))</f>
        <v>937.5</v>
      </c>
      <c r="BP78" s="38">
        <f>SUM(PartyCompare_8[+3 (Deadly)])/INDEX(Encounter_Mod[[Small]:[Large]], MATCH(PartyCompare_8[[#This Row],[Mob Size]], Encounter_Mod[Type], 0), MATCH(PartyCompare_8[[#This Row],[Party Size]],Encounter_Mod[[#Headers],[Small]:[Large]],0))</f>
        <v>1350</v>
      </c>
      <c r="BQ78" s="46">
        <f>(PartyCompare_8[[#This Row],[+3 Easy]]-INDEX(PartyCompare_0[+3 Easy], MATCH(PartyCompare_8[[#This Row],[Mob Size]],PartyCompare_8[Mob Size],0)))/INDEX(PartyCompare_0[+3 Easy], MATCH(PartyCompare_8[[#This Row],[Mob Size]],PartyCompare_8[Mob Size],0))</f>
        <v>0.25</v>
      </c>
      <c r="BR78" s="39">
        <f>(PartyCompare_8[[#This Row],[+3 Medium]]-INDEX(PartyCompare_0[+3 Medium], MATCH(PartyCompare_8[[#This Row],[Mob Size]],PartyCompare_8[Mob Size],0)))/INDEX(PartyCompare_0[+3 Medium], MATCH(PartyCompare_8[[#This Row],[Mob Size]],PartyCompare_8[Mob Size],0))</f>
        <v>0.25</v>
      </c>
      <c r="BS78" s="39">
        <f>(PartyCompare_8[[#This Row],[+3 Hard]]-INDEX(PartyCompare_0[+3 Hard], MATCH(PartyCompare_8[[#This Row],[Mob Size]],PartyCompare_8[Mob Size],0)))/INDEX(PartyCompare_0[+3 Hard], MATCH(PartyCompare_8[[#This Row],[Mob Size]],PartyCompare_8[Mob Size],0))</f>
        <v>0.25</v>
      </c>
      <c r="BT78" s="34">
        <f>(PartyCompare_8[[#This Row],[+3 Deadly]]-INDEX(PartyCompare_0[+3 Deadly], MATCH(PartyCompare_8[[#This Row],[Mob Size]],PartyCompare_8[Mob Size],0)))/INDEX(PartyCompare_0[+3 Deadly], MATCH(PartyCompare_8[[#This Row],[Mob Size]],PartyCompare_8[Mob Size],0))</f>
        <v>0.35</v>
      </c>
      <c r="BU78" s="48">
        <f>AVERAGE(PartyCompare_8[[#This Row],[+3 Easy Deviation]:[+3 Deadly Deviation]])</f>
        <v>0.27500000000000002</v>
      </c>
      <c r="BV78" s="36">
        <f>IF(ISNUMBER(PartyCompare_8[[#This Row],[Level]]), PartyCompare_8[[#This Row],[Level]]+4, PartyCompare_8[[#This Row],[Level]])</f>
        <v>5</v>
      </c>
      <c r="BW78" s="36">
        <f>INDEX(Encounter_Diff[Easy], MATCH(PartyCompare_8[[#This Row],[+4 Level]],Encounter_Diff[Player Level],0))</f>
        <v>250</v>
      </c>
      <c r="BX78" s="36">
        <f>INDEX(Encounter_Diff[Medium], MATCH(PartyCompare_8[[#This Row],[+4 Level]],Encounter_Diff[Player Level],0))</f>
        <v>500</v>
      </c>
      <c r="BY78" s="36">
        <f>INDEX(Encounter_Diff[Hard], MATCH(PartyCompare_8[[#This Row],[+4 Level]],Encounter_Diff[Player Level],0))</f>
        <v>750</v>
      </c>
      <c r="BZ78" s="36">
        <f>INDEX(Encounter_Diff[Deadly], MATCH(PartyCompare_8[[#This Row],[+4 Level]],Encounter_Diff[Player Level],0))</f>
        <v>1100</v>
      </c>
      <c r="CA78" s="63">
        <f>SUM(PartyCompare_8[+4 (Easy)])/INDEX(Encounter_Mod[[Small]:[Large]], MATCH(PartyCompare_8[[#This Row],[Mob Size]], Encounter_Mod[Type], 0), MATCH(PartyCompare_8[[#This Row],[Party Size]],Encounter_Mod[[#Headers],[Small]:[Large]],0))</f>
        <v>425</v>
      </c>
      <c r="CB78" s="38">
        <f>SUM(PartyCompare_8[+4 (Medium)])/INDEX(Encounter_Mod[[Small]:[Large]], MATCH(PartyCompare_8[[#This Row],[Mob Size]], Encounter_Mod[Type], 0), MATCH(PartyCompare_8[[#This Row],[Party Size]],Encounter_Mod[[#Headers],[Small]:[Large]],0))</f>
        <v>850</v>
      </c>
      <c r="CC78" s="38">
        <f>SUM(PartyCompare_8[+4 (Hard)])/INDEX(Encounter_Mod[[Small]:[Large]], MATCH(PartyCompare_8[[#This Row],[Mob Size]], Encounter_Mod[Type], 0), MATCH(PartyCompare_8[[#This Row],[Party Size]],Encounter_Mod[[#Headers],[Small]:[Large]],0))</f>
        <v>1275</v>
      </c>
      <c r="CD78" s="38">
        <f>SUM(PartyCompare_8[+4 (Deadly)])/INDEX(Encounter_Mod[[Small]:[Large]], MATCH(PartyCompare_8[[#This Row],[Mob Size]], Encounter_Mod[Type], 0), MATCH(PartyCompare_8[[#This Row],[Party Size]],Encounter_Mod[[#Headers],[Small]:[Large]],0))</f>
        <v>1950</v>
      </c>
      <c r="CE78" s="46">
        <f>(PartyCompare_8[[#This Row],[+4 Easy]]-INDEX(PartyCompare_0[+4 Easy], MATCH(PartyCompare_8[[#This Row],[Mob Size]],PartyCompare_8[Mob Size],0)))/INDEX(PartyCompare_0[+4 Easy], MATCH(PartyCompare_8[[#This Row],[Mob Size]],PartyCompare_8[Mob Size],0))</f>
        <v>-0.15</v>
      </c>
      <c r="CF78" s="39">
        <f>(PartyCompare_8[[#This Row],[+4 Medium]]-INDEX(PartyCompare_0[+4 Medium], MATCH(PartyCompare_8[[#This Row],[Mob Size]],PartyCompare_8[Mob Size],0)))/INDEX(PartyCompare_0[+4 Medium], MATCH(PartyCompare_8[[#This Row],[Mob Size]],PartyCompare_8[Mob Size],0))</f>
        <v>-0.15</v>
      </c>
      <c r="CG78" s="39">
        <f>(PartyCompare_8[[#This Row],[+4 Hard]]-INDEX(PartyCompare_0[+4 Hard], MATCH(PartyCompare_8[[#This Row],[Mob Size]],PartyCompare_8[Mob Size],0)))/INDEX(PartyCompare_0[+4 Hard], MATCH(PartyCompare_8[[#This Row],[Mob Size]],PartyCompare_8[Mob Size],0))</f>
        <v>-0.15</v>
      </c>
      <c r="CH78" s="34">
        <f>(PartyCompare_8[[#This Row],[+4 Deadly]]-INDEX(PartyCompare_0[+4 Deadly], MATCH(PartyCompare_8[[#This Row],[Mob Size]],PartyCompare_8[Mob Size],0)))/INDEX(PartyCompare_0[+4 Deadly], MATCH(PartyCompare_8[[#This Row],[Mob Size]],PartyCompare_8[Mob Size],0))</f>
        <v>-0.11363636363636363</v>
      </c>
      <c r="CI78" s="48">
        <f>AVERAGE(PartyCompare_8[[#This Row],[+4 Easy Deviation]:[+4 Deadly Deviation]])</f>
        <v>-0.1409090909090909</v>
      </c>
    </row>
    <row r="79" spans="12:87" x14ac:dyDescent="0.2">
      <c r="L79" s="233"/>
      <c r="M79" s="91"/>
      <c r="N79" s="90"/>
      <c r="O79" s="32">
        <f>INDEX(Encounter_Diff[Easy], MATCH(PartyCompare_8[[#This Row],[Level]],Encounter_Diff[Player Level],0))</f>
        <v>0</v>
      </c>
      <c r="P79" s="32">
        <f>INDEX(Encounter_Diff[Medium], MATCH(PartyCompare_8[[#This Row],[Level]],Encounter_Diff[Player Level],0))</f>
        <v>0</v>
      </c>
      <c r="Q79" s="32">
        <f>INDEX(Encounter_Diff[Hard], MATCH(PartyCompare_8[[#This Row],[Level]],Encounter_Diff[Player Level],0))</f>
        <v>0</v>
      </c>
      <c r="R79" s="30">
        <f>INDEX(Encounter_Diff[Deadly], MATCH(PartyCompare_8[[#This Row],[Level]],Encounter_Diff[Player Level],0))</f>
        <v>0</v>
      </c>
      <c r="S79" s="97" t="str">
        <f t="shared" si="8"/>
        <v>2, 2, 1</v>
      </c>
      <c r="T79" s="32" t="str">
        <f>IF(COUNT(PartyCompare_8[Level])&lt;=2,"Small", IF(COUNT(PartyCompare_8[Level])&lt;=5,"Med", IF(COUNT(PartyCompare_8[Level])&lt;=8, "Large", "TOO BIG!")))</f>
        <v>Med</v>
      </c>
      <c r="U79" s="73" t="s">
        <v>110</v>
      </c>
      <c r="V79" s="77" t="str">
        <f>INDEX(Encounter_Mod[Count], MATCH(PartyCompare_8[[#This Row],[Mob Size]], Encounter_Mod[Type],0))</f>
        <v>7-10</v>
      </c>
      <c r="W79" s="81">
        <f>SUM(PartyCompare_8[(Easy)])/INDEX(Encounter_Mod[[Small]:[Large]], MATCH(PartyCompare_8[[#This Row],[Mob Size]], Encounter_Mod[Type], 0), MATCH(PartyCompare_8[[#This Row],[Party Size]],Encounter_Mod[[#Headers],[Small]:[Large]],0))</f>
        <v>50</v>
      </c>
      <c r="X79" s="42">
        <f>SUM(PartyCompare_8[(Medium)])/INDEX(Encounter_Mod[[Small]:[Large]], MATCH(PartyCompare_8[[#This Row],[Mob Size]], Encounter_Mod[Type], 0), MATCH(PartyCompare_8[[#This Row],[Party Size]],Encounter_Mod[[#Headers],[Small]:[Large]],0))</f>
        <v>100</v>
      </c>
      <c r="Y79" s="42">
        <f>SUM(PartyCompare_8[(Hard)])/INDEX(Encounter_Mod[[Small]:[Large]], MATCH(PartyCompare_8[[#This Row],[Mob Size]], Encounter_Mod[Type], 0), MATCH(PartyCompare_8[[#This Row],[Party Size]],Encounter_Mod[[#Headers],[Small]:[Large]],0))</f>
        <v>150</v>
      </c>
      <c r="Z79" s="43">
        <f>SUM(PartyCompare_8[(Deadly)])/INDEX(Encounter_Mod[[Small]:[Large]], MATCH(PartyCompare_8[[#This Row],[Mob Size]], Encounter_Mod[Type], 0), MATCH(PartyCompare_8[[#This Row],[Party Size]],Encounter_Mod[[#Headers],[Small]:[Large]],0))</f>
        <v>200</v>
      </c>
      <c r="AA79" s="46">
        <f>(PartyCompare_8[[#This Row],[Easy]]-INDEX(PartyCompare_0[Easy], MATCH(PartyCompare_8[[#This Row],[Mob Size]],PartyCompare_0[Mob Size],0)))/INDEX(PartyCompare_0[Easy], MATCH(PartyCompare_8[[#This Row],[Mob Size]],PartyCompare_0[Mob Size],0))</f>
        <v>0.25</v>
      </c>
      <c r="AB79" s="33">
        <f>(PartyCompare_8[[#This Row],[Medium]]-INDEX(PartyCompare_0[Medium], MATCH(PartyCompare_8[[#This Row],[Mob Size]],PartyCompare_0[Mob Size],0)))/INDEX(PartyCompare_0[Medium], MATCH(PartyCompare_8[[#This Row],[Mob Size]],PartyCompare_0[Mob Size],0))</f>
        <v>0.25</v>
      </c>
      <c r="AC79" s="33">
        <f>(PartyCompare_8[[#This Row],[Hard]]-INDEX(PartyCompare_0[Hard], MATCH(PartyCompare_8[[#This Row],[Mob Size]],PartyCompare_0[Mob Size],0)))/INDEX(PartyCompare_0[Hard], MATCH(PartyCompare_8[[#This Row],[Mob Size]],PartyCompare_0[Mob Size],0))</f>
        <v>0.25</v>
      </c>
      <c r="AD79" s="34">
        <f>(PartyCompare_8[[#This Row],[Deadly]]-INDEX(PartyCompare_0[Deadly], MATCH(PartyCompare_8[[#This Row],[Mob Size]],PartyCompare_0[Mob Size],0)))/INDEX(PartyCompare_0[Deadly], MATCH(PartyCompare_8[[#This Row],[Mob Size]],PartyCompare_0[Mob Size],0))</f>
        <v>0.25</v>
      </c>
      <c r="AE79" s="48">
        <f>AVERAGE(PartyCompare_8[[#This Row],[Easy Deviation]:[Deadly Deviation]])</f>
        <v>0.25</v>
      </c>
      <c r="AF79" s="36">
        <f>IF(ISNUMBER(PartyCompare_8[[#This Row],[Level]]), PartyCompare_8[[#This Row],[Level]]+1, PartyCompare_8[[#This Row],[Level]])</f>
        <v>0</v>
      </c>
      <c r="AG79" s="36">
        <f>INDEX(Encounter_Diff[Easy], MATCH(PartyCompare_8[[#This Row],[+1 Level]],Encounter_Diff[Player Level],0))</f>
        <v>0</v>
      </c>
      <c r="AH79" s="36">
        <f>INDEX(Encounter_Diff[Medium], MATCH(PartyCompare_8[[#This Row],[+1 Level]],Encounter_Diff[Player Level],0))</f>
        <v>0</v>
      </c>
      <c r="AI79" s="36">
        <f>INDEX(Encounter_Diff[Hard], MATCH(PartyCompare_8[[#This Row],[+1 Level]],Encounter_Diff[Player Level],0))</f>
        <v>0</v>
      </c>
      <c r="AJ79" s="36">
        <f>INDEX(Encounter_Diff[Deadly], MATCH(PartyCompare_8[[#This Row],[+1 Level]],Encounter_Diff[Player Level],0))</f>
        <v>0</v>
      </c>
      <c r="AK79" s="63">
        <f>SUM(PartyCompare_8[+1 (Easy)])/INDEX(Encounter_Mod[[Small]:[Large]], MATCH(PartyCompare_8[[#This Row],[Mob Size]], Encounter_Mod[Type], 0), MATCH(PartyCompare_8[[#This Row],[Party Size]],Encounter_Mod[[#Headers],[Small]:[Large]],0))</f>
        <v>80</v>
      </c>
      <c r="AL79" s="38">
        <f>SUM(PartyCompare_8[+1 (Medium)])/INDEX(Encounter_Mod[[Small]:[Large]], MATCH(PartyCompare_8[[#This Row],[Mob Size]], Encounter_Mod[Type], 0), MATCH(PartyCompare_8[[#This Row],[Party Size]],Encounter_Mod[[#Headers],[Small]:[Large]],0))</f>
        <v>160</v>
      </c>
      <c r="AM79" s="38">
        <f>SUM(PartyCompare_8[+1 (Hard)])/INDEX(Encounter_Mod[[Small]:[Large]], MATCH(PartyCompare_8[[#This Row],[Mob Size]], Encounter_Mod[Type], 0), MATCH(PartyCompare_8[[#This Row],[Party Size]],Encounter_Mod[[#Headers],[Small]:[Large]],0))</f>
        <v>240</v>
      </c>
      <c r="AN79" s="38">
        <f>SUM(PartyCompare_8[+1 (Deadly)])/INDEX(Encounter_Mod[[Small]:[Large]], MATCH(PartyCompare_8[[#This Row],[Mob Size]], Encounter_Mod[Type], 0), MATCH(PartyCompare_8[[#This Row],[Party Size]],Encounter_Mod[[#Headers],[Small]:[Large]],0))</f>
        <v>400</v>
      </c>
      <c r="AO79" s="46">
        <f>(PartyCompare_8[[#This Row],[+1 Easy]]-INDEX(PartyCompare_0[+1 Easy], MATCH(PartyCompare_8[[#This Row],[Mob Size]],PartyCompare_8[Mob Size],0)))/INDEX(PartyCompare_0[+1 Easy], MATCH(PartyCompare_8[[#This Row],[Mob Size]],PartyCompare_8[Mob Size],0))</f>
        <v>0</v>
      </c>
      <c r="AP79" s="39">
        <f>(PartyCompare_8[[#This Row],[+1 Medium]]-INDEX(PartyCompare_0[+1 Medium], MATCH(PartyCompare_8[[#This Row],[Mob Size]],PartyCompare_8[Mob Size],0)))/INDEX(PartyCompare_0[+1 Medium], MATCH(PartyCompare_8[[#This Row],[Mob Size]],PartyCompare_8[Mob Size],0))</f>
        <v>0</v>
      </c>
      <c r="AQ79" s="39">
        <f>(PartyCompare_8[[#This Row],[+1 Hard]]-INDEX(PartyCompare_0[+1 Hard], MATCH(PartyCompare_8[[#This Row],[Mob Size]],PartyCompare_8[Mob Size],0)))/INDEX(PartyCompare_0[+1 Hard], MATCH(PartyCompare_8[[#This Row],[Mob Size]],PartyCompare_8[Mob Size],0))</f>
        <v>0</v>
      </c>
      <c r="AR79" s="34">
        <f>(PartyCompare_8[[#This Row],[+1 Deadly]]-INDEX(PartyCompare_0[+1 Deadly], MATCH(PartyCompare_8[[#This Row],[Mob Size]],PartyCompare_8[Mob Size],0)))/INDEX(PartyCompare_0[+1 Deadly], MATCH(PartyCompare_8[[#This Row],[Mob Size]],PartyCompare_8[Mob Size],0))</f>
        <v>0.25</v>
      </c>
      <c r="AS79" s="48">
        <f>AVERAGE(PartyCompare_8[[#This Row],[+1 Easy Deviation]:[+1 Deadly Deviation]])</f>
        <v>6.25E-2</v>
      </c>
      <c r="AT79" s="36">
        <f>IF(ISNUMBER(PartyCompare_8[[#This Row],[Level]]), PartyCompare_8[[#This Row],[Level]]+2, PartyCompare_8[[#This Row],[Level]])</f>
        <v>0</v>
      </c>
      <c r="AU79" s="36">
        <f>INDEX(Encounter_Diff[Easy], MATCH(PartyCompare_8[[#This Row],[+2 Level]],Encounter_Diff[Player Level],0))</f>
        <v>0</v>
      </c>
      <c r="AV79" s="36">
        <f>INDEX(Encounter_Diff[Medium], MATCH(PartyCompare_8[[#This Row],[+2 Level]],Encounter_Diff[Player Level],0))</f>
        <v>0</v>
      </c>
      <c r="AW79" s="36">
        <f>INDEX(Encounter_Diff[Hard], MATCH(PartyCompare_8[[#This Row],[+2 Level]],Encounter_Diff[Player Level],0))</f>
        <v>0</v>
      </c>
      <c r="AX79" s="36">
        <f>INDEX(Encounter_Diff[Deadly], MATCH(PartyCompare_8[[#This Row],[+2 Level]],Encounter_Diff[Player Level],0))</f>
        <v>0</v>
      </c>
      <c r="AY79" s="63">
        <f>SUM(PartyCompare_8[+2 (Easy)])/INDEX(Encounter_Mod[[Small]:[Large]], MATCH(PartyCompare_8[[#This Row],[Mob Size]], Encounter_Mod[Type], 0), MATCH(PartyCompare_8[[#This Row],[Party Size]],Encounter_Mod[[#Headers],[Small]:[Large]],0))</f>
        <v>130</v>
      </c>
      <c r="AZ79" s="38">
        <f>SUM(PartyCompare_8[+2 (Medium)])/INDEX(Encounter_Mod[[Small]:[Large]], MATCH(PartyCompare_8[[#This Row],[Mob Size]], Encounter_Mod[Type], 0), MATCH(PartyCompare_8[[#This Row],[Party Size]],Encounter_Mod[[#Headers],[Small]:[Large]],0))</f>
        <v>260</v>
      </c>
      <c r="BA79" s="38">
        <f>SUM(PartyCompare_8[+2 (Hard)])/INDEX(Encounter_Mod[[Small]:[Large]], MATCH(PartyCompare_8[[#This Row],[Mob Size]], Encounter_Mod[Type], 0), MATCH(PartyCompare_8[[#This Row],[Party Size]],Encounter_Mod[[#Headers],[Small]:[Large]],0))</f>
        <v>390</v>
      </c>
      <c r="BB79" s="38">
        <f>SUM(PartyCompare_8[+2 (Deadly)])/INDEX(Encounter_Mod[[Small]:[Large]], MATCH(PartyCompare_8[[#This Row],[Mob Size]], Encounter_Mod[Type], 0), MATCH(PartyCompare_8[[#This Row],[Party Size]],Encounter_Mod[[#Headers],[Small]:[Large]],0))</f>
        <v>560</v>
      </c>
      <c r="BC79" s="46">
        <f>(PartyCompare_8[[#This Row],[+2 Easy]]-INDEX(PartyCompare_0[+2 Easy], MATCH(PartyCompare_8[[#This Row],[Mob Size]],PartyCompare_8[Mob Size],0)))/INDEX(PartyCompare_0[+2 Easy], MATCH(PartyCompare_8[[#This Row],[Mob Size]],PartyCompare_8[Mob Size],0))</f>
        <v>8.3333333333333329E-2</v>
      </c>
      <c r="BD79" s="39">
        <f>(PartyCompare_8[[#This Row],[+2 Medium]]-INDEX(PartyCompare_0[+2 Medium], MATCH(PartyCompare_8[[#This Row],[Mob Size]],PartyCompare_8[Mob Size],0)))/INDEX(PartyCompare_0[+2 Medium], MATCH(PartyCompare_8[[#This Row],[Mob Size]],PartyCompare_8[Mob Size],0))</f>
        <v>8.3333333333333329E-2</v>
      </c>
      <c r="BE79" s="39">
        <f>(PartyCompare_8[[#This Row],[+2 Hard]]-INDEX(PartyCompare_0[+2 Hard], MATCH(PartyCompare_8[[#This Row],[Mob Size]],PartyCompare_8[Mob Size],0)))/INDEX(PartyCompare_0[+2 Hard], MATCH(PartyCompare_8[[#This Row],[Mob Size]],PartyCompare_8[Mob Size],0))</f>
        <v>8.3333333333333329E-2</v>
      </c>
      <c r="BF79" s="34">
        <f>(PartyCompare_8[[#This Row],[+2 Deadly]]-INDEX(PartyCompare_0[+2 Deadly], MATCH(PartyCompare_8[[#This Row],[Mob Size]],PartyCompare_8[Mob Size],0)))/INDEX(PartyCompare_0[+2 Deadly], MATCH(PartyCompare_8[[#This Row],[Mob Size]],PartyCompare_8[Mob Size],0))</f>
        <v>-0.125</v>
      </c>
      <c r="BG79" s="48">
        <f>AVERAGE(PartyCompare_8[[#This Row],[+2 Easy Deviation]:[+2 Deadly Deviation]])</f>
        <v>3.125E-2</v>
      </c>
      <c r="BH79" s="36">
        <f>IF(ISNUMBER(PartyCompare_8[[#This Row],[Level]]), PartyCompare_8[[#This Row],[Level]]+3, PartyCompare_8[[#This Row],[Level]])</f>
        <v>0</v>
      </c>
      <c r="BI79" s="36">
        <f>INDEX(Encounter_Diff[Easy], MATCH(PartyCompare_8[[#This Row],[+3 Level]],Encounter_Diff[Player Level],0))</f>
        <v>0</v>
      </c>
      <c r="BJ79" s="36">
        <f>INDEX(Encounter_Diff[Medium], MATCH(PartyCompare_8[[#This Row],[+3 Level]],Encounter_Diff[Player Level],0))</f>
        <v>0</v>
      </c>
      <c r="BK79" s="36">
        <f>INDEX(Encounter_Diff[Hard], MATCH(PartyCompare_8[[#This Row],[+3 Level]],Encounter_Diff[Player Level],0))</f>
        <v>0</v>
      </c>
      <c r="BL79" s="36">
        <f>INDEX(Encounter_Diff[Deadly], MATCH(PartyCompare_8[[#This Row],[+3 Level]],Encounter_Diff[Player Level],0))</f>
        <v>0</v>
      </c>
      <c r="BM79" s="63">
        <f>SUM(PartyCompare_8[+3 (Easy)])/INDEX(Encounter_Mod[[Small]:[Large]], MATCH(PartyCompare_8[[#This Row],[Mob Size]], Encounter_Mod[Type], 0), MATCH(PartyCompare_8[[#This Row],[Party Size]],Encounter_Mod[[#Headers],[Small]:[Large]],0))</f>
        <v>250</v>
      </c>
      <c r="BN79" s="38">
        <f>SUM(PartyCompare_8[+3 (Medium)])/INDEX(Encounter_Mod[[Small]:[Large]], MATCH(PartyCompare_8[[#This Row],[Mob Size]], Encounter_Mod[Type], 0), MATCH(PartyCompare_8[[#This Row],[Party Size]],Encounter_Mod[[#Headers],[Small]:[Large]],0))</f>
        <v>500</v>
      </c>
      <c r="BO79" s="38">
        <f>SUM(PartyCompare_8[+3 (Hard)])/INDEX(Encounter_Mod[[Small]:[Large]], MATCH(PartyCompare_8[[#This Row],[Mob Size]], Encounter_Mod[Type], 0), MATCH(PartyCompare_8[[#This Row],[Party Size]],Encounter_Mod[[#Headers],[Small]:[Large]],0))</f>
        <v>750</v>
      </c>
      <c r="BP79" s="38">
        <f>SUM(PartyCompare_8[+3 (Deadly)])/INDEX(Encounter_Mod[[Small]:[Large]], MATCH(PartyCompare_8[[#This Row],[Mob Size]], Encounter_Mod[Type], 0), MATCH(PartyCompare_8[[#This Row],[Party Size]],Encounter_Mod[[#Headers],[Small]:[Large]],0))</f>
        <v>1080</v>
      </c>
      <c r="BQ79" s="46">
        <f>(PartyCompare_8[[#This Row],[+3 Easy]]-INDEX(PartyCompare_0[+3 Easy], MATCH(PartyCompare_8[[#This Row],[Mob Size]],PartyCompare_8[Mob Size],0)))/INDEX(PartyCompare_0[+3 Easy], MATCH(PartyCompare_8[[#This Row],[Mob Size]],PartyCompare_8[Mob Size],0))</f>
        <v>0.25</v>
      </c>
      <c r="BR79" s="39">
        <f>(PartyCompare_8[[#This Row],[+3 Medium]]-INDEX(PartyCompare_0[+3 Medium], MATCH(PartyCompare_8[[#This Row],[Mob Size]],PartyCompare_8[Mob Size],0)))/INDEX(PartyCompare_0[+3 Medium], MATCH(PartyCompare_8[[#This Row],[Mob Size]],PartyCompare_8[Mob Size],0))</f>
        <v>0.25</v>
      </c>
      <c r="BS79" s="39">
        <f>(PartyCompare_8[[#This Row],[+3 Hard]]-INDEX(PartyCompare_0[+3 Hard], MATCH(PartyCompare_8[[#This Row],[Mob Size]],PartyCompare_8[Mob Size],0)))/INDEX(PartyCompare_0[+3 Hard], MATCH(PartyCompare_8[[#This Row],[Mob Size]],PartyCompare_8[Mob Size],0))</f>
        <v>0.25</v>
      </c>
      <c r="BT79" s="34">
        <f>(PartyCompare_8[[#This Row],[+3 Deadly]]-INDEX(PartyCompare_0[+3 Deadly], MATCH(PartyCompare_8[[#This Row],[Mob Size]],PartyCompare_8[Mob Size],0)))/INDEX(PartyCompare_0[+3 Deadly], MATCH(PartyCompare_8[[#This Row],[Mob Size]],PartyCompare_8[Mob Size],0))</f>
        <v>0.35</v>
      </c>
      <c r="BU79" s="48">
        <f>AVERAGE(PartyCompare_8[[#This Row],[+3 Easy Deviation]:[+3 Deadly Deviation]])</f>
        <v>0.27500000000000002</v>
      </c>
      <c r="BV79" s="36">
        <f>IF(ISNUMBER(PartyCompare_8[[#This Row],[Level]]), PartyCompare_8[[#This Row],[Level]]+4, PartyCompare_8[[#This Row],[Level]])</f>
        <v>0</v>
      </c>
      <c r="BW79" s="36">
        <f>INDEX(Encounter_Diff[Easy], MATCH(PartyCompare_8[[#This Row],[+4 Level]],Encounter_Diff[Player Level],0))</f>
        <v>0</v>
      </c>
      <c r="BX79" s="36">
        <f>INDEX(Encounter_Diff[Medium], MATCH(PartyCompare_8[[#This Row],[+4 Level]],Encounter_Diff[Player Level],0))</f>
        <v>0</v>
      </c>
      <c r="BY79" s="36">
        <f>INDEX(Encounter_Diff[Hard], MATCH(PartyCompare_8[[#This Row],[+4 Level]],Encounter_Diff[Player Level],0))</f>
        <v>0</v>
      </c>
      <c r="BZ79" s="36">
        <f>INDEX(Encounter_Diff[Deadly], MATCH(PartyCompare_8[[#This Row],[+4 Level]],Encounter_Diff[Player Level],0))</f>
        <v>0</v>
      </c>
      <c r="CA79" s="63">
        <f>SUM(PartyCompare_8[+4 (Easy)])/INDEX(Encounter_Mod[[Small]:[Large]], MATCH(PartyCompare_8[[#This Row],[Mob Size]], Encounter_Mod[Type], 0), MATCH(PartyCompare_8[[#This Row],[Party Size]],Encounter_Mod[[#Headers],[Small]:[Large]],0))</f>
        <v>340</v>
      </c>
      <c r="CB79" s="38">
        <f>SUM(PartyCompare_8[+4 (Medium)])/INDEX(Encounter_Mod[[Small]:[Large]], MATCH(PartyCompare_8[[#This Row],[Mob Size]], Encounter_Mod[Type], 0), MATCH(PartyCompare_8[[#This Row],[Party Size]],Encounter_Mod[[#Headers],[Small]:[Large]],0))</f>
        <v>680</v>
      </c>
      <c r="CC79" s="38">
        <f>SUM(PartyCompare_8[+4 (Hard)])/INDEX(Encounter_Mod[[Small]:[Large]], MATCH(PartyCompare_8[[#This Row],[Mob Size]], Encounter_Mod[Type], 0), MATCH(PartyCompare_8[[#This Row],[Party Size]],Encounter_Mod[[#Headers],[Small]:[Large]],0))</f>
        <v>1020</v>
      </c>
      <c r="CD79" s="38">
        <f>SUM(PartyCompare_8[+4 (Deadly)])/INDEX(Encounter_Mod[[Small]:[Large]], MATCH(PartyCompare_8[[#This Row],[Mob Size]], Encounter_Mod[Type], 0), MATCH(PartyCompare_8[[#This Row],[Party Size]],Encounter_Mod[[#Headers],[Small]:[Large]],0))</f>
        <v>1560</v>
      </c>
      <c r="CE79" s="46">
        <f>(PartyCompare_8[[#This Row],[+4 Easy]]-INDEX(PartyCompare_0[+4 Easy], MATCH(PartyCompare_8[[#This Row],[Mob Size]],PartyCompare_8[Mob Size],0)))/INDEX(PartyCompare_0[+4 Easy], MATCH(PartyCompare_8[[#This Row],[Mob Size]],PartyCompare_8[Mob Size],0))</f>
        <v>-0.15</v>
      </c>
      <c r="CF79" s="39">
        <f>(PartyCompare_8[[#This Row],[+4 Medium]]-INDEX(PartyCompare_0[+4 Medium], MATCH(PartyCompare_8[[#This Row],[Mob Size]],PartyCompare_8[Mob Size],0)))/INDEX(PartyCompare_0[+4 Medium], MATCH(PartyCompare_8[[#This Row],[Mob Size]],PartyCompare_8[Mob Size],0))</f>
        <v>-0.15</v>
      </c>
      <c r="CG79" s="39">
        <f>(PartyCompare_8[[#This Row],[+4 Hard]]-INDEX(PartyCompare_0[+4 Hard], MATCH(PartyCompare_8[[#This Row],[Mob Size]],PartyCompare_8[Mob Size],0)))/INDEX(PartyCompare_0[+4 Hard], MATCH(PartyCompare_8[[#This Row],[Mob Size]],PartyCompare_8[Mob Size],0))</f>
        <v>-0.15</v>
      </c>
      <c r="CH79" s="34">
        <f>(PartyCompare_8[[#This Row],[+4 Deadly]]-INDEX(PartyCompare_0[+4 Deadly], MATCH(PartyCompare_8[[#This Row],[Mob Size]],PartyCompare_8[Mob Size],0)))/INDEX(PartyCompare_0[+4 Deadly], MATCH(PartyCompare_8[[#This Row],[Mob Size]],PartyCompare_8[Mob Size],0))</f>
        <v>-0.11363636363636363</v>
      </c>
      <c r="CI79" s="48">
        <f>AVERAGE(PartyCompare_8[[#This Row],[+4 Easy Deviation]:[+4 Deadly Deviation]])</f>
        <v>-0.1409090909090909</v>
      </c>
    </row>
    <row r="80" spans="12:87" x14ac:dyDescent="0.2">
      <c r="L80" s="233"/>
      <c r="M80" s="91"/>
      <c r="N80" s="90"/>
      <c r="O80" s="32">
        <f>INDEX(Encounter_Diff[Easy], MATCH(PartyCompare_8[[#This Row],[Level]],Encounter_Diff[Player Level],0))</f>
        <v>0</v>
      </c>
      <c r="P80" s="32">
        <f>INDEX(Encounter_Diff[Medium], MATCH(PartyCompare_8[[#This Row],[Level]],Encounter_Diff[Player Level],0))</f>
        <v>0</v>
      </c>
      <c r="Q80" s="32">
        <f>INDEX(Encounter_Diff[Hard], MATCH(PartyCompare_8[[#This Row],[Level]],Encounter_Diff[Player Level],0))</f>
        <v>0</v>
      </c>
      <c r="R80" s="30">
        <f>INDEX(Encounter_Diff[Deadly], MATCH(PartyCompare_8[[#This Row],[Level]],Encounter_Diff[Player Level],0))</f>
        <v>0</v>
      </c>
      <c r="S80" s="97" t="str">
        <f t="shared" si="8"/>
        <v>2, 2, 1</v>
      </c>
      <c r="T80" s="32" t="str">
        <f>IF(COUNT(PartyCompare_8[Level])&lt;=2,"Small", IF(COUNT(PartyCompare_8[Level])&lt;=5,"Med", IF(COUNT(PartyCompare_8[Level])&lt;=8, "Large", "TOO BIG!")))</f>
        <v>Med</v>
      </c>
      <c r="U80" s="73" t="s">
        <v>111</v>
      </c>
      <c r="V80" s="77" t="str">
        <f>INDEX(Encounter_Mod[Count], MATCH(PartyCompare_8[[#This Row],[Mob Size]], Encounter_Mod[Type],0))</f>
        <v>11-14</v>
      </c>
      <c r="W80" s="81">
        <f>SUM(PartyCompare_8[(Easy)])/INDEX(Encounter_Mod[[Small]:[Large]], MATCH(PartyCompare_8[[#This Row],[Mob Size]], Encounter_Mod[Type], 0), MATCH(PartyCompare_8[[#This Row],[Party Size]],Encounter_Mod[[#Headers],[Small]:[Large]],0))</f>
        <v>41.666666666666664</v>
      </c>
      <c r="X80" s="42">
        <f>SUM(PartyCompare_8[(Medium)])/INDEX(Encounter_Mod[[Small]:[Large]], MATCH(PartyCompare_8[[#This Row],[Mob Size]], Encounter_Mod[Type], 0), MATCH(PartyCompare_8[[#This Row],[Party Size]],Encounter_Mod[[#Headers],[Small]:[Large]],0))</f>
        <v>83.333333333333329</v>
      </c>
      <c r="Y80" s="42">
        <f>SUM(PartyCompare_8[(Hard)])/INDEX(Encounter_Mod[[Small]:[Large]], MATCH(PartyCompare_8[[#This Row],[Mob Size]], Encounter_Mod[Type], 0), MATCH(PartyCompare_8[[#This Row],[Party Size]],Encounter_Mod[[#Headers],[Small]:[Large]],0))</f>
        <v>125</v>
      </c>
      <c r="Z80" s="43">
        <f>SUM(PartyCompare_8[(Deadly)])/INDEX(Encounter_Mod[[Small]:[Large]], MATCH(PartyCompare_8[[#This Row],[Mob Size]], Encounter_Mod[Type], 0), MATCH(PartyCompare_8[[#This Row],[Party Size]],Encounter_Mod[[#Headers],[Small]:[Large]],0))</f>
        <v>166.66666666666666</v>
      </c>
      <c r="AA80" s="46">
        <f>(PartyCompare_8[[#This Row],[Easy]]-INDEX(PartyCompare_0[Easy], MATCH(PartyCompare_8[[#This Row],[Mob Size]],PartyCompare_0[Mob Size],0)))/INDEX(PartyCompare_0[Easy], MATCH(PartyCompare_8[[#This Row],[Mob Size]],PartyCompare_0[Mob Size],0))</f>
        <v>0.24999999999999983</v>
      </c>
      <c r="AB80" s="33">
        <f>(PartyCompare_8[[#This Row],[Medium]]-INDEX(PartyCompare_0[Medium], MATCH(PartyCompare_8[[#This Row],[Mob Size]],PartyCompare_0[Mob Size],0)))/INDEX(PartyCompare_0[Medium], MATCH(PartyCompare_8[[#This Row],[Mob Size]],PartyCompare_0[Mob Size],0))</f>
        <v>0.24999999999999983</v>
      </c>
      <c r="AC80" s="33">
        <f>(PartyCompare_8[[#This Row],[Hard]]-INDEX(PartyCompare_0[Hard], MATCH(PartyCompare_8[[#This Row],[Mob Size]],PartyCompare_0[Mob Size],0)))/INDEX(PartyCompare_0[Hard], MATCH(PartyCompare_8[[#This Row],[Mob Size]],PartyCompare_0[Mob Size],0))</f>
        <v>0.25</v>
      </c>
      <c r="AD80" s="34">
        <f>(PartyCompare_8[[#This Row],[Deadly]]-INDEX(PartyCompare_0[Deadly], MATCH(PartyCompare_8[[#This Row],[Mob Size]],PartyCompare_0[Mob Size],0)))/INDEX(PartyCompare_0[Deadly], MATCH(PartyCompare_8[[#This Row],[Mob Size]],PartyCompare_0[Mob Size],0))</f>
        <v>0.24999999999999983</v>
      </c>
      <c r="AE80" s="48">
        <f>AVERAGE(PartyCompare_8[[#This Row],[Easy Deviation]:[Deadly Deviation]])</f>
        <v>0.24999999999999989</v>
      </c>
      <c r="AF80" s="36">
        <f>IF(ISNUMBER(PartyCompare_8[[#This Row],[Level]]), PartyCompare_8[[#This Row],[Level]]+1, PartyCompare_8[[#This Row],[Level]])</f>
        <v>0</v>
      </c>
      <c r="AG80" s="36">
        <f>INDEX(Encounter_Diff[Easy], MATCH(PartyCompare_8[[#This Row],[+1 Level]],Encounter_Diff[Player Level],0))</f>
        <v>0</v>
      </c>
      <c r="AH80" s="36">
        <f>INDEX(Encounter_Diff[Medium], MATCH(PartyCompare_8[[#This Row],[+1 Level]],Encounter_Diff[Player Level],0))</f>
        <v>0</v>
      </c>
      <c r="AI80" s="36">
        <f>INDEX(Encounter_Diff[Hard], MATCH(PartyCompare_8[[#This Row],[+1 Level]],Encounter_Diff[Player Level],0))</f>
        <v>0</v>
      </c>
      <c r="AJ80" s="36">
        <f>INDEX(Encounter_Diff[Deadly], MATCH(PartyCompare_8[[#This Row],[+1 Level]],Encounter_Diff[Player Level],0))</f>
        <v>0</v>
      </c>
      <c r="AK80" s="63">
        <f>SUM(PartyCompare_8[+1 (Easy)])/INDEX(Encounter_Mod[[Small]:[Large]], MATCH(PartyCompare_8[[#This Row],[Mob Size]], Encounter_Mod[Type], 0), MATCH(PartyCompare_8[[#This Row],[Party Size]],Encounter_Mod[[#Headers],[Small]:[Large]],0))</f>
        <v>66.666666666666671</v>
      </c>
      <c r="AL80" s="38">
        <f>SUM(PartyCompare_8[+1 (Medium)])/INDEX(Encounter_Mod[[Small]:[Large]], MATCH(PartyCompare_8[[#This Row],[Mob Size]], Encounter_Mod[Type], 0), MATCH(PartyCompare_8[[#This Row],[Party Size]],Encounter_Mod[[#Headers],[Small]:[Large]],0))</f>
        <v>133.33333333333334</v>
      </c>
      <c r="AM80" s="38">
        <f>SUM(PartyCompare_8[+1 (Hard)])/INDEX(Encounter_Mod[[Small]:[Large]], MATCH(PartyCompare_8[[#This Row],[Mob Size]], Encounter_Mod[Type], 0), MATCH(PartyCompare_8[[#This Row],[Party Size]],Encounter_Mod[[#Headers],[Small]:[Large]],0))</f>
        <v>200</v>
      </c>
      <c r="AN80" s="38">
        <f>SUM(PartyCompare_8[+1 (Deadly)])/INDEX(Encounter_Mod[[Small]:[Large]], MATCH(PartyCompare_8[[#This Row],[Mob Size]], Encounter_Mod[Type], 0), MATCH(PartyCompare_8[[#This Row],[Party Size]],Encounter_Mod[[#Headers],[Small]:[Large]],0))</f>
        <v>333.33333333333331</v>
      </c>
      <c r="AO80" s="46">
        <f>(PartyCompare_8[[#This Row],[+1 Easy]]-INDEX(PartyCompare_0[+1 Easy], MATCH(PartyCompare_8[[#This Row],[Mob Size]],PartyCompare_8[Mob Size],0)))/INDEX(PartyCompare_0[+1 Easy], MATCH(PartyCompare_8[[#This Row],[Mob Size]],PartyCompare_8[Mob Size],0))</f>
        <v>0</v>
      </c>
      <c r="AP80" s="39">
        <f>(PartyCompare_8[[#This Row],[+1 Medium]]-INDEX(PartyCompare_0[+1 Medium], MATCH(PartyCompare_8[[#This Row],[Mob Size]],PartyCompare_8[Mob Size],0)))/INDEX(PartyCompare_0[+1 Medium], MATCH(PartyCompare_8[[#This Row],[Mob Size]],PartyCompare_8[Mob Size],0))</f>
        <v>0</v>
      </c>
      <c r="AQ80" s="39">
        <f>(PartyCompare_8[[#This Row],[+1 Hard]]-INDEX(PartyCompare_0[+1 Hard], MATCH(PartyCompare_8[[#This Row],[Mob Size]],PartyCompare_8[Mob Size],0)))/INDEX(PartyCompare_0[+1 Hard], MATCH(PartyCompare_8[[#This Row],[Mob Size]],PartyCompare_8[Mob Size],0))</f>
        <v>0</v>
      </c>
      <c r="AR80" s="34">
        <f>(PartyCompare_8[[#This Row],[+1 Deadly]]-INDEX(PartyCompare_0[+1 Deadly], MATCH(PartyCompare_8[[#This Row],[Mob Size]],PartyCompare_8[Mob Size],0)))/INDEX(PartyCompare_0[+1 Deadly], MATCH(PartyCompare_8[[#This Row],[Mob Size]],PartyCompare_8[Mob Size],0))</f>
        <v>0.24999999999999983</v>
      </c>
      <c r="AS80" s="48">
        <f>AVERAGE(PartyCompare_8[[#This Row],[+1 Easy Deviation]:[+1 Deadly Deviation]])</f>
        <v>6.2499999999999958E-2</v>
      </c>
      <c r="AT80" s="36">
        <f>IF(ISNUMBER(PartyCompare_8[[#This Row],[Level]]), PartyCompare_8[[#This Row],[Level]]+2, PartyCompare_8[[#This Row],[Level]])</f>
        <v>0</v>
      </c>
      <c r="AU80" s="36">
        <f>INDEX(Encounter_Diff[Easy], MATCH(PartyCompare_8[[#This Row],[+2 Level]],Encounter_Diff[Player Level],0))</f>
        <v>0</v>
      </c>
      <c r="AV80" s="36">
        <f>INDEX(Encounter_Diff[Medium], MATCH(PartyCompare_8[[#This Row],[+2 Level]],Encounter_Diff[Player Level],0))</f>
        <v>0</v>
      </c>
      <c r="AW80" s="36">
        <f>INDEX(Encounter_Diff[Hard], MATCH(PartyCompare_8[[#This Row],[+2 Level]],Encounter_Diff[Player Level],0))</f>
        <v>0</v>
      </c>
      <c r="AX80" s="36">
        <f>INDEX(Encounter_Diff[Deadly], MATCH(PartyCompare_8[[#This Row],[+2 Level]],Encounter_Diff[Player Level],0))</f>
        <v>0</v>
      </c>
      <c r="AY80" s="63">
        <f>SUM(PartyCompare_8[+2 (Easy)])/INDEX(Encounter_Mod[[Small]:[Large]], MATCH(PartyCompare_8[[#This Row],[Mob Size]], Encounter_Mod[Type], 0), MATCH(PartyCompare_8[[#This Row],[Party Size]],Encounter_Mod[[#Headers],[Small]:[Large]],0))</f>
        <v>108.33333333333333</v>
      </c>
      <c r="AZ80" s="38">
        <f>SUM(PartyCompare_8[+2 (Medium)])/INDEX(Encounter_Mod[[Small]:[Large]], MATCH(PartyCompare_8[[#This Row],[Mob Size]], Encounter_Mod[Type], 0), MATCH(PartyCompare_8[[#This Row],[Party Size]],Encounter_Mod[[#Headers],[Small]:[Large]],0))</f>
        <v>216.66666666666666</v>
      </c>
      <c r="BA80" s="38">
        <f>SUM(PartyCompare_8[+2 (Hard)])/INDEX(Encounter_Mod[[Small]:[Large]], MATCH(PartyCompare_8[[#This Row],[Mob Size]], Encounter_Mod[Type], 0), MATCH(PartyCompare_8[[#This Row],[Party Size]],Encounter_Mod[[#Headers],[Small]:[Large]],0))</f>
        <v>325</v>
      </c>
      <c r="BB80" s="38">
        <f>SUM(PartyCompare_8[+2 (Deadly)])/INDEX(Encounter_Mod[[Small]:[Large]], MATCH(PartyCompare_8[[#This Row],[Mob Size]], Encounter_Mod[Type], 0), MATCH(PartyCompare_8[[#This Row],[Party Size]],Encounter_Mod[[#Headers],[Small]:[Large]],0))</f>
        <v>466.66666666666669</v>
      </c>
      <c r="BC80" s="46">
        <f>(PartyCompare_8[[#This Row],[+2 Easy]]-INDEX(PartyCompare_0[+2 Easy], MATCH(PartyCompare_8[[#This Row],[Mob Size]],PartyCompare_8[Mob Size],0)))/INDEX(PartyCompare_0[+2 Easy], MATCH(PartyCompare_8[[#This Row],[Mob Size]],PartyCompare_8[Mob Size],0))</f>
        <v>8.3333333333333287E-2</v>
      </c>
      <c r="BD80" s="39">
        <f>(PartyCompare_8[[#This Row],[+2 Medium]]-INDEX(PartyCompare_0[+2 Medium], MATCH(PartyCompare_8[[#This Row],[Mob Size]],PartyCompare_8[Mob Size],0)))/INDEX(PartyCompare_0[+2 Medium], MATCH(PartyCompare_8[[#This Row],[Mob Size]],PartyCompare_8[Mob Size],0))</f>
        <v>8.3333333333333287E-2</v>
      </c>
      <c r="BE80" s="39">
        <f>(PartyCompare_8[[#This Row],[+2 Hard]]-INDEX(PartyCompare_0[+2 Hard], MATCH(PartyCompare_8[[#This Row],[Mob Size]],PartyCompare_8[Mob Size],0)))/INDEX(PartyCompare_0[+2 Hard], MATCH(PartyCompare_8[[#This Row],[Mob Size]],PartyCompare_8[Mob Size],0))</f>
        <v>8.3333333333333329E-2</v>
      </c>
      <c r="BF80" s="34">
        <f>(PartyCompare_8[[#This Row],[+2 Deadly]]-INDEX(PartyCompare_0[+2 Deadly], MATCH(PartyCompare_8[[#This Row],[Mob Size]],PartyCompare_8[Mob Size],0)))/INDEX(PartyCompare_0[+2 Deadly], MATCH(PartyCompare_8[[#This Row],[Mob Size]],PartyCompare_8[Mob Size],0))</f>
        <v>-0.12500000000000003</v>
      </c>
      <c r="BG80" s="48">
        <f>AVERAGE(PartyCompare_8[[#This Row],[+2 Easy Deviation]:[+2 Deadly Deviation]])</f>
        <v>3.1249999999999965E-2</v>
      </c>
      <c r="BH80" s="36">
        <f>IF(ISNUMBER(PartyCompare_8[[#This Row],[Level]]), PartyCompare_8[[#This Row],[Level]]+3, PartyCompare_8[[#This Row],[Level]])</f>
        <v>0</v>
      </c>
      <c r="BI80" s="36">
        <f>INDEX(Encounter_Diff[Easy], MATCH(PartyCompare_8[[#This Row],[+3 Level]],Encounter_Diff[Player Level],0))</f>
        <v>0</v>
      </c>
      <c r="BJ80" s="36">
        <f>INDEX(Encounter_Diff[Medium], MATCH(PartyCompare_8[[#This Row],[+3 Level]],Encounter_Diff[Player Level],0))</f>
        <v>0</v>
      </c>
      <c r="BK80" s="36">
        <f>INDEX(Encounter_Diff[Hard], MATCH(PartyCompare_8[[#This Row],[+3 Level]],Encounter_Diff[Player Level],0))</f>
        <v>0</v>
      </c>
      <c r="BL80" s="36">
        <f>INDEX(Encounter_Diff[Deadly], MATCH(PartyCompare_8[[#This Row],[+3 Level]],Encounter_Diff[Player Level],0))</f>
        <v>0</v>
      </c>
      <c r="BM80" s="63">
        <f>SUM(PartyCompare_8[+3 (Easy)])/INDEX(Encounter_Mod[[Small]:[Large]], MATCH(PartyCompare_8[[#This Row],[Mob Size]], Encounter_Mod[Type], 0), MATCH(PartyCompare_8[[#This Row],[Party Size]],Encounter_Mod[[#Headers],[Small]:[Large]],0))</f>
        <v>208.33333333333334</v>
      </c>
      <c r="BN80" s="38">
        <f>SUM(PartyCompare_8[+3 (Medium)])/INDEX(Encounter_Mod[[Small]:[Large]], MATCH(PartyCompare_8[[#This Row],[Mob Size]], Encounter_Mod[Type], 0), MATCH(PartyCompare_8[[#This Row],[Party Size]],Encounter_Mod[[#Headers],[Small]:[Large]],0))</f>
        <v>416.66666666666669</v>
      </c>
      <c r="BO80" s="38">
        <f>SUM(PartyCompare_8[+3 (Hard)])/INDEX(Encounter_Mod[[Small]:[Large]], MATCH(PartyCompare_8[[#This Row],[Mob Size]], Encounter_Mod[Type], 0), MATCH(PartyCompare_8[[#This Row],[Party Size]],Encounter_Mod[[#Headers],[Small]:[Large]],0))</f>
        <v>625</v>
      </c>
      <c r="BP80" s="38">
        <f>SUM(PartyCompare_8[+3 (Deadly)])/INDEX(Encounter_Mod[[Small]:[Large]], MATCH(PartyCompare_8[[#This Row],[Mob Size]], Encounter_Mod[Type], 0), MATCH(PartyCompare_8[[#This Row],[Party Size]],Encounter_Mod[[#Headers],[Small]:[Large]],0))</f>
        <v>900</v>
      </c>
      <c r="BQ80" s="46">
        <f>(PartyCompare_8[[#This Row],[+3 Easy]]-INDEX(PartyCompare_0[+3 Easy], MATCH(PartyCompare_8[[#This Row],[Mob Size]],PartyCompare_8[Mob Size],0)))/INDEX(PartyCompare_0[+3 Easy], MATCH(PartyCompare_8[[#This Row],[Mob Size]],PartyCompare_8[Mob Size],0))</f>
        <v>0.25000000000000011</v>
      </c>
      <c r="BR80" s="39">
        <f>(PartyCompare_8[[#This Row],[+3 Medium]]-INDEX(PartyCompare_0[+3 Medium], MATCH(PartyCompare_8[[#This Row],[Mob Size]],PartyCompare_8[Mob Size],0)))/INDEX(PartyCompare_0[+3 Medium], MATCH(PartyCompare_8[[#This Row],[Mob Size]],PartyCompare_8[Mob Size],0))</f>
        <v>0.25000000000000011</v>
      </c>
      <c r="BS80" s="39">
        <f>(PartyCompare_8[[#This Row],[+3 Hard]]-INDEX(PartyCompare_0[+3 Hard], MATCH(PartyCompare_8[[#This Row],[Mob Size]],PartyCompare_8[Mob Size],0)))/INDEX(PartyCompare_0[+3 Hard], MATCH(PartyCompare_8[[#This Row],[Mob Size]],PartyCompare_8[Mob Size],0))</f>
        <v>0.25</v>
      </c>
      <c r="BT80" s="34">
        <f>(PartyCompare_8[[#This Row],[+3 Deadly]]-INDEX(PartyCompare_0[+3 Deadly], MATCH(PartyCompare_8[[#This Row],[Mob Size]],PartyCompare_8[Mob Size],0)))/INDEX(PartyCompare_0[+3 Deadly], MATCH(PartyCompare_8[[#This Row],[Mob Size]],PartyCompare_8[Mob Size],0))</f>
        <v>0.35000000000000009</v>
      </c>
      <c r="BU80" s="48">
        <f>AVERAGE(PartyCompare_8[[#This Row],[+3 Easy Deviation]:[+3 Deadly Deviation]])</f>
        <v>0.27500000000000008</v>
      </c>
      <c r="BV80" s="36">
        <f>IF(ISNUMBER(PartyCompare_8[[#This Row],[Level]]), PartyCompare_8[[#This Row],[Level]]+4, PartyCompare_8[[#This Row],[Level]])</f>
        <v>0</v>
      </c>
      <c r="BW80" s="36">
        <f>INDEX(Encounter_Diff[Easy], MATCH(PartyCompare_8[[#This Row],[+4 Level]],Encounter_Diff[Player Level],0))</f>
        <v>0</v>
      </c>
      <c r="BX80" s="36">
        <f>INDEX(Encounter_Diff[Medium], MATCH(PartyCompare_8[[#This Row],[+4 Level]],Encounter_Diff[Player Level],0))</f>
        <v>0</v>
      </c>
      <c r="BY80" s="36">
        <f>INDEX(Encounter_Diff[Hard], MATCH(PartyCompare_8[[#This Row],[+4 Level]],Encounter_Diff[Player Level],0))</f>
        <v>0</v>
      </c>
      <c r="BZ80" s="36">
        <f>INDEX(Encounter_Diff[Deadly], MATCH(PartyCompare_8[[#This Row],[+4 Level]],Encounter_Diff[Player Level],0))</f>
        <v>0</v>
      </c>
      <c r="CA80" s="63">
        <f>SUM(PartyCompare_8[+4 (Easy)])/INDEX(Encounter_Mod[[Small]:[Large]], MATCH(PartyCompare_8[[#This Row],[Mob Size]], Encounter_Mod[Type], 0), MATCH(PartyCompare_8[[#This Row],[Party Size]],Encounter_Mod[[#Headers],[Small]:[Large]],0))</f>
        <v>283.33333333333331</v>
      </c>
      <c r="CB80" s="38">
        <f>SUM(PartyCompare_8[+4 (Medium)])/INDEX(Encounter_Mod[[Small]:[Large]], MATCH(PartyCompare_8[[#This Row],[Mob Size]], Encounter_Mod[Type], 0), MATCH(PartyCompare_8[[#This Row],[Party Size]],Encounter_Mod[[#Headers],[Small]:[Large]],0))</f>
        <v>566.66666666666663</v>
      </c>
      <c r="CC80" s="38">
        <f>SUM(PartyCompare_8[+4 (Hard)])/INDEX(Encounter_Mod[[Small]:[Large]], MATCH(PartyCompare_8[[#This Row],[Mob Size]], Encounter_Mod[Type], 0), MATCH(PartyCompare_8[[#This Row],[Party Size]],Encounter_Mod[[#Headers],[Small]:[Large]],0))</f>
        <v>850</v>
      </c>
      <c r="CD80" s="38">
        <f>SUM(PartyCompare_8[+4 (Deadly)])/INDEX(Encounter_Mod[[Small]:[Large]], MATCH(PartyCompare_8[[#This Row],[Mob Size]], Encounter_Mod[Type], 0), MATCH(PartyCompare_8[[#This Row],[Party Size]],Encounter_Mod[[#Headers],[Small]:[Large]],0))</f>
        <v>1300</v>
      </c>
      <c r="CE80" s="46">
        <f>(PartyCompare_8[[#This Row],[+4 Easy]]-INDEX(PartyCompare_0[+4 Easy], MATCH(PartyCompare_8[[#This Row],[Mob Size]],PartyCompare_8[Mob Size],0)))/INDEX(PartyCompare_0[+4 Easy], MATCH(PartyCompare_8[[#This Row],[Mob Size]],PartyCompare_8[Mob Size],0))</f>
        <v>-0.15000000000000002</v>
      </c>
      <c r="CF80" s="39">
        <f>(PartyCompare_8[[#This Row],[+4 Medium]]-INDEX(PartyCompare_0[+4 Medium], MATCH(PartyCompare_8[[#This Row],[Mob Size]],PartyCompare_8[Mob Size],0)))/INDEX(PartyCompare_0[+4 Medium], MATCH(PartyCompare_8[[#This Row],[Mob Size]],PartyCompare_8[Mob Size],0))</f>
        <v>-0.15000000000000002</v>
      </c>
      <c r="CG80" s="39">
        <f>(PartyCompare_8[[#This Row],[+4 Hard]]-INDEX(PartyCompare_0[+4 Hard], MATCH(PartyCompare_8[[#This Row],[Mob Size]],PartyCompare_8[Mob Size],0)))/INDEX(PartyCompare_0[+4 Hard], MATCH(PartyCompare_8[[#This Row],[Mob Size]],PartyCompare_8[Mob Size],0))</f>
        <v>-0.15</v>
      </c>
      <c r="CH80" s="34">
        <f>(PartyCompare_8[[#This Row],[+4 Deadly]]-INDEX(PartyCompare_0[+4 Deadly], MATCH(PartyCompare_8[[#This Row],[Mob Size]],PartyCompare_8[Mob Size],0)))/INDEX(PartyCompare_0[+4 Deadly], MATCH(PartyCompare_8[[#This Row],[Mob Size]],PartyCompare_8[Mob Size],0))</f>
        <v>-0.11363636363636369</v>
      </c>
      <c r="CI80" s="48">
        <f>AVERAGE(PartyCompare_8[[#This Row],[+4 Easy Deviation]:[+4 Deadly Deviation]])</f>
        <v>-0.14090909090909093</v>
      </c>
    </row>
    <row r="81" spans="12:87" x14ac:dyDescent="0.2">
      <c r="L81" s="233"/>
      <c r="M81" s="91"/>
      <c r="N81" s="90"/>
      <c r="O81" s="32">
        <f>INDEX(Encounter_Diff[Easy], MATCH(PartyCompare_8[[#This Row],[Level]],Encounter_Diff[Player Level],0))</f>
        <v>0</v>
      </c>
      <c r="P81" s="32">
        <f>INDEX(Encounter_Diff[Medium], MATCH(PartyCompare_8[[#This Row],[Level]],Encounter_Diff[Player Level],0))</f>
        <v>0</v>
      </c>
      <c r="Q81" s="32">
        <f>INDEX(Encounter_Diff[Hard], MATCH(PartyCompare_8[[#This Row],[Level]],Encounter_Diff[Player Level],0))</f>
        <v>0</v>
      </c>
      <c r="R81" s="30">
        <f>INDEX(Encounter_Diff[Deadly], MATCH(PartyCompare_8[[#This Row],[Level]],Encounter_Diff[Player Level],0))</f>
        <v>0</v>
      </c>
      <c r="S81" s="97" t="str">
        <f t="shared" si="8"/>
        <v>2, 2, 1</v>
      </c>
      <c r="T81" s="32" t="str">
        <f>IF(COUNT(PartyCompare_8[Level])&lt;=2,"Small", IF(COUNT(PartyCompare_8[Level])&lt;=5,"Med", IF(COUNT(PartyCompare_8[Level])&lt;=8, "Large", "TOO BIG!")))</f>
        <v>Med</v>
      </c>
      <c r="U81" s="73" t="s">
        <v>112</v>
      </c>
      <c r="V81" s="77" t="str">
        <f>INDEX(Encounter_Mod[Count], MATCH(PartyCompare_8[[#This Row],[Mob Size]], Encounter_Mod[Type],0))</f>
        <v>15+</v>
      </c>
      <c r="W81" s="81">
        <f>SUM(PartyCompare_8[(Easy)])/INDEX(Encounter_Mod[[Small]:[Large]], MATCH(PartyCompare_8[[#This Row],[Mob Size]], Encounter_Mod[Type], 0), MATCH(PartyCompare_8[[#This Row],[Party Size]],Encounter_Mod[[#Headers],[Small]:[Large]],0))</f>
        <v>31.25</v>
      </c>
      <c r="X81" s="42">
        <f>SUM(PartyCompare_8[(Medium)])/INDEX(Encounter_Mod[[Small]:[Large]], MATCH(PartyCompare_8[[#This Row],[Mob Size]], Encounter_Mod[Type], 0), MATCH(PartyCompare_8[[#This Row],[Party Size]],Encounter_Mod[[#Headers],[Small]:[Large]],0))</f>
        <v>62.5</v>
      </c>
      <c r="Y81" s="42">
        <f>SUM(PartyCompare_8[(Hard)])/INDEX(Encounter_Mod[[Small]:[Large]], MATCH(PartyCompare_8[[#This Row],[Mob Size]], Encounter_Mod[Type], 0), MATCH(PartyCompare_8[[#This Row],[Party Size]],Encounter_Mod[[#Headers],[Small]:[Large]],0))</f>
        <v>93.75</v>
      </c>
      <c r="Z81" s="43">
        <f>SUM(PartyCompare_8[(Deadly)])/INDEX(Encounter_Mod[[Small]:[Large]], MATCH(PartyCompare_8[[#This Row],[Mob Size]], Encounter_Mod[Type], 0), MATCH(PartyCompare_8[[#This Row],[Party Size]],Encounter_Mod[[#Headers],[Small]:[Large]],0))</f>
        <v>125</v>
      </c>
      <c r="AA81" s="46">
        <f>(PartyCompare_8[[#This Row],[Easy]]-INDEX(PartyCompare_0[Easy], MATCH(PartyCompare_8[[#This Row],[Mob Size]],PartyCompare_0[Mob Size],0)))/INDEX(PartyCompare_0[Easy], MATCH(PartyCompare_8[[#This Row],[Mob Size]],PartyCompare_0[Mob Size],0))</f>
        <v>0.25</v>
      </c>
      <c r="AB81" s="33">
        <f>(PartyCompare_8[[#This Row],[Medium]]-INDEX(PartyCompare_0[Medium], MATCH(PartyCompare_8[[#This Row],[Mob Size]],PartyCompare_0[Mob Size],0)))/INDEX(PartyCompare_0[Medium], MATCH(PartyCompare_8[[#This Row],[Mob Size]],PartyCompare_0[Mob Size],0))</f>
        <v>0.25</v>
      </c>
      <c r="AC81" s="33">
        <f>(PartyCompare_8[[#This Row],[Hard]]-INDEX(PartyCompare_0[Hard], MATCH(PartyCompare_8[[#This Row],[Mob Size]],PartyCompare_0[Mob Size],0)))/INDEX(PartyCompare_0[Hard], MATCH(PartyCompare_8[[#This Row],[Mob Size]],PartyCompare_0[Mob Size],0))</f>
        <v>0.25</v>
      </c>
      <c r="AD81" s="34">
        <f>(PartyCompare_8[[#This Row],[Deadly]]-INDEX(PartyCompare_0[Deadly], MATCH(PartyCompare_8[[#This Row],[Mob Size]],PartyCompare_0[Mob Size],0)))/INDEX(PartyCompare_0[Deadly], MATCH(PartyCompare_8[[#This Row],[Mob Size]],PartyCompare_0[Mob Size],0))</f>
        <v>0.25</v>
      </c>
      <c r="AE81" s="48">
        <f>AVERAGE(PartyCompare_8[[#This Row],[Easy Deviation]:[Deadly Deviation]])</f>
        <v>0.25</v>
      </c>
      <c r="AF81" s="36">
        <f>IF(ISNUMBER(PartyCompare_8[[#This Row],[Level]]), PartyCompare_8[[#This Row],[Level]]+1, PartyCompare_8[[#This Row],[Level]])</f>
        <v>0</v>
      </c>
      <c r="AG81" s="36">
        <f>INDEX(Encounter_Diff[Easy], MATCH(PartyCompare_8[[#This Row],[+1 Level]],Encounter_Diff[Player Level],0))</f>
        <v>0</v>
      </c>
      <c r="AH81" s="36">
        <f>INDEX(Encounter_Diff[Medium], MATCH(PartyCompare_8[[#This Row],[+1 Level]],Encounter_Diff[Player Level],0))</f>
        <v>0</v>
      </c>
      <c r="AI81" s="36">
        <f>INDEX(Encounter_Diff[Hard], MATCH(PartyCompare_8[[#This Row],[+1 Level]],Encounter_Diff[Player Level],0))</f>
        <v>0</v>
      </c>
      <c r="AJ81" s="36">
        <f>INDEX(Encounter_Diff[Deadly], MATCH(PartyCompare_8[[#This Row],[+1 Level]],Encounter_Diff[Player Level],0))</f>
        <v>0</v>
      </c>
      <c r="AK81" s="63">
        <f>SUM(PartyCompare_8[+1 (Easy)])/INDEX(Encounter_Mod[[Small]:[Large]], MATCH(PartyCompare_8[[#This Row],[Mob Size]], Encounter_Mod[Type], 0), MATCH(PartyCompare_8[[#This Row],[Party Size]],Encounter_Mod[[#Headers],[Small]:[Large]],0))</f>
        <v>50</v>
      </c>
      <c r="AL81" s="38">
        <f>SUM(PartyCompare_8[+1 (Medium)])/INDEX(Encounter_Mod[[Small]:[Large]], MATCH(PartyCompare_8[[#This Row],[Mob Size]], Encounter_Mod[Type], 0), MATCH(PartyCompare_8[[#This Row],[Party Size]],Encounter_Mod[[#Headers],[Small]:[Large]],0))</f>
        <v>100</v>
      </c>
      <c r="AM81" s="38">
        <f>SUM(PartyCompare_8[+1 (Hard)])/INDEX(Encounter_Mod[[Small]:[Large]], MATCH(PartyCompare_8[[#This Row],[Mob Size]], Encounter_Mod[Type], 0), MATCH(PartyCompare_8[[#This Row],[Party Size]],Encounter_Mod[[#Headers],[Small]:[Large]],0))</f>
        <v>150</v>
      </c>
      <c r="AN81" s="38">
        <f>SUM(PartyCompare_8[+1 (Deadly)])/INDEX(Encounter_Mod[[Small]:[Large]], MATCH(PartyCompare_8[[#This Row],[Mob Size]], Encounter_Mod[Type], 0), MATCH(PartyCompare_8[[#This Row],[Party Size]],Encounter_Mod[[#Headers],[Small]:[Large]],0))</f>
        <v>250</v>
      </c>
      <c r="AO81" s="46">
        <f>(PartyCompare_8[[#This Row],[+1 Easy]]-INDEX(PartyCompare_0[+1 Easy], MATCH(PartyCompare_8[[#This Row],[Mob Size]],PartyCompare_8[Mob Size],0)))/INDEX(PartyCompare_0[+1 Easy], MATCH(PartyCompare_8[[#This Row],[Mob Size]],PartyCompare_8[Mob Size],0))</f>
        <v>0</v>
      </c>
      <c r="AP81" s="39">
        <f>(PartyCompare_8[[#This Row],[+1 Medium]]-INDEX(PartyCompare_0[+1 Medium], MATCH(PartyCompare_8[[#This Row],[Mob Size]],PartyCompare_8[Mob Size],0)))/INDEX(PartyCompare_0[+1 Medium], MATCH(PartyCompare_8[[#This Row],[Mob Size]],PartyCompare_8[Mob Size],0))</f>
        <v>0</v>
      </c>
      <c r="AQ81" s="39">
        <f>(PartyCompare_8[[#This Row],[+1 Hard]]-INDEX(PartyCompare_0[+1 Hard], MATCH(PartyCompare_8[[#This Row],[Mob Size]],PartyCompare_8[Mob Size],0)))/INDEX(PartyCompare_0[+1 Hard], MATCH(PartyCompare_8[[#This Row],[Mob Size]],PartyCompare_8[Mob Size],0))</f>
        <v>0</v>
      </c>
      <c r="AR81" s="34">
        <f>(PartyCompare_8[[#This Row],[+1 Deadly]]-INDEX(PartyCompare_0[+1 Deadly], MATCH(PartyCompare_8[[#This Row],[Mob Size]],PartyCompare_8[Mob Size],0)))/INDEX(PartyCompare_0[+1 Deadly], MATCH(PartyCompare_8[[#This Row],[Mob Size]],PartyCompare_8[Mob Size],0))</f>
        <v>0.25</v>
      </c>
      <c r="AS81" s="48">
        <f>AVERAGE(PartyCompare_8[[#This Row],[+1 Easy Deviation]:[+1 Deadly Deviation]])</f>
        <v>6.25E-2</v>
      </c>
      <c r="AT81" s="36">
        <f>IF(ISNUMBER(PartyCompare_8[[#This Row],[Level]]), PartyCompare_8[[#This Row],[Level]]+2, PartyCompare_8[[#This Row],[Level]])</f>
        <v>0</v>
      </c>
      <c r="AU81" s="36">
        <f>INDEX(Encounter_Diff[Easy], MATCH(PartyCompare_8[[#This Row],[+2 Level]],Encounter_Diff[Player Level],0))</f>
        <v>0</v>
      </c>
      <c r="AV81" s="36">
        <f>INDEX(Encounter_Diff[Medium], MATCH(PartyCompare_8[[#This Row],[+2 Level]],Encounter_Diff[Player Level],0))</f>
        <v>0</v>
      </c>
      <c r="AW81" s="36">
        <f>INDEX(Encounter_Diff[Hard], MATCH(PartyCompare_8[[#This Row],[+2 Level]],Encounter_Diff[Player Level],0))</f>
        <v>0</v>
      </c>
      <c r="AX81" s="36">
        <f>INDEX(Encounter_Diff[Deadly], MATCH(PartyCompare_8[[#This Row],[+2 Level]],Encounter_Diff[Player Level],0))</f>
        <v>0</v>
      </c>
      <c r="AY81" s="63">
        <f>SUM(PartyCompare_8[+2 (Easy)])/INDEX(Encounter_Mod[[Small]:[Large]], MATCH(PartyCompare_8[[#This Row],[Mob Size]], Encounter_Mod[Type], 0), MATCH(PartyCompare_8[[#This Row],[Party Size]],Encounter_Mod[[#Headers],[Small]:[Large]],0))</f>
        <v>81.25</v>
      </c>
      <c r="AZ81" s="38">
        <f>SUM(PartyCompare_8[+2 (Medium)])/INDEX(Encounter_Mod[[Small]:[Large]], MATCH(PartyCompare_8[[#This Row],[Mob Size]], Encounter_Mod[Type], 0), MATCH(PartyCompare_8[[#This Row],[Party Size]],Encounter_Mod[[#Headers],[Small]:[Large]],0))</f>
        <v>162.5</v>
      </c>
      <c r="BA81" s="38">
        <f>SUM(PartyCompare_8[+2 (Hard)])/INDEX(Encounter_Mod[[Small]:[Large]], MATCH(PartyCompare_8[[#This Row],[Mob Size]], Encounter_Mod[Type], 0), MATCH(PartyCompare_8[[#This Row],[Party Size]],Encounter_Mod[[#Headers],[Small]:[Large]],0))</f>
        <v>243.75</v>
      </c>
      <c r="BB81" s="38">
        <f>SUM(PartyCompare_8[+2 (Deadly)])/INDEX(Encounter_Mod[[Small]:[Large]], MATCH(PartyCompare_8[[#This Row],[Mob Size]], Encounter_Mod[Type], 0), MATCH(PartyCompare_8[[#This Row],[Party Size]],Encounter_Mod[[#Headers],[Small]:[Large]],0))</f>
        <v>350</v>
      </c>
      <c r="BC81" s="46">
        <f>(PartyCompare_8[[#This Row],[+2 Easy]]-INDEX(PartyCompare_0[+2 Easy], MATCH(PartyCompare_8[[#This Row],[Mob Size]],PartyCompare_8[Mob Size],0)))/INDEX(PartyCompare_0[+2 Easy], MATCH(PartyCompare_8[[#This Row],[Mob Size]],PartyCompare_8[Mob Size],0))</f>
        <v>8.3333333333333329E-2</v>
      </c>
      <c r="BD81" s="39">
        <f>(PartyCompare_8[[#This Row],[+2 Medium]]-INDEX(PartyCompare_0[+2 Medium], MATCH(PartyCompare_8[[#This Row],[Mob Size]],PartyCompare_8[Mob Size],0)))/INDEX(PartyCompare_0[+2 Medium], MATCH(PartyCompare_8[[#This Row],[Mob Size]],PartyCompare_8[Mob Size],0))</f>
        <v>8.3333333333333329E-2</v>
      </c>
      <c r="BE81" s="39">
        <f>(PartyCompare_8[[#This Row],[+2 Hard]]-INDEX(PartyCompare_0[+2 Hard], MATCH(PartyCompare_8[[#This Row],[Mob Size]],PartyCompare_8[Mob Size],0)))/INDEX(PartyCompare_0[+2 Hard], MATCH(PartyCompare_8[[#This Row],[Mob Size]],PartyCompare_8[Mob Size],0))</f>
        <v>8.3333333333333329E-2</v>
      </c>
      <c r="BF81" s="34">
        <f>(PartyCompare_8[[#This Row],[+2 Deadly]]-INDEX(PartyCompare_0[+2 Deadly], MATCH(PartyCompare_8[[#This Row],[Mob Size]],PartyCompare_8[Mob Size],0)))/INDEX(PartyCompare_0[+2 Deadly], MATCH(PartyCompare_8[[#This Row],[Mob Size]],PartyCompare_8[Mob Size],0))</f>
        <v>-0.125</v>
      </c>
      <c r="BG81" s="48">
        <f>AVERAGE(PartyCompare_8[[#This Row],[+2 Easy Deviation]:[+2 Deadly Deviation]])</f>
        <v>3.125E-2</v>
      </c>
      <c r="BH81" s="36">
        <f>IF(ISNUMBER(PartyCompare_8[[#This Row],[Level]]), PartyCompare_8[[#This Row],[Level]]+3, PartyCompare_8[[#This Row],[Level]])</f>
        <v>0</v>
      </c>
      <c r="BI81" s="36">
        <f>INDEX(Encounter_Diff[Easy], MATCH(PartyCompare_8[[#This Row],[+3 Level]],Encounter_Diff[Player Level],0))</f>
        <v>0</v>
      </c>
      <c r="BJ81" s="36">
        <f>INDEX(Encounter_Diff[Medium], MATCH(PartyCompare_8[[#This Row],[+3 Level]],Encounter_Diff[Player Level],0))</f>
        <v>0</v>
      </c>
      <c r="BK81" s="36">
        <f>INDEX(Encounter_Diff[Hard], MATCH(PartyCompare_8[[#This Row],[+3 Level]],Encounter_Diff[Player Level],0))</f>
        <v>0</v>
      </c>
      <c r="BL81" s="36">
        <f>INDEX(Encounter_Diff[Deadly], MATCH(PartyCompare_8[[#This Row],[+3 Level]],Encounter_Diff[Player Level],0))</f>
        <v>0</v>
      </c>
      <c r="BM81" s="63">
        <f>SUM(PartyCompare_8[+3 (Easy)])/INDEX(Encounter_Mod[[Small]:[Large]], MATCH(PartyCompare_8[[#This Row],[Mob Size]], Encounter_Mod[Type], 0), MATCH(PartyCompare_8[[#This Row],[Party Size]],Encounter_Mod[[#Headers],[Small]:[Large]],0))</f>
        <v>156.25</v>
      </c>
      <c r="BN81" s="38">
        <f>SUM(PartyCompare_8[+3 (Medium)])/INDEX(Encounter_Mod[[Small]:[Large]], MATCH(PartyCompare_8[[#This Row],[Mob Size]], Encounter_Mod[Type], 0), MATCH(PartyCompare_8[[#This Row],[Party Size]],Encounter_Mod[[#Headers],[Small]:[Large]],0))</f>
        <v>312.5</v>
      </c>
      <c r="BO81" s="38">
        <f>SUM(PartyCompare_8[+3 (Hard)])/INDEX(Encounter_Mod[[Small]:[Large]], MATCH(PartyCompare_8[[#This Row],[Mob Size]], Encounter_Mod[Type], 0), MATCH(PartyCompare_8[[#This Row],[Party Size]],Encounter_Mod[[#Headers],[Small]:[Large]],0))</f>
        <v>468.75</v>
      </c>
      <c r="BP81" s="38">
        <f>SUM(PartyCompare_8[+3 (Deadly)])/INDEX(Encounter_Mod[[Small]:[Large]], MATCH(PartyCompare_8[[#This Row],[Mob Size]], Encounter_Mod[Type], 0), MATCH(PartyCompare_8[[#This Row],[Party Size]],Encounter_Mod[[#Headers],[Small]:[Large]],0))</f>
        <v>675</v>
      </c>
      <c r="BQ81" s="46">
        <f>(PartyCompare_8[[#This Row],[+3 Easy]]-INDEX(PartyCompare_0[+3 Easy], MATCH(PartyCompare_8[[#This Row],[Mob Size]],PartyCompare_8[Mob Size],0)))/INDEX(PartyCompare_0[+3 Easy], MATCH(PartyCompare_8[[#This Row],[Mob Size]],PartyCompare_8[Mob Size],0))</f>
        <v>0.25</v>
      </c>
      <c r="BR81" s="39">
        <f>(PartyCompare_8[[#This Row],[+3 Medium]]-INDEX(PartyCompare_0[+3 Medium], MATCH(PartyCompare_8[[#This Row],[Mob Size]],PartyCompare_8[Mob Size],0)))/INDEX(PartyCompare_0[+3 Medium], MATCH(PartyCompare_8[[#This Row],[Mob Size]],PartyCompare_8[Mob Size],0))</f>
        <v>0.25</v>
      </c>
      <c r="BS81" s="39">
        <f>(PartyCompare_8[[#This Row],[+3 Hard]]-INDEX(PartyCompare_0[+3 Hard], MATCH(PartyCompare_8[[#This Row],[Mob Size]],PartyCompare_8[Mob Size],0)))/INDEX(PartyCompare_0[+3 Hard], MATCH(PartyCompare_8[[#This Row],[Mob Size]],PartyCompare_8[Mob Size],0))</f>
        <v>0.25</v>
      </c>
      <c r="BT81" s="34">
        <f>(PartyCompare_8[[#This Row],[+3 Deadly]]-INDEX(PartyCompare_0[+3 Deadly], MATCH(PartyCompare_8[[#This Row],[Mob Size]],PartyCompare_8[Mob Size],0)))/INDEX(PartyCompare_0[+3 Deadly], MATCH(PartyCompare_8[[#This Row],[Mob Size]],PartyCompare_8[Mob Size],0))</f>
        <v>0.35</v>
      </c>
      <c r="BU81" s="48">
        <f>AVERAGE(PartyCompare_8[[#This Row],[+3 Easy Deviation]:[+3 Deadly Deviation]])</f>
        <v>0.27500000000000002</v>
      </c>
      <c r="BV81" s="36">
        <f>IF(ISNUMBER(PartyCompare_8[[#This Row],[Level]]), PartyCompare_8[[#This Row],[Level]]+4, PartyCompare_8[[#This Row],[Level]])</f>
        <v>0</v>
      </c>
      <c r="BW81" s="36">
        <f>INDEX(Encounter_Diff[Easy], MATCH(PartyCompare_8[[#This Row],[+4 Level]],Encounter_Diff[Player Level],0))</f>
        <v>0</v>
      </c>
      <c r="BX81" s="36">
        <f>INDEX(Encounter_Diff[Medium], MATCH(PartyCompare_8[[#This Row],[+4 Level]],Encounter_Diff[Player Level],0))</f>
        <v>0</v>
      </c>
      <c r="BY81" s="36">
        <f>INDEX(Encounter_Diff[Hard], MATCH(PartyCompare_8[[#This Row],[+4 Level]],Encounter_Diff[Player Level],0))</f>
        <v>0</v>
      </c>
      <c r="BZ81" s="36">
        <f>INDEX(Encounter_Diff[Deadly], MATCH(PartyCompare_8[[#This Row],[+4 Level]],Encounter_Diff[Player Level],0))</f>
        <v>0</v>
      </c>
      <c r="CA81" s="63">
        <f>SUM(PartyCompare_8[+4 (Easy)])/INDEX(Encounter_Mod[[Small]:[Large]], MATCH(PartyCompare_8[[#This Row],[Mob Size]], Encounter_Mod[Type], 0), MATCH(PartyCompare_8[[#This Row],[Party Size]],Encounter_Mod[[#Headers],[Small]:[Large]],0))</f>
        <v>212.5</v>
      </c>
      <c r="CB81" s="38">
        <f>SUM(PartyCompare_8[+4 (Medium)])/INDEX(Encounter_Mod[[Small]:[Large]], MATCH(PartyCompare_8[[#This Row],[Mob Size]], Encounter_Mod[Type], 0), MATCH(PartyCompare_8[[#This Row],[Party Size]],Encounter_Mod[[#Headers],[Small]:[Large]],0))</f>
        <v>425</v>
      </c>
      <c r="CC81" s="38">
        <f>SUM(PartyCompare_8[+4 (Hard)])/INDEX(Encounter_Mod[[Small]:[Large]], MATCH(PartyCompare_8[[#This Row],[Mob Size]], Encounter_Mod[Type], 0), MATCH(PartyCompare_8[[#This Row],[Party Size]],Encounter_Mod[[#Headers],[Small]:[Large]],0))</f>
        <v>637.5</v>
      </c>
      <c r="CD81" s="38">
        <f>SUM(PartyCompare_8[+4 (Deadly)])/INDEX(Encounter_Mod[[Small]:[Large]], MATCH(PartyCompare_8[[#This Row],[Mob Size]], Encounter_Mod[Type], 0), MATCH(PartyCompare_8[[#This Row],[Party Size]],Encounter_Mod[[#Headers],[Small]:[Large]],0))</f>
        <v>975</v>
      </c>
      <c r="CE81" s="46">
        <f>(PartyCompare_8[[#This Row],[+4 Easy]]-INDEX(PartyCompare_0[+4 Easy], MATCH(PartyCompare_8[[#This Row],[Mob Size]],PartyCompare_8[Mob Size],0)))/INDEX(PartyCompare_0[+4 Easy], MATCH(PartyCompare_8[[#This Row],[Mob Size]],PartyCompare_8[Mob Size],0))</f>
        <v>-0.15</v>
      </c>
      <c r="CF81" s="39">
        <f>(PartyCompare_8[[#This Row],[+4 Medium]]-INDEX(PartyCompare_0[+4 Medium], MATCH(PartyCompare_8[[#This Row],[Mob Size]],PartyCompare_8[Mob Size],0)))/INDEX(PartyCompare_0[+4 Medium], MATCH(PartyCompare_8[[#This Row],[Mob Size]],PartyCompare_8[Mob Size],0))</f>
        <v>-0.15</v>
      </c>
      <c r="CG81" s="39">
        <f>(PartyCompare_8[[#This Row],[+4 Hard]]-INDEX(PartyCompare_0[+4 Hard], MATCH(PartyCompare_8[[#This Row],[Mob Size]],PartyCompare_8[Mob Size],0)))/INDEX(PartyCompare_0[+4 Hard], MATCH(PartyCompare_8[[#This Row],[Mob Size]],PartyCompare_8[Mob Size],0))</f>
        <v>-0.15</v>
      </c>
      <c r="CH81" s="34">
        <f>(PartyCompare_8[[#This Row],[+4 Deadly]]-INDEX(PartyCompare_0[+4 Deadly], MATCH(PartyCompare_8[[#This Row],[Mob Size]],PartyCompare_8[Mob Size],0)))/INDEX(PartyCompare_0[+4 Deadly], MATCH(PartyCompare_8[[#This Row],[Mob Size]],PartyCompare_8[Mob Size],0))</f>
        <v>-0.11363636363636363</v>
      </c>
      <c r="CI81" s="48">
        <f>AVERAGE(PartyCompare_8[[#This Row],[+4 Easy Deviation]:[+4 Deadly Deviation]])</f>
        <v>-0.1409090909090909</v>
      </c>
    </row>
    <row r="82" spans="12:87" x14ac:dyDescent="0.2">
      <c r="L82" s="233"/>
      <c r="M82" s="91"/>
      <c r="N82" s="90"/>
      <c r="O82" s="32">
        <f>INDEX(Encounter_Diff[Easy], MATCH(PartyCompare_8[[#This Row],[Level]],Encounter_Diff[Player Level],0))</f>
        <v>0</v>
      </c>
      <c r="P82" s="32">
        <f>INDEX(Encounter_Diff[Medium], MATCH(PartyCompare_8[[#This Row],[Level]],Encounter_Diff[Player Level],0))</f>
        <v>0</v>
      </c>
      <c r="Q82" s="32">
        <f>INDEX(Encounter_Diff[Hard], MATCH(PartyCompare_8[[#This Row],[Level]],Encounter_Diff[Player Level],0))</f>
        <v>0</v>
      </c>
      <c r="R82" s="30">
        <f>INDEX(Encounter_Diff[Deadly], MATCH(PartyCompare_8[[#This Row],[Level]],Encounter_Diff[Player Level],0))</f>
        <v>0</v>
      </c>
      <c r="S82" s="97" t="str">
        <f t="shared" si="8"/>
        <v>2, 2, 1</v>
      </c>
      <c r="T82" s="45" t="s">
        <v>139</v>
      </c>
      <c r="U82" s="74" t="s">
        <v>139</v>
      </c>
      <c r="V82" s="78" t="s">
        <v>139</v>
      </c>
      <c r="W82" s="82" t="s">
        <v>139</v>
      </c>
      <c r="X82" s="45" t="s">
        <v>139</v>
      </c>
      <c r="Y82" s="45" t="s">
        <v>139</v>
      </c>
      <c r="Z82" s="41" t="s">
        <v>139</v>
      </c>
      <c r="AA82" s="44" t="s">
        <v>139</v>
      </c>
      <c r="AB82" s="45" t="s">
        <v>139</v>
      </c>
      <c r="AC82" s="45" t="s">
        <v>139</v>
      </c>
      <c r="AD82" s="41" t="s">
        <v>139</v>
      </c>
      <c r="AE82" s="49" t="s">
        <v>139</v>
      </c>
      <c r="AF82" s="36">
        <f>IF(ISNUMBER(PartyCompare_8[[#This Row],[Level]]), PartyCompare_8[[#This Row],[Level]]+1, PartyCompare_8[[#This Row],[Level]])</f>
        <v>0</v>
      </c>
      <c r="AG82" s="36">
        <f>INDEX(Encounter_Diff[Easy], MATCH(PartyCompare_8[[#This Row],[+1 Level]],Encounter_Diff[Player Level],0))</f>
        <v>0</v>
      </c>
      <c r="AH82" s="36">
        <f>INDEX(Encounter_Diff[Medium], MATCH(PartyCompare_8[[#This Row],[+1 Level]],Encounter_Diff[Player Level],0))</f>
        <v>0</v>
      </c>
      <c r="AI82" s="36">
        <f>INDEX(Encounter_Diff[Hard], MATCH(PartyCompare_8[[#This Row],[+1 Level]],Encounter_Diff[Player Level],0))</f>
        <v>0</v>
      </c>
      <c r="AJ82" s="36">
        <f>INDEX(Encounter_Diff[Deadly], MATCH(PartyCompare_8[[#This Row],[+1 Level]],Encounter_Diff[Player Level],0))</f>
        <v>0</v>
      </c>
      <c r="AK82" s="44" t="s">
        <v>139</v>
      </c>
      <c r="AL82" s="37" t="s">
        <v>139</v>
      </c>
      <c r="AM82" s="37" t="s">
        <v>139</v>
      </c>
      <c r="AN82" s="45" t="s">
        <v>139</v>
      </c>
      <c r="AO82" s="44" t="s">
        <v>139</v>
      </c>
      <c r="AP82" s="37" t="s">
        <v>139</v>
      </c>
      <c r="AQ82" s="37" t="s">
        <v>139</v>
      </c>
      <c r="AR82" s="41" t="s">
        <v>139</v>
      </c>
      <c r="AS82" s="49" t="s">
        <v>139</v>
      </c>
      <c r="AT82" s="36">
        <f>IF(ISNUMBER(PartyCompare_8[[#This Row],[Level]]), PartyCompare_8[[#This Row],[Level]]+2, PartyCompare_8[[#This Row],[Level]])</f>
        <v>0</v>
      </c>
      <c r="AU82" s="36">
        <f>INDEX(Encounter_Diff[Easy], MATCH(PartyCompare_8[[#This Row],[+2 Level]],Encounter_Diff[Player Level],0))</f>
        <v>0</v>
      </c>
      <c r="AV82" s="36">
        <f>INDEX(Encounter_Diff[Medium], MATCH(PartyCompare_8[[#This Row],[+2 Level]],Encounter_Diff[Player Level],0))</f>
        <v>0</v>
      </c>
      <c r="AW82" s="36">
        <f>INDEX(Encounter_Diff[Hard], MATCH(PartyCompare_8[[#This Row],[+2 Level]],Encounter_Diff[Player Level],0))</f>
        <v>0</v>
      </c>
      <c r="AX82" s="36">
        <f>INDEX(Encounter_Diff[Deadly], MATCH(PartyCompare_8[[#This Row],[+2 Level]],Encounter_Diff[Player Level],0))</f>
        <v>0</v>
      </c>
      <c r="AY82" s="44" t="s">
        <v>139</v>
      </c>
      <c r="AZ82" s="37" t="s">
        <v>139</v>
      </c>
      <c r="BA82" s="37" t="s">
        <v>139</v>
      </c>
      <c r="BB82" s="45" t="s">
        <v>139</v>
      </c>
      <c r="BC82" s="44" t="s">
        <v>139</v>
      </c>
      <c r="BD82" s="37" t="s">
        <v>139</v>
      </c>
      <c r="BE82" s="37" t="s">
        <v>139</v>
      </c>
      <c r="BF82" s="41" t="s">
        <v>139</v>
      </c>
      <c r="BG82" s="49" t="s">
        <v>139</v>
      </c>
      <c r="BH82" s="36">
        <f>IF(ISNUMBER(PartyCompare_8[[#This Row],[Level]]), PartyCompare_8[[#This Row],[Level]]+3, PartyCompare_8[[#This Row],[Level]])</f>
        <v>0</v>
      </c>
      <c r="BI82" s="36">
        <f>INDEX(Encounter_Diff[Easy], MATCH(PartyCompare_8[[#This Row],[+3 Level]],Encounter_Diff[Player Level],0))</f>
        <v>0</v>
      </c>
      <c r="BJ82" s="36">
        <f>INDEX(Encounter_Diff[Medium], MATCH(PartyCompare_8[[#This Row],[+3 Level]],Encounter_Diff[Player Level],0))</f>
        <v>0</v>
      </c>
      <c r="BK82" s="36">
        <f>INDEX(Encounter_Diff[Hard], MATCH(PartyCompare_8[[#This Row],[+3 Level]],Encounter_Diff[Player Level],0))</f>
        <v>0</v>
      </c>
      <c r="BL82" s="36">
        <f>INDEX(Encounter_Diff[Deadly], MATCH(PartyCompare_8[[#This Row],[+3 Level]],Encounter_Diff[Player Level],0))</f>
        <v>0</v>
      </c>
      <c r="BM82" s="44" t="s">
        <v>139</v>
      </c>
      <c r="BN82" s="37" t="s">
        <v>139</v>
      </c>
      <c r="BO82" s="37" t="s">
        <v>139</v>
      </c>
      <c r="BP82" s="45" t="s">
        <v>139</v>
      </c>
      <c r="BQ82" s="44" t="s">
        <v>139</v>
      </c>
      <c r="BR82" s="37" t="s">
        <v>139</v>
      </c>
      <c r="BS82" s="37" t="s">
        <v>139</v>
      </c>
      <c r="BT82" s="41" t="s">
        <v>139</v>
      </c>
      <c r="BU82" s="49" t="s">
        <v>139</v>
      </c>
      <c r="BV82" s="36">
        <f>IF(ISNUMBER(PartyCompare_8[[#This Row],[Level]]), PartyCompare_8[[#This Row],[Level]]+4, PartyCompare_8[[#This Row],[Level]])</f>
        <v>0</v>
      </c>
      <c r="BW82" s="36">
        <f>INDEX(Encounter_Diff[Easy], MATCH(PartyCompare_8[[#This Row],[+4 Level]],Encounter_Diff[Player Level],0))</f>
        <v>0</v>
      </c>
      <c r="BX82" s="36">
        <f>INDEX(Encounter_Diff[Medium], MATCH(PartyCompare_8[[#This Row],[+4 Level]],Encounter_Diff[Player Level],0))</f>
        <v>0</v>
      </c>
      <c r="BY82" s="36">
        <f>INDEX(Encounter_Diff[Hard], MATCH(PartyCompare_8[[#This Row],[+4 Level]],Encounter_Diff[Player Level],0))</f>
        <v>0</v>
      </c>
      <c r="BZ82" s="36">
        <f>INDEX(Encounter_Diff[Deadly], MATCH(PartyCompare_8[[#This Row],[+4 Level]],Encounter_Diff[Player Level],0))</f>
        <v>0</v>
      </c>
      <c r="CA82" s="44" t="s">
        <v>139</v>
      </c>
      <c r="CB82" s="37" t="s">
        <v>139</v>
      </c>
      <c r="CC82" s="37" t="s">
        <v>139</v>
      </c>
      <c r="CD82" s="45" t="s">
        <v>139</v>
      </c>
      <c r="CE82" s="44" t="s">
        <v>139</v>
      </c>
      <c r="CF82" s="37" t="s">
        <v>139</v>
      </c>
      <c r="CG82" s="37" t="s">
        <v>139</v>
      </c>
      <c r="CH82" s="41" t="s">
        <v>139</v>
      </c>
      <c r="CI82" s="49" t="s">
        <v>139</v>
      </c>
    </row>
    <row r="83" spans="12:87" ht="15.75" thickBot="1" x14ac:dyDescent="0.25">
      <c r="L83" s="234"/>
      <c r="M83" s="91"/>
      <c r="N83" s="90"/>
      <c r="O83" s="32">
        <f>INDEX(Encounter_Diff[Easy], MATCH(PartyCompare_8[[#This Row],[Level]],Encounter_Diff[Player Level],0))</f>
        <v>0</v>
      </c>
      <c r="P83" s="32">
        <f>INDEX(Encounter_Diff[Medium], MATCH(PartyCompare_8[[#This Row],[Level]],Encounter_Diff[Player Level],0))</f>
        <v>0</v>
      </c>
      <c r="Q83" s="32">
        <f>INDEX(Encounter_Diff[Hard], MATCH(PartyCompare_8[[#This Row],[Level]],Encounter_Diff[Player Level],0))</f>
        <v>0</v>
      </c>
      <c r="R83" s="30">
        <f>INDEX(Encounter_Diff[Deadly], MATCH(PartyCompare_8[[#This Row],[Level]],Encounter_Diff[Player Level],0))</f>
        <v>0</v>
      </c>
      <c r="S83" s="98" t="str">
        <f t="shared" si="8"/>
        <v>2, 2, 1</v>
      </c>
      <c r="T83" s="45" t="s">
        <v>139</v>
      </c>
      <c r="U83" s="74" t="s">
        <v>139</v>
      </c>
      <c r="V83" s="80" t="s">
        <v>139</v>
      </c>
      <c r="W83" s="82" t="s">
        <v>139</v>
      </c>
      <c r="X83" s="45" t="s">
        <v>139</v>
      </c>
      <c r="Y83" s="45" t="s">
        <v>139</v>
      </c>
      <c r="Z83" s="41" t="s">
        <v>139</v>
      </c>
      <c r="AA83" s="44" t="s">
        <v>139</v>
      </c>
      <c r="AB83" s="45" t="s">
        <v>139</v>
      </c>
      <c r="AC83" s="45" t="s">
        <v>139</v>
      </c>
      <c r="AD83" s="41" t="s">
        <v>139</v>
      </c>
      <c r="AE83" s="49" t="s">
        <v>139</v>
      </c>
      <c r="AF83" s="36">
        <f>IF(ISNUMBER(PartyCompare_8[[#This Row],[Level]]), PartyCompare_8[[#This Row],[Level]]+1, PartyCompare_8[[#This Row],[Level]])</f>
        <v>0</v>
      </c>
      <c r="AG83" s="36">
        <f>INDEX(Encounter_Diff[Easy], MATCH(PartyCompare_8[[#This Row],[+1 Level]],Encounter_Diff[Player Level],0))</f>
        <v>0</v>
      </c>
      <c r="AH83" s="36">
        <f>INDEX(Encounter_Diff[Medium], MATCH(PartyCompare_8[[#This Row],[+1 Level]],Encounter_Diff[Player Level],0))</f>
        <v>0</v>
      </c>
      <c r="AI83" s="36">
        <f>INDEX(Encounter_Diff[Hard], MATCH(PartyCompare_8[[#This Row],[+1 Level]],Encounter_Diff[Player Level],0))</f>
        <v>0</v>
      </c>
      <c r="AJ83" s="36">
        <f>INDEX(Encounter_Diff[Deadly], MATCH(PartyCompare_8[[#This Row],[+1 Level]],Encounter_Diff[Player Level],0))</f>
        <v>0</v>
      </c>
      <c r="AK83" s="44" t="s">
        <v>139</v>
      </c>
      <c r="AL83" s="37" t="s">
        <v>139</v>
      </c>
      <c r="AM83" s="37" t="s">
        <v>139</v>
      </c>
      <c r="AN83" s="45" t="s">
        <v>139</v>
      </c>
      <c r="AO83" s="44" t="s">
        <v>139</v>
      </c>
      <c r="AP83" s="37" t="s">
        <v>139</v>
      </c>
      <c r="AQ83" s="37" t="s">
        <v>139</v>
      </c>
      <c r="AR83" s="41" t="s">
        <v>139</v>
      </c>
      <c r="AS83" s="49" t="s">
        <v>139</v>
      </c>
      <c r="AT83" s="53">
        <f>IF(ISNUMBER(PartyCompare_8[[#This Row],[Level]]), PartyCompare_8[[#This Row],[Level]]+2, PartyCompare_8[[#This Row],[Level]])</f>
        <v>0</v>
      </c>
      <c r="AU83" s="53">
        <f>INDEX(Encounter_Diff[Easy], MATCH(PartyCompare_8[[#This Row],[+2 Level]],Encounter_Diff[Player Level],0))</f>
        <v>0</v>
      </c>
      <c r="AV83" s="53">
        <f>INDEX(Encounter_Diff[Medium], MATCH(PartyCompare_8[[#This Row],[+2 Level]],Encounter_Diff[Player Level],0))</f>
        <v>0</v>
      </c>
      <c r="AW83" s="53">
        <f>INDEX(Encounter_Diff[Hard], MATCH(PartyCompare_8[[#This Row],[+2 Level]],Encounter_Diff[Player Level],0))</f>
        <v>0</v>
      </c>
      <c r="AX83" s="53">
        <f>INDEX(Encounter_Diff[Deadly], MATCH(PartyCompare_8[[#This Row],[+2 Level]],Encounter_Diff[Player Level],0))</f>
        <v>0</v>
      </c>
      <c r="AY83" s="61" t="s">
        <v>139</v>
      </c>
      <c r="AZ83" s="54" t="s">
        <v>139</v>
      </c>
      <c r="BA83" s="54" t="s">
        <v>139</v>
      </c>
      <c r="BB83" s="54" t="s">
        <v>139</v>
      </c>
      <c r="BC83" s="61" t="s">
        <v>139</v>
      </c>
      <c r="BD83" s="54" t="s">
        <v>139</v>
      </c>
      <c r="BE83" s="54" t="s">
        <v>139</v>
      </c>
      <c r="BF83" s="55" t="s">
        <v>139</v>
      </c>
      <c r="BG83" s="56" t="s">
        <v>139</v>
      </c>
      <c r="BH83" s="53">
        <f>IF(ISNUMBER(PartyCompare_8[[#This Row],[Level]]), PartyCompare_8[[#This Row],[Level]]+3, PartyCompare_8[[#This Row],[Level]])</f>
        <v>0</v>
      </c>
      <c r="BI83" s="53">
        <f>INDEX(Encounter_Diff[Easy], MATCH(PartyCompare_8[[#This Row],[+3 Level]],Encounter_Diff[Player Level],0))</f>
        <v>0</v>
      </c>
      <c r="BJ83" s="53">
        <f>INDEX(Encounter_Diff[Medium], MATCH(PartyCompare_8[[#This Row],[+3 Level]],Encounter_Diff[Player Level],0))</f>
        <v>0</v>
      </c>
      <c r="BK83" s="53">
        <f>INDEX(Encounter_Diff[Hard], MATCH(PartyCompare_8[[#This Row],[+3 Level]],Encounter_Diff[Player Level],0))</f>
        <v>0</v>
      </c>
      <c r="BL83" s="53">
        <f>INDEX(Encounter_Diff[Deadly], MATCH(PartyCompare_8[[#This Row],[+3 Level]],Encounter_Diff[Player Level],0))</f>
        <v>0</v>
      </c>
      <c r="BM83" s="61" t="s">
        <v>139</v>
      </c>
      <c r="BN83" s="54" t="s">
        <v>139</v>
      </c>
      <c r="BO83" s="54" t="s">
        <v>139</v>
      </c>
      <c r="BP83" s="54" t="s">
        <v>139</v>
      </c>
      <c r="BQ83" s="61" t="s">
        <v>139</v>
      </c>
      <c r="BR83" s="54" t="s">
        <v>139</v>
      </c>
      <c r="BS83" s="54" t="s">
        <v>139</v>
      </c>
      <c r="BT83" s="55" t="s">
        <v>139</v>
      </c>
      <c r="BU83" s="56" t="s">
        <v>139</v>
      </c>
      <c r="BV83" s="53">
        <f>IF(ISNUMBER(PartyCompare_8[[#This Row],[Level]]), PartyCompare_8[[#This Row],[Level]]+4, PartyCompare_8[[#This Row],[Level]])</f>
        <v>0</v>
      </c>
      <c r="BW83" s="53">
        <f>INDEX(Encounter_Diff[Easy], MATCH(PartyCompare_8[[#This Row],[+4 Level]],Encounter_Diff[Player Level],0))</f>
        <v>0</v>
      </c>
      <c r="BX83" s="53">
        <f>INDEX(Encounter_Diff[Medium], MATCH(PartyCompare_8[[#This Row],[+4 Level]],Encounter_Diff[Player Level],0))</f>
        <v>0</v>
      </c>
      <c r="BY83" s="53">
        <f>INDEX(Encounter_Diff[Hard], MATCH(PartyCompare_8[[#This Row],[+4 Level]],Encounter_Diff[Player Level],0))</f>
        <v>0</v>
      </c>
      <c r="BZ83" s="53">
        <f>INDEX(Encounter_Diff[Deadly], MATCH(PartyCompare_8[[#This Row],[+4 Level]],Encounter_Diff[Player Level],0))</f>
        <v>0</v>
      </c>
      <c r="CA83" s="61" t="s">
        <v>139</v>
      </c>
      <c r="CB83" s="54" t="s">
        <v>139</v>
      </c>
      <c r="CC83" s="54" t="s">
        <v>139</v>
      </c>
      <c r="CD83" s="54" t="s">
        <v>139</v>
      </c>
      <c r="CE83" s="61" t="s">
        <v>139</v>
      </c>
      <c r="CF83" s="54" t="s">
        <v>139</v>
      </c>
      <c r="CG83" s="54" t="s">
        <v>139</v>
      </c>
      <c r="CH83" s="55" t="s">
        <v>139</v>
      </c>
      <c r="CI83" s="56" t="s">
        <v>139</v>
      </c>
    </row>
    <row r="84" spans="12:87" ht="15.75" x14ac:dyDescent="0.2">
      <c r="L84" s="40" t="s">
        <v>144</v>
      </c>
      <c r="M84" s="29" t="s">
        <v>134</v>
      </c>
      <c r="N84" s="72" t="s">
        <v>33</v>
      </c>
      <c r="O84" s="32" t="s">
        <v>140</v>
      </c>
      <c r="P84" s="32" t="s">
        <v>141</v>
      </c>
      <c r="Q84" s="32" t="s">
        <v>142</v>
      </c>
      <c r="R84" s="30" t="s">
        <v>143</v>
      </c>
      <c r="S84" s="96" t="s">
        <v>144</v>
      </c>
      <c r="T84" s="32" t="s">
        <v>119</v>
      </c>
      <c r="U84" s="73" t="s">
        <v>120</v>
      </c>
      <c r="V84" s="79" t="s">
        <v>224</v>
      </c>
      <c r="W84" s="29" t="s">
        <v>36</v>
      </c>
      <c r="X84" s="32" t="s">
        <v>37</v>
      </c>
      <c r="Y84" s="32" t="s">
        <v>38</v>
      </c>
      <c r="Z84" s="30" t="s">
        <v>40</v>
      </c>
      <c r="AA84" s="31" t="s">
        <v>129</v>
      </c>
      <c r="AB84" s="32" t="s">
        <v>130</v>
      </c>
      <c r="AC84" s="32" t="s">
        <v>131</v>
      </c>
      <c r="AD84" s="30" t="s">
        <v>132</v>
      </c>
      <c r="AE84" s="47" t="s">
        <v>133</v>
      </c>
      <c r="AF84" s="41" t="s">
        <v>154</v>
      </c>
      <c r="AG84" s="37" t="s">
        <v>155</v>
      </c>
      <c r="AH84" s="37" t="s">
        <v>156</v>
      </c>
      <c r="AI84" s="37" t="s">
        <v>157</v>
      </c>
      <c r="AJ84" s="37" t="s">
        <v>158</v>
      </c>
      <c r="AK84" s="44" t="s">
        <v>159</v>
      </c>
      <c r="AL84" s="37" t="s">
        <v>160</v>
      </c>
      <c r="AM84" s="37" t="s">
        <v>161</v>
      </c>
      <c r="AN84" s="41" t="s">
        <v>162</v>
      </c>
      <c r="AO84" s="37" t="s">
        <v>163</v>
      </c>
      <c r="AP84" s="37" t="s">
        <v>164</v>
      </c>
      <c r="AQ84" s="37" t="s">
        <v>165</v>
      </c>
      <c r="AR84" s="41" t="s">
        <v>166</v>
      </c>
      <c r="AS84" s="49" t="s">
        <v>167</v>
      </c>
      <c r="AT84" s="57" t="s">
        <v>196</v>
      </c>
      <c r="AU84" s="58" t="s">
        <v>197</v>
      </c>
      <c r="AV84" s="58" t="s">
        <v>198</v>
      </c>
      <c r="AW84" s="58" t="s">
        <v>199</v>
      </c>
      <c r="AX84" s="58" t="s">
        <v>200</v>
      </c>
      <c r="AY84" s="65" t="s">
        <v>201</v>
      </c>
      <c r="AZ84" s="58" t="s">
        <v>202</v>
      </c>
      <c r="BA84" s="58" t="s">
        <v>203</v>
      </c>
      <c r="BB84" s="58" t="s">
        <v>204</v>
      </c>
      <c r="BC84" s="65" t="s">
        <v>205</v>
      </c>
      <c r="BD84" s="58" t="s">
        <v>206</v>
      </c>
      <c r="BE84" s="58" t="s">
        <v>207</v>
      </c>
      <c r="BF84" s="57" t="s">
        <v>208</v>
      </c>
      <c r="BG84" s="59" t="s">
        <v>209</v>
      </c>
      <c r="BH84" s="57" t="s">
        <v>168</v>
      </c>
      <c r="BI84" s="58" t="s">
        <v>169</v>
      </c>
      <c r="BJ84" s="58" t="s">
        <v>170</v>
      </c>
      <c r="BK84" s="58" t="s">
        <v>171</v>
      </c>
      <c r="BL84" s="58" t="s">
        <v>172</v>
      </c>
      <c r="BM84" s="65" t="s">
        <v>173</v>
      </c>
      <c r="BN84" s="58" t="s">
        <v>174</v>
      </c>
      <c r="BO84" s="58" t="s">
        <v>175</v>
      </c>
      <c r="BP84" s="58" t="s">
        <v>176</v>
      </c>
      <c r="BQ84" s="65" t="s">
        <v>177</v>
      </c>
      <c r="BR84" s="58" t="s">
        <v>178</v>
      </c>
      <c r="BS84" s="58" t="s">
        <v>179</v>
      </c>
      <c r="BT84" s="58" t="s">
        <v>180</v>
      </c>
      <c r="BU84" s="59" t="s">
        <v>181</v>
      </c>
      <c r="BV84" s="58" t="s">
        <v>182</v>
      </c>
      <c r="BW84" s="65" t="s">
        <v>183</v>
      </c>
      <c r="BX84" s="58" t="s">
        <v>184</v>
      </c>
      <c r="BY84" s="58" t="s">
        <v>185</v>
      </c>
      <c r="BZ84" s="58" t="s">
        <v>186</v>
      </c>
      <c r="CA84" s="65" t="s">
        <v>187</v>
      </c>
      <c r="CB84" s="58" t="s">
        <v>188</v>
      </c>
      <c r="CC84" s="58" t="s">
        <v>189</v>
      </c>
      <c r="CD84" s="58" t="s">
        <v>190</v>
      </c>
      <c r="CE84" s="65" t="s">
        <v>191</v>
      </c>
      <c r="CF84" s="58" t="s">
        <v>192</v>
      </c>
      <c r="CG84" s="58" t="s">
        <v>193</v>
      </c>
      <c r="CH84" s="58" t="s">
        <v>194</v>
      </c>
      <c r="CI84" s="59" t="s">
        <v>195</v>
      </c>
    </row>
    <row r="85" spans="12:87" x14ac:dyDescent="0.2">
      <c r="L85" s="232" t="s">
        <v>249</v>
      </c>
      <c r="M85" s="91" t="s">
        <v>153</v>
      </c>
      <c r="N85" s="90">
        <v>2</v>
      </c>
      <c r="O85" s="32">
        <f>INDEX(Encounter_Diff[Easy], MATCH(PartyCompare_9[[#This Row],[Level]],Encounter_Diff[Player Level],0))</f>
        <v>50</v>
      </c>
      <c r="P85" s="32">
        <f>INDEX(Encounter_Diff[Medium], MATCH(PartyCompare_9[[#This Row],[Level]],Encounter_Diff[Player Level],0))</f>
        <v>100</v>
      </c>
      <c r="Q85" s="32">
        <f>INDEX(Encounter_Diff[Hard], MATCH(PartyCompare_9[[#This Row],[Level]],Encounter_Diff[Player Level],0))</f>
        <v>150</v>
      </c>
      <c r="R85" s="30">
        <f>INDEX(Encounter_Diff[Deadly], MATCH(PartyCompare_9[[#This Row],[Level]],Encounter_Diff[Player Level],0))</f>
        <v>200</v>
      </c>
      <c r="S85" s="97" t="str">
        <f>L85</f>
        <v>2, 1, 1</v>
      </c>
      <c r="T85" s="32" t="str">
        <f>IF(COUNT(PartyCompare_9[Level])&lt;=2,"Small", IF(COUNT(PartyCompare_9[Level])&lt;=5,"Med", IF(COUNT(PartyCompare_9[Level])&lt;=8, "Large", "TOO BIG!")))</f>
        <v>Med</v>
      </c>
      <c r="U85" s="73" t="s">
        <v>107</v>
      </c>
      <c r="V85" s="77" t="str">
        <f>INDEX(Encounter_Mod[Count], MATCH(PartyCompare_9[[#This Row],[Mob Size]], Encounter_Mod[Type],0))</f>
        <v>1</v>
      </c>
      <c r="W85" s="81">
        <f>SUM(PartyCompare_9[(Easy)])/INDEX(Encounter_Mod[[Small]:[Large]], MATCH(PartyCompare_9[[#This Row],[Mob Size]], Encounter_Mod[Type], 0), MATCH(PartyCompare_9[[#This Row],[Party Size]],Encounter_Mod[[#Headers],[Small]:[Large]],0))</f>
        <v>100</v>
      </c>
      <c r="X85" s="42">
        <f>SUM(PartyCompare_9[(Medium)])/INDEX(Encounter_Mod[[Small]:[Large]], MATCH(PartyCompare_9[[#This Row],[Mob Size]], Encounter_Mod[Type], 0), MATCH(PartyCompare_9[[#This Row],[Party Size]],Encounter_Mod[[#Headers],[Small]:[Large]],0))</f>
        <v>200</v>
      </c>
      <c r="Y85" s="42">
        <f>SUM(PartyCompare_9[(Hard)])/INDEX(Encounter_Mod[[Small]:[Large]], MATCH(PartyCompare_9[[#This Row],[Mob Size]], Encounter_Mod[Type], 0), MATCH(PartyCompare_9[[#This Row],[Party Size]],Encounter_Mod[[#Headers],[Small]:[Large]],0))</f>
        <v>300</v>
      </c>
      <c r="Z85" s="43">
        <f>SUM(PartyCompare_9[(Deadly)])/INDEX(Encounter_Mod[[Small]:[Large]], MATCH(PartyCompare_9[[#This Row],[Mob Size]], Encounter_Mod[Type], 0), MATCH(PartyCompare_9[[#This Row],[Party Size]],Encounter_Mod[[#Headers],[Small]:[Large]],0))</f>
        <v>400</v>
      </c>
      <c r="AA85" s="46">
        <f>(PartyCompare_9[[#This Row],[Easy]]-INDEX(PartyCompare_0[Easy], MATCH(PartyCompare_9[[#This Row],[Mob Size]],PartyCompare_0[Mob Size],0)))/INDEX(PartyCompare_0[Easy], MATCH(PartyCompare_9[[#This Row],[Mob Size]],PartyCompare_0[Mob Size],0))</f>
        <v>0</v>
      </c>
      <c r="AB85" s="33">
        <f>(PartyCompare_9[[#This Row],[Medium]]-INDEX(PartyCompare_0[Medium], MATCH(PartyCompare_9[[#This Row],[Mob Size]],PartyCompare_0[Mob Size],0)))/INDEX(PartyCompare_0[Medium], MATCH(PartyCompare_9[[#This Row],[Mob Size]],PartyCompare_0[Mob Size],0))</f>
        <v>0</v>
      </c>
      <c r="AC85" s="33">
        <f>(PartyCompare_9[[#This Row],[Hard]]-INDEX(PartyCompare_0[Hard], MATCH(PartyCompare_9[[#This Row],[Mob Size]],PartyCompare_0[Mob Size],0)))/INDEX(PartyCompare_0[Hard], MATCH(PartyCompare_9[[#This Row],[Mob Size]],PartyCompare_0[Mob Size],0))</f>
        <v>0</v>
      </c>
      <c r="AD85" s="34">
        <f>(PartyCompare_9[[#This Row],[Deadly]]-INDEX(PartyCompare_0[Deadly], MATCH(PartyCompare_9[[#This Row],[Mob Size]],PartyCompare_0[Mob Size],0)))/INDEX(PartyCompare_0[Deadly], MATCH(PartyCompare_9[[#This Row],[Mob Size]],PartyCompare_0[Mob Size],0))</f>
        <v>0</v>
      </c>
      <c r="AE85" s="48">
        <f>AVERAGE(PartyCompare_9[[#This Row],[Easy Deviation]:[Deadly Deviation]])</f>
        <v>0</v>
      </c>
      <c r="AF85" s="36">
        <f>IF(ISNUMBER(PartyCompare_9[[#This Row],[Level]]), PartyCompare_9[[#This Row],[Level]]+1, PartyCompare_9[[#This Row],[Level]])</f>
        <v>3</v>
      </c>
      <c r="AG85" s="36">
        <f>INDEX(Encounter_Diff[Easy], MATCH(PartyCompare_9[[#This Row],[+1 Level]],Encounter_Diff[Player Level],0))</f>
        <v>75</v>
      </c>
      <c r="AH85" s="36">
        <f>INDEX(Encounter_Diff[Medium], MATCH(PartyCompare_9[[#This Row],[+1 Level]],Encounter_Diff[Player Level],0))</f>
        <v>150</v>
      </c>
      <c r="AI85" s="36">
        <f>INDEX(Encounter_Diff[Hard], MATCH(PartyCompare_9[[#This Row],[+1 Level]],Encounter_Diff[Player Level],0))</f>
        <v>225</v>
      </c>
      <c r="AJ85" s="36">
        <f>INDEX(Encounter_Diff[Deadly], MATCH(PartyCompare_9[[#This Row],[+1 Level]],Encounter_Diff[Player Level],0))</f>
        <v>400</v>
      </c>
      <c r="AK85" s="63">
        <f>SUM(PartyCompare_9[+1 (Easy)])/INDEX(Encounter_Mod[[Small]:[Large]], MATCH(PartyCompare_9[[#This Row],[Mob Size]], Encounter_Mod[Type], 0), MATCH(PartyCompare_9[[#This Row],[Party Size]],Encounter_Mod[[#Headers],[Small]:[Large]],0))</f>
        <v>175</v>
      </c>
      <c r="AL85" s="38">
        <f>SUM(PartyCompare_9[+1 (Medium)])/INDEX(Encounter_Mod[[Small]:[Large]], MATCH(PartyCompare_9[[#This Row],[Mob Size]], Encounter_Mod[Type], 0), MATCH(PartyCompare_9[[#This Row],[Party Size]],Encounter_Mod[[#Headers],[Small]:[Large]],0))</f>
        <v>350</v>
      </c>
      <c r="AM85" s="38">
        <f>SUM(PartyCompare_9[+1 (Hard)])/INDEX(Encounter_Mod[[Small]:[Large]], MATCH(PartyCompare_9[[#This Row],[Mob Size]], Encounter_Mod[Type], 0), MATCH(PartyCompare_9[[#This Row],[Party Size]],Encounter_Mod[[#Headers],[Small]:[Large]],0))</f>
        <v>525</v>
      </c>
      <c r="AN85" s="38">
        <f>SUM(PartyCompare_9[+1 (Deadly)])/INDEX(Encounter_Mod[[Small]:[Large]], MATCH(PartyCompare_9[[#This Row],[Mob Size]], Encounter_Mod[Type], 0), MATCH(PartyCompare_9[[#This Row],[Party Size]],Encounter_Mod[[#Headers],[Small]:[Large]],0))</f>
        <v>800</v>
      </c>
      <c r="AO85" s="46">
        <f>(PartyCompare_9[[#This Row],[+1 Easy]]-INDEX(PartyCompare_0[+1 Easy], MATCH(PartyCompare_9[[#This Row],[Mob Size]],PartyCompare_9[Mob Size],0)))/INDEX(PartyCompare_0[+1 Easy], MATCH(PartyCompare_9[[#This Row],[Mob Size]],PartyCompare_9[Mob Size],0))</f>
        <v>-0.125</v>
      </c>
      <c r="AP85" s="39">
        <f>(PartyCompare_9[[#This Row],[+1 Medium]]-INDEX(PartyCompare_0[+1 Medium], MATCH(PartyCompare_9[[#This Row],[Mob Size]],PartyCompare_9[Mob Size],0)))/INDEX(PartyCompare_0[+1 Medium], MATCH(PartyCompare_9[[#This Row],[Mob Size]],PartyCompare_9[Mob Size],0))</f>
        <v>-0.125</v>
      </c>
      <c r="AQ85" s="39">
        <f>(PartyCompare_9[[#This Row],[+1 Hard]]-INDEX(PartyCompare_0[+1 Hard], MATCH(PartyCompare_9[[#This Row],[Mob Size]],PartyCompare_9[Mob Size],0)))/INDEX(PartyCompare_0[+1 Hard], MATCH(PartyCompare_9[[#This Row],[Mob Size]],PartyCompare_9[Mob Size],0))</f>
        <v>-0.125</v>
      </c>
      <c r="AR85" s="34">
        <f>(PartyCompare_9[[#This Row],[+1 Deadly]]-INDEX(PartyCompare_0[+1 Deadly], MATCH(PartyCompare_9[[#This Row],[Mob Size]],PartyCompare_9[Mob Size],0)))/INDEX(PartyCompare_0[+1 Deadly], MATCH(PartyCompare_9[[#This Row],[Mob Size]],PartyCompare_9[Mob Size],0))</f>
        <v>0</v>
      </c>
      <c r="AS85" s="48">
        <f>AVERAGE(PartyCompare_9[[#This Row],[+1 Easy Deviation]:[+1 Deadly Deviation]])</f>
        <v>-9.375E-2</v>
      </c>
      <c r="AT85" s="36">
        <f>IF(ISNUMBER(PartyCompare_9[[#This Row],[Level]]), PartyCompare_9[[#This Row],[Level]]+2, PartyCompare_9[[#This Row],[Level]])</f>
        <v>4</v>
      </c>
      <c r="AU85" s="36">
        <f>INDEX(Encounter_Diff[Easy], MATCH(PartyCompare_9[[#This Row],[+2 Level]],Encounter_Diff[Player Level],0))</f>
        <v>125</v>
      </c>
      <c r="AV85" s="36">
        <f>INDEX(Encounter_Diff[Medium], MATCH(PartyCompare_9[[#This Row],[+2 Level]],Encounter_Diff[Player Level],0))</f>
        <v>250</v>
      </c>
      <c r="AW85" s="36">
        <f>INDEX(Encounter_Diff[Hard], MATCH(PartyCompare_9[[#This Row],[+2 Level]],Encounter_Diff[Player Level],0))</f>
        <v>375</v>
      </c>
      <c r="AX85" s="36">
        <f>INDEX(Encounter_Diff[Deadly], MATCH(PartyCompare_9[[#This Row],[+2 Level]],Encounter_Diff[Player Level],0))</f>
        <v>500</v>
      </c>
      <c r="AY85" s="63">
        <f>SUM(PartyCompare_9[+2 (Easy)])/INDEX(Encounter_Mod[[Small]:[Large]], MATCH(PartyCompare_9[[#This Row],[Mob Size]], Encounter_Mod[Type], 0), MATCH(PartyCompare_9[[#This Row],[Party Size]],Encounter_Mod[[#Headers],[Small]:[Large]],0))</f>
        <v>275</v>
      </c>
      <c r="AZ85" s="38">
        <f>SUM(PartyCompare_9[+2 (Medium)])/INDEX(Encounter_Mod[[Small]:[Large]], MATCH(PartyCompare_9[[#This Row],[Mob Size]], Encounter_Mod[Type], 0), MATCH(PartyCompare_9[[#This Row],[Party Size]],Encounter_Mod[[#Headers],[Small]:[Large]],0))</f>
        <v>550</v>
      </c>
      <c r="BA85" s="38">
        <f>SUM(PartyCompare_9[+2 (Hard)])/INDEX(Encounter_Mod[[Small]:[Large]], MATCH(PartyCompare_9[[#This Row],[Mob Size]], Encounter_Mod[Type], 0), MATCH(PartyCompare_9[[#This Row],[Party Size]],Encounter_Mod[[#Headers],[Small]:[Large]],0))</f>
        <v>825</v>
      </c>
      <c r="BB85" s="38">
        <f>SUM(PartyCompare_9[+2 (Deadly)])/INDEX(Encounter_Mod[[Small]:[Large]], MATCH(PartyCompare_9[[#This Row],[Mob Size]], Encounter_Mod[Type], 0), MATCH(PartyCompare_9[[#This Row],[Party Size]],Encounter_Mod[[#Headers],[Small]:[Large]],0))</f>
        <v>1300</v>
      </c>
      <c r="BC85" s="60">
        <f>(PartyCompare_9[[#This Row],[+2 Easy]]-INDEX(PartyCompare_0[+2 Easy], MATCH(PartyCompare_9[[#This Row],[Mob Size]],PartyCompare_9[Mob Size],0)))/INDEX(PartyCompare_0[+2 Easy], MATCH(PartyCompare_9[[#This Row],[Mob Size]],PartyCompare_9[Mob Size],0))</f>
        <v>-8.3333333333333329E-2</v>
      </c>
      <c r="BD85" s="39">
        <f>(PartyCompare_9[[#This Row],[+2 Medium]]-INDEX(PartyCompare_0[+2 Medium], MATCH(PartyCompare_9[[#This Row],[Mob Size]],PartyCompare_9[Mob Size],0)))/INDEX(PartyCompare_0[+2 Medium], MATCH(PartyCompare_9[[#This Row],[Mob Size]],PartyCompare_9[Mob Size],0))</f>
        <v>-8.3333333333333329E-2</v>
      </c>
      <c r="BE85" s="39">
        <f>(PartyCompare_9[[#This Row],[+2 Hard]]-INDEX(PartyCompare_0[+2 Hard], MATCH(PartyCompare_9[[#This Row],[Mob Size]],PartyCompare_9[Mob Size],0)))/INDEX(PartyCompare_0[+2 Hard], MATCH(PartyCompare_9[[#This Row],[Mob Size]],PartyCompare_9[Mob Size],0))</f>
        <v>-8.3333333333333329E-2</v>
      </c>
      <c r="BF85" s="34">
        <f>(PartyCompare_9[[#This Row],[+2 Deadly]]-INDEX(PartyCompare_0[+2 Deadly], MATCH(PartyCompare_9[[#This Row],[Mob Size]],PartyCompare_9[Mob Size],0)))/INDEX(PartyCompare_0[+2 Deadly], MATCH(PartyCompare_9[[#This Row],[Mob Size]],PartyCompare_9[Mob Size],0))</f>
        <v>-0.1875</v>
      </c>
      <c r="BG85" s="48">
        <f>AVERAGE(PartyCompare_9[[#This Row],[+2 Easy Deviation]:[+2 Deadly Deviation]])</f>
        <v>-0.109375</v>
      </c>
      <c r="BH85" s="36">
        <f>IF(ISNUMBER(PartyCompare_9[[#This Row],[Level]]), PartyCompare_9[[#This Row],[Level]]+3, PartyCompare_9[[#This Row],[Level]])</f>
        <v>5</v>
      </c>
      <c r="BI85" s="36">
        <f>INDEX(Encounter_Diff[Easy], MATCH(PartyCompare_9[[#This Row],[+3 Level]],Encounter_Diff[Player Level],0))</f>
        <v>250</v>
      </c>
      <c r="BJ85" s="36">
        <f>INDEX(Encounter_Diff[Medium], MATCH(PartyCompare_9[[#This Row],[+3 Level]],Encounter_Diff[Player Level],0))</f>
        <v>500</v>
      </c>
      <c r="BK85" s="36">
        <f>INDEX(Encounter_Diff[Hard], MATCH(PartyCompare_9[[#This Row],[+3 Level]],Encounter_Diff[Player Level],0))</f>
        <v>750</v>
      </c>
      <c r="BL85" s="36">
        <f>INDEX(Encounter_Diff[Deadly], MATCH(PartyCompare_9[[#This Row],[+3 Level]],Encounter_Diff[Player Level],0))</f>
        <v>1100</v>
      </c>
      <c r="BM85" s="63">
        <f>SUM(PartyCompare_9[+3 (Easy)])/INDEX(Encounter_Mod[[Small]:[Large]], MATCH(PartyCompare_9[[#This Row],[Mob Size]], Encounter_Mod[Type], 0), MATCH(PartyCompare_9[[#This Row],[Party Size]],Encounter_Mod[[#Headers],[Small]:[Large]],0))</f>
        <v>500</v>
      </c>
      <c r="BN85" s="38">
        <f>SUM(PartyCompare_9[+3 (Medium)])/INDEX(Encounter_Mod[[Small]:[Large]], MATCH(PartyCompare_9[[#This Row],[Mob Size]], Encounter_Mod[Type], 0), MATCH(PartyCompare_9[[#This Row],[Party Size]],Encounter_Mod[[#Headers],[Small]:[Large]],0))</f>
        <v>1000</v>
      </c>
      <c r="BO85" s="38">
        <f>SUM(PartyCompare_9[+3 (Hard)])/INDEX(Encounter_Mod[[Small]:[Large]], MATCH(PartyCompare_9[[#This Row],[Mob Size]], Encounter_Mod[Type], 0), MATCH(PartyCompare_9[[#This Row],[Party Size]],Encounter_Mod[[#Headers],[Small]:[Large]],0))</f>
        <v>1500</v>
      </c>
      <c r="BP85" s="38">
        <f>SUM(PartyCompare_9[+3 (Deadly)])/INDEX(Encounter_Mod[[Small]:[Large]], MATCH(PartyCompare_9[[#This Row],[Mob Size]], Encounter_Mod[Type], 0), MATCH(PartyCompare_9[[#This Row],[Party Size]],Encounter_Mod[[#Headers],[Small]:[Large]],0))</f>
        <v>2100</v>
      </c>
      <c r="BQ85" s="60">
        <f>(PartyCompare_9[[#This Row],[+3 Easy]]-INDEX(PartyCompare_0[+3 Easy], MATCH(PartyCompare_9[[#This Row],[Mob Size]],PartyCompare_9[Mob Size],0)))/INDEX(PartyCompare_0[+3 Easy], MATCH(PartyCompare_9[[#This Row],[Mob Size]],PartyCompare_9[Mob Size],0))</f>
        <v>0</v>
      </c>
      <c r="BR85" s="39">
        <f>(PartyCompare_9[[#This Row],[+3 Medium]]-INDEX(PartyCompare_0[+3 Medium], MATCH(PartyCompare_9[[#This Row],[Mob Size]],PartyCompare_9[Mob Size],0)))/INDEX(PartyCompare_0[+3 Medium], MATCH(PartyCompare_9[[#This Row],[Mob Size]],PartyCompare_9[Mob Size],0))</f>
        <v>0</v>
      </c>
      <c r="BS85" s="39">
        <f>(PartyCompare_9[[#This Row],[+3 Hard]]-INDEX(PartyCompare_0[+3 Hard], MATCH(PartyCompare_9[[#This Row],[Mob Size]],PartyCompare_9[Mob Size],0)))/INDEX(PartyCompare_0[+3 Hard], MATCH(PartyCompare_9[[#This Row],[Mob Size]],PartyCompare_9[Mob Size],0))</f>
        <v>0</v>
      </c>
      <c r="BT85" s="34">
        <f>(PartyCompare_9[[#This Row],[+3 Deadly]]-INDEX(PartyCompare_0[+3 Deadly], MATCH(PartyCompare_9[[#This Row],[Mob Size]],PartyCompare_9[Mob Size],0)))/INDEX(PartyCompare_0[+3 Deadly], MATCH(PartyCompare_9[[#This Row],[Mob Size]],PartyCompare_9[Mob Size],0))</f>
        <v>0.05</v>
      </c>
      <c r="BU85" s="48">
        <f>AVERAGE(PartyCompare_9[[#This Row],[+3 Easy Deviation]:[+3 Deadly Deviation]])</f>
        <v>1.2500000000000001E-2</v>
      </c>
      <c r="BV85" s="36">
        <f>IF(ISNUMBER(PartyCompare_9[[#This Row],[Level]]), PartyCompare_9[[#This Row],[Level]]+4, PartyCompare_9[[#This Row],[Level]])</f>
        <v>6</v>
      </c>
      <c r="BW85" s="36">
        <f>INDEX(Encounter_Diff[Easy], MATCH(PartyCompare_9[[#This Row],[+4 Level]],Encounter_Diff[Player Level],0))</f>
        <v>300</v>
      </c>
      <c r="BX85" s="36">
        <f>INDEX(Encounter_Diff[Medium], MATCH(PartyCompare_9[[#This Row],[+4 Level]],Encounter_Diff[Player Level],0))</f>
        <v>600</v>
      </c>
      <c r="BY85" s="36">
        <f>INDEX(Encounter_Diff[Hard], MATCH(PartyCompare_9[[#This Row],[+4 Level]],Encounter_Diff[Player Level],0))</f>
        <v>900</v>
      </c>
      <c r="BZ85" s="36">
        <f>INDEX(Encounter_Diff[Deadly], MATCH(PartyCompare_9[[#This Row],[+4 Level]],Encounter_Diff[Player Level],0))</f>
        <v>1400</v>
      </c>
      <c r="CA85" s="63">
        <f>SUM(PartyCompare_9[+4 (Easy)])/INDEX(Encounter_Mod[[Small]:[Large]], MATCH(PartyCompare_9[[#This Row],[Mob Size]], Encounter_Mod[Type], 0), MATCH(PartyCompare_9[[#This Row],[Party Size]],Encounter_Mod[[#Headers],[Small]:[Large]],0))</f>
        <v>800</v>
      </c>
      <c r="CB85" s="38">
        <f>SUM(PartyCompare_9[+4 (Medium)])/INDEX(Encounter_Mod[[Small]:[Large]], MATCH(PartyCompare_9[[#This Row],[Mob Size]], Encounter_Mod[Type], 0), MATCH(PartyCompare_9[[#This Row],[Party Size]],Encounter_Mod[[#Headers],[Small]:[Large]],0))</f>
        <v>1600</v>
      </c>
      <c r="CC85" s="38">
        <f>SUM(PartyCompare_9[+4 (Hard)])/INDEX(Encounter_Mod[[Small]:[Large]], MATCH(PartyCompare_9[[#This Row],[Mob Size]], Encounter_Mod[Type], 0), MATCH(PartyCompare_9[[#This Row],[Party Size]],Encounter_Mod[[#Headers],[Small]:[Large]],0))</f>
        <v>2400</v>
      </c>
      <c r="CD85" s="38">
        <f>SUM(PartyCompare_9[+4 (Deadly)])/INDEX(Encounter_Mod[[Small]:[Large]], MATCH(PartyCompare_9[[#This Row],[Mob Size]], Encounter_Mod[Type], 0), MATCH(PartyCompare_9[[#This Row],[Party Size]],Encounter_Mod[[#Headers],[Small]:[Large]],0))</f>
        <v>3600</v>
      </c>
      <c r="CE85" s="60">
        <f>(PartyCompare_9[[#This Row],[+4 Easy]]-INDEX(PartyCompare_0[+4 Easy], MATCH(PartyCompare_9[[#This Row],[Mob Size]],PartyCompare_9[Mob Size],0)))/INDEX(PartyCompare_0[+4 Easy], MATCH(PartyCompare_9[[#This Row],[Mob Size]],PartyCompare_9[Mob Size],0))</f>
        <v>-0.2</v>
      </c>
      <c r="CF85" s="39">
        <f>(PartyCompare_9[[#This Row],[+4 Medium]]-INDEX(PartyCompare_0[+4 Medium], MATCH(PartyCompare_9[[#This Row],[Mob Size]],PartyCompare_9[Mob Size],0)))/INDEX(PartyCompare_0[+4 Medium], MATCH(PartyCompare_9[[#This Row],[Mob Size]],PartyCompare_9[Mob Size],0))</f>
        <v>-0.2</v>
      </c>
      <c r="CG85" s="39">
        <f>(PartyCompare_9[[#This Row],[+4 Hard]]-INDEX(PartyCompare_0[+4 Hard], MATCH(PartyCompare_9[[#This Row],[Mob Size]],PartyCompare_9[Mob Size],0)))/INDEX(PartyCompare_0[+4 Hard], MATCH(PartyCompare_9[[#This Row],[Mob Size]],PartyCompare_9[Mob Size],0))</f>
        <v>-0.2</v>
      </c>
      <c r="CH85" s="34">
        <f>(PartyCompare_9[[#This Row],[+4 Deadly]]-INDEX(PartyCompare_0[+4 Deadly], MATCH(PartyCompare_9[[#This Row],[Mob Size]],PartyCompare_9[Mob Size],0)))/INDEX(PartyCompare_0[+4 Deadly], MATCH(PartyCompare_9[[#This Row],[Mob Size]],PartyCompare_9[Mob Size],0))</f>
        <v>-0.18181818181818182</v>
      </c>
      <c r="CI85" s="48">
        <f>AVERAGE(PartyCompare_9[[#This Row],[+4 Easy Deviation]:[+4 Deadly Deviation]])</f>
        <v>-0.19545454545454549</v>
      </c>
    </row>
    <row r="86" spans="12:87" x14ac:dyDescent="0.2">
      <c r="L86" s="233"/>
      <c r="M86" s="91" t="s">
        <v>152</v>
      </c>
      <c r="N86" s="90">
        <v>1</v>
      </c>
      <c r="O86" s="32">
        <f>INDEX(Encounter_Diff[Easy], MATCH(PartyCompare_9[[#This Row],[Level]],Encounter_Diff[Player Level],0))</f>
        <v>25</v>
      </c>
      <c r="P86" s="32">
        <f>INDEX(Encounter_Diff[Medium], MATCH(PartyCompare_9[[#This Row],[Level]],Encounter_Diff[Player Level],0))</f>
        <v>50</v>
      </c>
      <c r="Q86" s="32">
        <f>INDEX(Encounter_Diff[Hard], MATCH(PartyCompare_9[[#This Row],[Level]],Encounter_Diff[Player Level],0))</f>
        <v>75</v>
      </c>
      <c r="R86" s="30">
        <f>INDEX(Encounter_Diff[Deadly], MATCH(PartyCompare_9[[#This Row],[Level]],Encounter_Diff[Player Level],0))</f>
        <v>100</v>
      </c>
      <c r="S86" s="97" t="str">
        <f>S85</f>
        <v>2, 1, 1</v>
      </c>
      <c r="T86" s="32" t="str">
        <f>IF(COUNT(PartyCompare_9[Level])&lt;=2,"Small", IF(COUNT(PartyCompare_9[Level])&lt;=5,"Med", IF(COUNT(PartyCompare_9[Level])&lt;=8, "Large", "TOO BIG!")))</f>
        <v>Med</v>
      </c>
      <c r="U86" s="73" t="s">
        <v>108</v>
      </c>
      <c r="V86" s="77" t="str">
        <f>INDEX(Encounter_Mod[Count], MATCH(PartyCompare_9[[#This Row],[Mob Size]], Encounter_Mod[Type],0))</f>
        <v>2</v>
      </c>
      <c r="W86" s="81">
        <f>SUM(PartyCompare_9[(Easy)])/INDEX(Encounter_Mod[[Small]:[Large]], MATCH(PartyCompare_9[[#This Row],[Mob Size]], Encounter_Mod[Type], 0), MATCH(PartyCompare_9[[#This Row],[Party Size]],Encounter_Mod[[#Headers],[Small]:[Large]],0))</f>
        <v>66.666666666666671</v>
      </c>
      <c r="X86" s="42">
        <f>SUM(PartyCompare_9[(Medium)])/INDEX(Encounter_Mod[[Small]:[Large]], MATCH(PartyCompare_9[[#This Row],[Mob Size]], Encounter_Mod[Type], 0), MATCH(PartyCompare_9[[#This Row],[Party Size]],Encounter_Mod[[#Headers],[Small]:[Large]],0))</f>
        <v>133.33333333333334</v>
      </c>
      <c r="Y86" s="42">
        <f>SUM(PartyCompare_9[(Hard)])/INDEX(Encounter_Mod[[Small]:[Large]], MATCH(PartyCompare_9[[#This Row],[Mob Size]], Encounter_Mod[Type], 0), MATCH(PartyCompare_9[[#This Row],[Party Size]],Encounter_Mod[[#Headers],[Small]:[Large]],0))</f>
        <v>200</v>
      </c>
      <c r="Z86" s="43">
        <f>SUM(PartyCompare_9[(Deadly)])/INDEX(Encounter_Mod[[Small]:[Large]], MATCH(PartyCompare_9[[#This Row],[Mob Size]], Encounter_Mod[Type], 0), MATCH(PartyCompare_9[[#This Row],[Party Size]],Encounter_Mod[[#Headers],[Small]:[Large]],0))</f>
        <v>266.66666666666669</v>
      </c>
      <c r="AA86" s="46">
        <f>(PartyCompare_9[[#This Row],[Easy]]-INDEX(PartyCompare_0[Easy], MATCH(PartyCompare_9[[#This Row],[Mob Size]],PartyCompare_0[Mob Size],0)))/INDEX(PartyCompare_0[Easy], MATCH(PartyCompare_9[[#This Row],[Mob Size]],PartyCompare_0[Mob Size],0))</f>
        <v>0</v>
      </c>
      <c r="AB86" s="33">
        <f>(PartyCompare_9[[#This Row],[Medium]]-INDEX(PartyCompare_0[Medium], MATCH(PartyCompare_9[[#This Row],[Mob Size]],PartyCompare_0[Mob Size],0)))/INDEX(PartyCompare_0[Medium], MATCH(PartyCompare_9[[#This Row],[Mob Size]],PartyCompare_0[Mob Size],0))</f>
        <v>0</v>
      </c>
      <c r="AC86" s="33">
        <f>(PartyCompare_9[[#This Row],[Hard]]-INDEX(PartyCompare_0[Hard], MATCH(PartyCompare_9[[#This Row],[Mob Size]],PartyCompare_0[Mob Size],0)))/INDEX(PartyCompare_0[Hard], MATCH(PartyCompare_9[[#This Row],[Mob Size]],PartyCompare_0[Mob Size],0))</f>
        <v>0</v>
      </c>
      <c r="AD86" s="34">
        <f>(PartyCompare_9[[#This Row],[Deadly]]-INDEX(PartyCompare_0[Deadly], MATCH(PartyCompare_9[[#This Row],[Mob Size]],PartyCompare_0[Mob Size],0)))/INDEX(PartyCompare_0[Deadly], MATCH(PartyCompare_9[[#This Row],[Mob Size]],PartyCompare_0[Mob Size],0))</f>
        <v>0</v>
      </c>
      <c r="AE86" s="48">
        <f>AVERAGE(PartyCompare_9[[#This Row],[Easy Deviation]:[Deadly Deviation]])</f>
        <v>0</v>
      </c>
      <c r="AF86" s="36">
        <f>IF(ISNUMBER(PartyCompare_9[[#This Row],[Level]]), PartyCompare_9[[#This Row],[Level]]+1, PartyCompare_9[[#This Row],[Level]])</f>
        <v>2</v>
      </c>
      <c r="AG86" s="36">
        <f>INDEX(Encounter_Diff[Easy], MATCH(PartyCompare_9[[#This Row],[+1 Level]],Encounter_Diff[Player Level],0))</f>
        <v>50</v>
      </c>
      <c r="AH86" s="36">
        <f>INDEX(Encounter_Diff[Medium], MATCH(PartyCompare_9[[#This Row],[+1 Level]],Encounter_Diff[Player Level],0))</f>
        <v>100</v>
      </c>
      <c r="AI86" s="36">
        <f>INDEX(Encounter_Diff[Hard], MATCH(PartyCompare_9[[#This Row],[+1 Level]],Encounter_Diff[Player Level],0))</f>
        <v>150</v>
      </c>
      <c r="AJ86" s="36">
        <f>INDEX(Encounter_Diff[Deadly], MATCH(PartyCompare_9[[#This Row],[+1 Level]],Encounter_Diff[Player Level],0))</f>
        <v>200</v>
      </c>
      <c r="AK86" s="63">
        <f>SUM(PartyCompare_9[+1 (Easy)])/INDEX(Encounter_Mod[[Small]:[Large]], MATCH(PartyCompare_9[[#This Row],[Mob Size]], Encounter_Mod[Type], 0), MATCH(PartyCompare_9[[#This Row],[Party Size]],Encounter_Mod[[#Headers],[Small]:[Large]],0))</f>
        <v>116.66666666666667</v>
      </c>
      <c r="AL86" s="38">
        <f>SUM(PartyCompare_9[+1 (Medium)])/INDEX(Encounter_Mod[[Small]:[Large]], MATCH(PartyCompare_9[[#This Row],[Mob Size]], Encounter_Mod[Type], 0), MATCH(PartyCompare_9[[#This Row],[Party Size]],Encounter_Mod[[#Headers],[Small]:[Large]],0))</f>
        <v>233.33333333333334</v>
      </c>
      <c r="AM86" s="38">
        <f>SUM(PartyCompare_9[+1 (Hard)])/INDEX(Encounter_Mod[[Small]:[Large]], MATCH(PartyCompare_9[[#This Row],[Mob Size]], Encounter_Mod[Type], 0), MATCH(PartyCompare_9[[#This Row],[Party Size]],Encounter_Mod[[#Headers],[Small]:[Large]],0))</f>
        <v>350</v>
      </c>
      <c r="AN86" s="38">
        <f>SUM(PartyCompare_9[+1 (Deadly)])/INDEX(Encounter_Mod[[Small]:[Large]], MATCH(PartyCompare_9[[#This Row],[Mob Size]], Encounter_Mod[Type], 0), MATCH(PartyCompare_9[[#This Row],[Party Size]],Encounter_Mod[[#Headers],[Small]:[Large]],0))</f>
        <v>533.33333333333337</v>
      </c>
      <c r="AO86" s="46">
        <f>(PartyCompare_9[[#This Row],[+1 Easy]]-INDEX(PartyCompare_0[+1 Easy], MATCH(PartyCompare_9[[#This Row],[Mob Size]],PartyCompare_9[Mob Size],0)))/INDEX(PartyCompare_0[+1 Easy], MATCH(PartyCompare_9[[#This Row],[Mob Size]],PartyCompare_9[Mob Size],0))</f>
        <v>-0.12500000000000003</v>
      </c>
      <c r="AP86" s="39">
        <f>(PartyCompare_9[[#This Row],[+1 Medium]]-INDEX(PartyCompare_0[+1 Medium], MATCH(PartyCompare_9[[#This Row],[Mob Size]],PartyCompare_9[Mob Size],0)))/INDEX(PartyCompare_0[+1 Medium], MATCH(PartyCompare_9[[#This Row],[Mob Size]],PartyCompare_9[Mob Size],0))</f>
        <v>-0.12500000000000003</v>
      </c>
      <c r="AQ86" s="39">
        <f>(PartyCompare_9[[#This Row],[+1 Hard]]-INDEX(PartyCompare_0[+1 Hard], MATCH(PartyCompare_9[[#This Row],[Mob Size]],PartyCompare_9[Mob Size],0)))/INDEX(PartyCompare_0[+1 Hard], MATCH(PartyCompare_9[[#This Row],[Mob Size]],PartyCompare_9[Mob Size],0))</f>
        <v>-0.125</v>
      </c>
      <c r="AR86" s="34">
        <f>(PartyCompare_9[[#This Row],[+1 Deadly]]-INDEX(PartyCompare_0[+1 Deadly], MATCH(PartyCompare_9[[#This Row],[Mob Size]],PartyCompare_9[Mob Size],0)))/INDEX(PartyCompare_0[+1 Deadly], MATCH(PartyCompare_9[[#This Row],[Mob Size]],PartyCompare_9[Mob Size],0))</f>
        <v>0</v>
      </c>
      <c r="AS86" s="48">
        <f>AVERAGE(PartyCompare_9[[#This Row],[+1 Easy Deviation]:[+1 Deadly Deviation]])</f>
        <v>-9.3750000000000014E-2</v>
      </c>
      <c r="AT86" s="36">
        <f>IF(ISNUMBER(PartyCompare_9[[#This Row],[Level]]), PartyCompare_9[[#This Row],[Level]]+2, PartyCompare_9[[#This Row],[Level]])</f>
        <v>3</v>
      </c>
      <c r="AU86" s="36">
        <f>INDEX(Encounter_Diff[Easy], MATCH(PartyCompare_9[[#This Row],[+2 Level]],Encounter_Diff[Player Level],0))</f>
        <v>75</v>
      </c>
      <c r="AV86" s="36">
        <f>INDEX(Encounter_Diff[Medium], MATCH(PartyCompare_9[[#This Row],[+2 Level]],Encounter_Diff[Player Level],0))</f>
        <v>150</v>
      </c>
      <c r="AW86" s="36">
        <f>INDEX(Encounter_Diff[Hard], MATCH(PartyCompare_9[[#This Row],[+2 Level]],Encounter_Diff[Player Level],0))</f>
        <v>225</v>
      </c>
      <c r="AX86" s="36">
        <f>INDEX(Encounter_Diff[Deadly], MATCH(PartyCompare_9[[#This Row],[+2 Level]],Encounter_Diff[Player Level],0))</f>
        <v>400</v>
      </c>
      <c r="AY86" s="63">
        <f>SUM(PartyCompare_9[+2 (Easy)])/INDEX(Encounter_Mod[[Small]:[Large]], MATCH(PartyCompare_9[[#This Row],[Mob Size]], Encounter_Mod[Type], 0), MATCH(PartyCompare_9[[#This Row],[Party Size]],Encounter_Mod[[#Headers],[Small]:[Large]],0))</f>
        <v>183.33333333333334</v>
      </c>
      <c r="AZ86" s="38">
        <f>SUM(PartyCompare_9[+2 (Medium)])/INDEX(Encounter_Mod[[Small]:[Large]], MATCH(PartyCompare_9[[#This Row],[Mob Size]], Encounter_Mod[Type], 0), MATCH(PartyCompare_9[[#This Row],[Party Size]],Encounter_Mod[[#Headers],[Small]:[Large]],0))</f>
        <v>366.66666666666669</v>
      </c>
      <c r="BA86" s="38">
        <f>SUM(PartyCompare_9[+2 (Hard)])/INDEX(Encounter_Mod[[Small]:[Large]], MATCH(PartyCompare_9[[#This Row],[Mob Size]], Encounter_Mod[Type], 0), MATCH(PartyCompare_9[[#This Row],[Party Size]],Encounter_Mod[[#Headers],[Small]:[Large]],0))</f>
        <v>550</v>
      </c>
      <c r="BB86" s="38">
        <f>SUM(PartyCompare_9[+2 (Deadly)])/INDEX(Encounter_Mod[[Small]:[Large]], MATCH(PartyCompare_9[[#This Row],[Mob Size]], Encounter_Mod[Type], 0), MATCH(PartyCompare_9[[#This Row],[Party Size]],Encounter_Mod[[#Headers],[Small]:[Large]],0))</f>
        <v>866.66666666666663</v>
      </c>
      <c r="BC86" s="46">
        <f>(PartyCompare_9[[#This Row],[+2 Easy]]-INDEX(PartyCompare_0[+2 Easy], MATCH(PartyCompare_9[[#This Row],[Mob Size]],PartyCompare_9[Mob Size],0)))/INDEX(PartyCompare_0[+2 Easy], MATCH(PartyCompare_9[[#This Row],[Mob Size]],PartyCompare_9[Mob Size],0))</f>
        <v>-8.3333333333333287E-2</v>
      </c>
      <c r="BD86" s="39">
        <f>(PartyCompare_9[[#This Row],[+2 Medium]]-INDEX(PartyCompare_0[+2 Medium], MATCH(PartyCompare_9[[#This Row],[Mob Size]],PartyCompare_9[Mob Size],0)))/INDEX(PartyCompare_0[+2 Medium], MATCH(PartyCompare_9[[#This Row],[Mob Size]],PartyCompare_9[Mob Size],0))</f>
        <v>-8.3333333333333287E-2</v>
      </c>
      <c r="BE86" s="39">
        <f>(PartyCompare_9[[#This Row],[+2 Hard]]-INDEX(PartyCompare_0[+2 Hard], MATCH(PartyCompare_9[[#This Row],[Mob Size]],PartyCompare_9[Mob Size],0)))/INDEX(PartyCompare_0[+2 Hard], MATCH(PartyCompare_9[[#This Row],[Mob Size]],PartyCompare_9[Mob Size],0))</f>
        <v>-8.3333333333333329E-2</v>
      </c>
      <c r="BF86" s="34">
        <f>(PartyCompare_9[[#This Row],[+2 Deadly]]-INDEX(PartyCompare_0[+2 Deadly], MATCH(PartyCompare_9[[#This Row],[Mob Size]],PartyCompare_9[Mob Size],0)))/INDEX(PartyCompare_0[+2 Deadly], MATCH(PartyCompare_9[[#This Row],[Mob Size]],PartyCompare_9[Mob Size],0))</f>
        <v>-0.18750000000000008</v>
      </c>
      <c r="BG86" s="48">
        <f>AVERAGE(PartyCompare_9[[#This Row],[+2 Easy Deviation]:[+2 Deadly Deviation]])</f>
        <v>-0.109375</v>
      </c>
      <c r="BH86" s="36">
        <f>IF(ISNUMBER(PartyCompare_9[[#This Row],[Level]]), PartyCompare_9[[#This Row],[Level]]+3, PartyCompare_9[[#This Row],[Level]])</f>
        <v>4</v>
      </c>
      <c r="BI86" s="36">
        <f>INDEX(Encounter_Diff[Easy], MATCH(PartyCompare_9[[#This Row],[+3 Level]],Encounter_Diff[Player Level],0))</f>
        <v>125</v>
      </c>
      <c r="BJ86" s="36">
        <f>INDEX(Encounter_Diff[Medium], MATCH(PartyCompare_9[[#This Row],[+3 Level]],Encounter_Diff[Player Level],0))</f>
        <v>250</v>
      </c>
      <c r="BK86" s="36">
        <f>INDEX(Encounter_Diff[Hard], MATCH(PartyCompare_9[[#This Row],[+3 Level]],Encounter_Diff[Player Level],0))</f>
        <v>375</v>
      </c>
      <c r="BL86" s="36">
        <f>INDEX(Encounter_Diff[Deadly], MATCH(PartyCompare_9[[#This Row],[+3 Level]],Encounter_Diff[Player Level],0))</f>
        <v>500</v>
      </c>
      <c r="BM86" s="63">
        <f>SUM(PartyCompare_9[+3 (Easy)])/INDEX(Encounter_Mod[[Small]:[Large]], MATCH(PartyCompare_9[[#This Row],[Mob Size]], Encounter_Mod[Type], 0), MATCH(PartyCompare_9[[#This Row],[Party Size]],Encounter_Mod[[#Headers],[Small]:[Large]],0))</f>
        <v>333.33333333333331</v>
      </c>
      <c r="BN86" s="38">
        <f>SUM(PartyCompare_9[+3 (Medium)])/INDEX(Encounter_Mod[[Small]:[Large]], MATCH(PartyCompare_9[[#This Row],[Mob Size]], Encounter_Mod[Type], 0), MATCH(PartyCompare_9[[#This Row],[Party Size]],Encounter_Mod[[#Headers],[Small]:[Large]],0))</f>
        <v>666.66666666666663</v>
      </c>
      <c r="BO86" s="38">
        <f>SUM(PartyCompare_9[+3 (Hard)])/INDEX(Encounter_Mod[[Small]:[Large]], MATCH(PartyCompare_9[[#This Row],[Mob Size]], Encounter_Mod[Type], 0), MATCH(PartyCompare_9[[#This Row],[Party Size]],Encounter_Mod[[#Headers],[Small]:[Large]],0))</f>
        <v>1000</v>
      </c>
      <c r="BP86" s="38">
        <f>SUM(PartyCompare_9[+3 (Deadly)])/INDEX(Encounter_Mod[[Small]:[Large]], MATCH(PartyCompare_9[[#This Row],[Mob Size]], Encounter_Mod[Type], 0), MATCH(PartyCompare_9[[#This Row],[Party Size]],Encounter_Mod[[#Headers],[Small]:[Large]],0))</f>
        <v>1400</v>
      </c>
      <c r="BQ86" s="46">
        <f>(PartyCompare_9[[#This Row],[+3 Easy]]-INDEX(PartyCompare_0[+3 Easy], MATCH(PartyCompare_9[[#This Row],[Mob Size]],PartyCompare_9[Mob Size],0)))/INDEX(PartyCompare_0[+3 Easy], MATCH(PartyCompare_9[[#This Row],[Mob Size]],PartyCompare_9[Mob Size],0))</f>
        <v>0</v>
      </c>
      <c r="BR86" s="39">
        <f>(PartyCompare_9[[#This Row],[+3 Medium]]-INDEX(PartyCompare_0[+3 Medium], MATCH(PartyCompare_9[[#This Row],[Mob Size]],PartyCompare_9[Mob Size],0)))/INDEX(PartyCompare_0[+3 Medium], MATCH(PartyCompare_9[[#This Row],[Mob Size]],PartyCompare_9[Mob Size],0))</f>
        <v>0</v>
      </c>
      <c r="BS86" s="39">
        <f>(PartyCompare_9[[#This Row],[+3 Hard]]-INDEX(PartyCompare_0[+3 Hard], MATCH(PartyCompare_9[[#This Row],[Mob Size]],PartyCompare_9[Mob Size],0)))/INDEX(PartyCompare_0[+3 Hard], MATCH(PartyCompare_9[[#This Row],[Mob Size]],PartyCompare_9[Mob Size],0))</f>
        <v>0</v>
      </c>
      <c r="BT86" s="34">
        <f>(PartyCompare_9[[#This Row],[+3 Deadly]]-INDEX(PartyCompare_0[+3 Deadly], MATCH(PartyCompare_9[[#This Row],[Mob Size]],PartyCompare_9[Mob Size],0)))/INDEX(PartyCompare_0[+3 Deadly], MATCH(PartyCompare_9[[#This Row],[Mob Size]],PartyCompare_9[Mob Size],0))</f>
        <v>5.0000000000000058E-2</v>
      </c>
      <c r="BU86" s="48">
        <f>AVERAGE(PartyCompare_9[[#This Row],[+3 Easy Deviation]:[+3 Deadly Deviation]])</f>
        <v>1.2500000000000015E-2</v>
      </c>
      <c r="BV86" s="36">
        <f>IF(ISNUMBER(PartyCompare_9[[#This Row],[Level]]), PartyCompare_9[[#This Row],[Level]]+4, PartyCompare_9[[#This Row],[Level]])</f>
        <v>5</v>
      </c>
      <c r="BW86" s="36">
        <f>INDEX(Encounter_Diff[Easy], MATCH(PartyCompare_9[[#This Row],[+4 Level]],Encounter_Diff[Player Level],0))</f>
        <v>250</v>
      </c>
      <c r="BX86" s="36">
        <f>INDEX(Encounter_Diff[Medium], MATCH(PartyCompare_9[[#This Row],[+4 Level]],Encounter_Diff[Player Level],0))</f>
        <v>500</v>
      </c>
      <c r="BY86" s="36">
        <f>INDEX(Encounter_Diff[Hard], MATCH(PartyCompare_9[[#This Row],[+4 Level]],Encounter_Diff[Player Level],0))</f>
        <v>750</v>
      </c>
      <c r="BZ86" s="36">
        <f>INDEX(Encounter_Diff[Deadly], MATCH(PartyCompare_9[[#This Row],[+4 Level]],Encounter_Diff[Player Level],0))</f>
        <v>1100</v>
      </c>
      <c r="CA86" s="63">
        <f>SUM(PartyCompare_9[+4 (Easy)])/INDEX(Encounter_Mod[[Small]:[Large]], MATCH(PartyCompare_9[[#This Row],[Mob Size]], Encounter_Mod[Type], 0), MATCH(PartyCompare_9[[#This Row],[Party Size]],Encounter_Mod[[#Headers],[Small]:[Large]],0))</f>
        <v>533.33333333333337</v>
      </c>
      <c r="CB86" s="38">
        <f>SUM(PartyCompare_9[+4 (Medium)])/INDEX(Encounter_Mod[[Small]:[Large]], MATCH(PartyCompare_9[[#This Row],[Mob Size]], Encounter_Mod[Type], 0), MATCH(PartyCompare_9[[#This Row],[Party Size]],Encounter_Mod[[#Headers],[Small]:[Large]],0))</f>
        <v>1066.6666666666667</v>
      </c>
      <c r="CC86" s="38">
        <f>SUM(PartyCompare_9[+4 (Hard)])/INDEX(Encounter_Mod[[Small]:[Large]], MATCH(PartyCompare_9[[#This Row],[Mob Size]], Encounter_Mod[Type], 0), MATCH(PartyCompare_9[[#This Row],[Party Size]],Encounter_Mod[[#Headers],[Small]:[Large]],0))</f>
        <v>1600</v>
      </c>
      <c r="CD86" s="38">
        <f>SUM(PartyCompare_9[+4 (Deadly)])/INDEX(Encounter_Mod[[Small]:[Large]], MATCH(PartyCompare_9[[#This Row],[Mob Size]], Encounter_Mod[Type], 0), MATCH(PartyCompare_9[[#This Row],[Party Size]],Encounter_Mod[[#Headers],[Small]:[Large]],0))</f>
        <v>2400</v>
      </c>
      <c r="CE86" s="46">
        <f>(PartyCompare_9[[#This Row],[+4 Easy]]-INDEX(PartyCompare_0[+4 Easy], MATCH(PartyCompare_9[[#This Row],[Mob Size]],PartyCompare_9[Mob Size],0)))/INDEX(PartyCompare_0[+4 Easy], MATCH(PartyCompare_9[[#This Row],[Mob Size]],PartyCompare_9[Mob Size],0))</f>
        <v>-0.1999999999999999</v>
      </c>
      <c r="CF86" s="39">
        <f>(PartyCompare_9[[#This Row],[+4 Medium]]-INDEX(PartyCompare_0[+4 Medium], MATCH(PartyCompare_9[[#This Row],[Mob Size]],PartyCompare_9[Mob Size],0)))/INDEX(PartyCompare_0[+4 Medium], MATCH(PartyCompare_9[[#This Row],[Mob Size]],PartyCompare_9[Mob Size],0))</f>
        <v>-0.1999999999999999</v>
      </c>
      <c r="CG86" s="39">
        <f>(PartyCompare_9[[#This Row],[+4 Hard]]-INDEX(PartyCompare_0[+4 Hard], MATCH(PartyCompare_9[[#This Row],[Mob Size]],PartyCompare_9[Mob Size],0)))/INDEX(PartyCompare_0[+4 Hard], MATCH(PartyCompare_9[[#This Row],[Mob Size]],PartyCompare_9[Mob Size],0))</f>
        <v>-0.2</v>
      </c>
      <c r="CH86" s="34">
        <f>(PartyCompare_9[[#This Row],[+4 Deadly]]-INDEX(PartyCompare_0[+4 Deadly], MATCH(PartyCompare_9[[#This Row],[Mob Size]],PartyCompare_9[Mob Size],0)))/INDEX(PartyCompare_0[+4 Deadly], MATCH(PartyCompare_9[[#This Row],[Mob Size]],PartyCompare_9[Mob Size],0))</f>
        <v>-0.18181818181818185</v>
      </c>
      <c r="CI86" s="48">
        <f>AVERAGE(PartyCompare_9[[#This Row],[+4 Easy Deviation]:[+4 Deadly Deviation]])</f>
        <v>-0.19545454545454544</v>
      </c>
    </row>
    <row r="87" spans="12:87" x14ac:dyDescent="0.2">
      <c r="L87" s="233"/>
      <c r="M87" s="91" t="s">
        <v>223</v>
      </c>
      <c r="N87" s="90">
        <v>1</v>
      </c>
      <c r="O87" s="32">
        <f>INDEX(Encounter_Diff[Easy], MATCH(PartyCompare_9[[#This Row],[Level]],Encounter_Diff[Player Level],0))</f>
        <v>25</v>
      </c>
      <c r="P87" s="32">
        <f>INDEX(Encounter_Diff[Medium], MATCH(PartyCompare_9[[#This Row],[Level]],Encounter_Diff[Player Level],0))</f>
        <v>50</v>
      </c>
      <c r="Q87" s="32">
        <f>INDEX(Encounter_Diff[Hard], MATCH(PartyCompare_9[[#This Row],[Level]],Encounter_Diff[Player Level],0))</f>
        <v>75</v>
      </c>
      <c r="R87" s="30">
        <f>INDEX(Encounter_Diff[Deadly], MATCH(PartyCompare_9[[#This Row],[Level]],Encounter_Diff[Player Level],0))</f>
        <v>100</v>
      </c>
      <c r="S87" s="97" t="str">
        <f t="shared" ref="S87:S92" si="9">S86</f>
        <v>2, 1, 1</v>
      </c>
      <c r="T87" s="32" t="str">
        <f>IF(COUNT(PartyCompare_9[Level])&lt;=2,"Small", IF(COUNT(PartyCompare_9[Level])&lt;=5,"Med", IF(COUNT(PartyCompare_9[Level])&lt;=8, "Large", "TOO BIG!")))</f>
        <v>Med</v>
      </c>
      <c r="U87" s="73" t="s">
        <v>109</v>
      </c>
      <c r="V87" s="77" t="str">
        <f>INDEX(Encounter_Mod[Count], MATCH(PartyCompare_9[[#This Row],[Mob Size]], Encounter_Mod[Type],0))</f>
        <v>3-6</v>
      </c>
      <c r="W87" s="81">
        <f>SUM(PartyCompare_9[(Easy)])/INDEX(Encounter_Mod[[Small]:[Large]], MATCH(PartyCompare_9[[#This Row],[Mob Size]], Encounter_Mod[Type], 0), MATCH(PartyCompare_9[[#This Row],[Party Size]],Encounter_Mod[[#Headers],[Small]:[Large]],0))</f>
        <v>50</v>
      </c>
      <c r="X87" s="42">
        <f>SUM(PartyCompare_9[(Medium)])/INDEX(Encounter_Mod[[Small]:[Large]], MATCH(PartyCompare_9[[#This Row],[Mob Size]], Encounter_Mod[Type], 0), MATCH(PartyCompare_9[[#This Row],[Party Size]],Encounter_Mod[[#Headers],[Small]:[Large]],0))</f>
        <v>100</v>
      </c>
      <c r="Y87" s="42">
        <f>SUM(PartyCompare_9[(Hard)])/INDEX(Encounter_Mod[[Small]:[Large]], MATCH(PartyCompare_9[[#This Row],[Mob Size]], Encounter_Mod[Type], 0), MATCH(PartyCompare_9[[#This Row],[Party Size]],Encounter_Mod[[#Headers],[Small]:[Large]],0))</f>
        <v>150</v>
      </c>
      <c r="Z87" s="43">
        <f>SUM(PartyCompare_9[(Deadly)])/INDEX(Encounter_Mod[[Small]:[Large]], MATCH(PartyCompare_9[[#This Row],[Mob Size]], Encounter_Mod[Type], 0), MATCH(PartyCompare_9[[#This Row],[Party Size]],Encounter_Mod[[#Headers],[Small]:[Large]],0))</f>
        <v>200</v>
      </c>
      <c r="AA87" s="46">
        <f>(PartyCompare_9[[#This Row],[Easy]]-INDEX(PartyCompare_0[Easy], MATCH(PartyCompare_9[[#This Row],[Mob Size]],PartyCompare_0[Mob Size],0)))/INDEX(PartyCompare_0[Easy], MATCH(PartyCompare_9[[#This Row],[Mob Size]],PartyCompare_0[Mob Size],0))</f>
        <v>0</v>
      </c>
      <c r="AB87" s="33">
        <f>(PartyCompare_9[[#This Row],[Medium]]-INDEX(PartyCompare_0[Medium], MATCH(PartyCompare_9[[#This Row],[Mob Size]],PartyCompare_0[Mob Size],0)))/INDEX(PartyCompare_0[Medium], MATCH(PartyCompare_9[[#This Row],[Mob Size]],PartyCompare_0[Mob Size],0))</f>
        <v>0</v>
      </c>
      <c r="AC87" s="33">
        <f>(PartyCompare_9[[#This Row],[Hard]]-INDEX(PartyCompare_0[Hard], MATCH(PartyCompare_9[[#This Row],[Mob Size]],PartyCompare_0[Mob Size],0)))/INDEX(PartyCompare_0[Hard], MATCH(PartyCompare_9[[#This Row],[Mob Size]],PartyCompare_0[Mob Size],0))</f>
        <v>0</v>
      </c>
      <c r="AD87" s="34">
        <f>(PartyCompare_9[[#This Row],[Deadly]]-INDEX(PartyCompare_0[Deadly], MATCH(PartyCompare_9[[#This Row],[Mob Size]],PartyCompare_0[Mob Size],0)))/INDEX(PartyCompare_0[Deadly], MATCH(PartyCompare_9[[#This Row],[Mob Size]],PartyCompare_0[Mob Size],0))</f>
        <v>0</v>
      </c>
      <c r="AE87" s="48">
        <f>AVERAGE(PartyCompare_9[[#This Row],[Easy Deviation]:[Deadly Deviation]])</f>
        <v>0</v>
      </c>
      <c r="AF87" s="36">
        <f>IF(ISNUMBER(PartyCompare_9[[#This Row],[Level]]), PartyCompare_9[[#This Row],[Level]]+1, PartyCompare_9[[#This Row],[Level]])</f>
        <v>2</v>
      </c>
      <c r="AG87" s="36">
        <f>INDEX(Encounter_Diff[Easy], MATCH(PartyCompare_9[[#This Row],[+1 Level]],Encounter_Diff[Player Level],0))</f>
        <v>50</v>
      </c>
      <c r="AH87" s="36">
        <f>INDEX(Encounter_Diff[Medium], MATCH(PartyCompare_9[[#This Row],[+1 Level]],Encounter_Diff[Player Level],0))</f>
        <v>100</v>
      </c>
      <c r="AI87" s="36">
        <f>INDEX(Encounter_Diff[Hard], MATCH(PartyCompare_9[[#This Row],[+1 Level]],Encounter_Diff[Player Level],0))</f>
        <v>150</v>
      </c>
      <c r="AJ87" s="36">
        <f>INDEX(Encounter_Diff[Deadly], MATCH(PartyCompare_9[[#This Row],[+1 Level]],Encounter_Diff[Player Level],0))</f>
        <v>200</v>
      </c>
      <c r="AK87" s="63">
        <f>SUM(PartyCompare_9[+1 (Easy)])/INDEX(Encounter_Mod[[Small]:[Large]], MATCH(PartyCompare_9[[#This Row],[Mob Size]], Encounter_Mod[Type], 0), MATCH(PartyCompare_9[[#This Row],[Party Size]],Encounter_Mod[[#Headers],[Small]:[Large]],0))</f>
        <v>87.5</v>
      </c>
      <c r="AL87" s="38">
        <f>SUM(PartyCompare_9[+1 (Medium)])/INDEX(Encounter_Mod[[Small]:[Large]], MATCH(PartyCompare_9[[#This Row],[Mob Size]], Encounter_Mod[Type], 0), MATCH(PartyCompare_9[[#This Row],[Party Size]],Encounter_Mod[[#Headers],[Small]:[Large]],0))</f>
        <v>175</v>
      </c>
      <c r="AM87" s="38">
        <f>SUM(PartyCompare_9[+1 (Hard)])/INDEX(Encounter_Mod[[Small]:[Large]], MATCH(PartyCompare_9[[#This Row],[Mob Size]], Encounter_Mod[Type], 0), MATCH(PartyCompare_9[[#This Row],[Party Size]],Encounter_Mod[[#Headers],[Small]:[Large]],0))</f>
        <v>262.5</v>
      </c>
      <c r="AN87" s="38">
        <f>SUM(PartyCompare_9[+1 (Deadly)])/INDEX(Encounter_Mod[[Small]:[Large]], MATCH(PartyCompare_9[[#This Row],[Mob Size]], Encounter_Mod[Type], 0), MATCH(PartyCompare_9[[#This Row],[Party Size]],Encounter_Mod[[#Headers],[Small]:[Large]],0))</f>
        <v>400</v>
      </c>
      <c r="AO87" s="46">
        <f>(PartyCompare_9[[#This Row],[+1 Easy]]-INDEX(PartyCompare_0[+1 Easy], MATCH(PartyCompare_9[[#This Row],[Mob Size]],PartyCompare_9[Mob Size],0)))/INDEX(PartyCompare_0[+1 Easy], MATCH(PartyCompare_9[[#This Row],[Mob Size]],PartyCompare_9[Mob Size],0))</f>
        <v>-0.125</v>
      </c>
      <c r="AP87" s="39">
        <f>(PartyCompare_9[[#This Row],[+1 Medium]]-INDEX(PartyCompare_0[+1 Medium], MATCH(PartyCompare_9[[#This Row],[Mob Size]],PartyCompare_9[Mob Size],0)))/INDEX(PartyCompare_0[+1 Medium], MATCH(PartyCompare_9[[#This Row],[Mob Size]],PartyCompare_9[Mob Size],0))</f>
        <v>-0.125</v>
      </c>
      <c r="AQ87" s="39">
        <f>(PartyCompare_9[[#This Row],[+1 Hard]]-INDEX(PartyCompare_0[+1 Hard], MATCH(PartyCompare_9[[#This Row],[Mob Size]],PartyCompare_9[Mob Size],0)))/INDEX(PartyCompare_0[+1 Hard], MATCH(PartyCompare_9[[#This Row],[Mob Size]],PartyCompare_9[Mob Size],0))</f>
        <v>-0.125</v>
      </c>
      <c r="AR87" s="34">
        <f>(PartyCompare_9[[#This Row],[+1 Deadly]]-INDEX(PartyCompare_0[+1 Deadly], MATCH(PartyCompare_9[[#This Row],[Mob Size]],PartyCompare_9[Mob Size],0)))/INDEX(PartyCompare_0[+1 Deadly], MATCH(PartyCompare_9[[#This Row],[Mob Size]],PartyCompare_9[Mob Size],0))</f>
        <v>0</v>
      </c>
      <c r="AS87" s="48">
        <f>AVERAGE(PartyCompare_9[[#This Row],[+1 Easy Deviation]:[+1 Deadly Deviation]])</f>
        <v>-9.375E-2</v>
      </c>
      <c r="AT87" s="36">
        <f>IF(ISNUMBER(PartyCompare_9[[#This Row],[Level]]), PartyCompare_9[[#This Row],[Level]]+2, PartyCompare_9[[#This Row],[Level]])</f>
        <v>3</v>
      </c>
      <c r="AU87" s="36">
        <f>INDEX(Encounter_Diff[Easy], MATCH(PartyCompare_9[[#This Row],[+2 Level]],Encounter_Diff[Player Level],0))</f>
        <v>75</v>
      </c>
      <c r="AV87" s="36">
        <f>INDEX(Encounter_Diff[Medium], MATCH(PartyCompare_9[[#This Row],[+2 Level]],Encounter_Diff[Player Level],0))</f>
        <v>150</v>
      </c>
      <c r="AW87" s="36">
        <f>INDEX(Encounter_Diff[Hard], MATCH(PartyCompare_9[[#This Row],[+2 Level]],Encounter_Diff[Player Level],0))</f>
        <v>225</v>
      </c>
      <c r="AX87" s="36">
        <f>INDEX(Encounter_Diff[Deadly], MATCH(PartyCompare_9[[#This Row],[+2 Level]],Encounter_Diff[Player Level],0))</f>
        <v>400</v>
      </c>
      <c r="AY87" s="63">
        <f>SUM(PartyCompare_9[+2 (Easy)])/INDEX(Encounter_Mod[[Small]:[Large]], MATCH(PartyCompare_9[[#This Row],[Mob Size]], Encounter_Mod[Type], 0), MATCH(PartyCompare_9[[#This Row],[Party Size]],Encounter_Mod[[#Headers],[Small]:[Large]],0))</f>
        <v>137.5</v>
      </c>
      <c r="AZ87" s="38">
        <f>SUM(PartyCompare_9[+2 (Medium)])/INDEX(Encounter_Mod[[Small]:[Large]], MATCH(PartyCompare_9[[#This Row],[Mob Size]], Encounter_Mod[Type], 0), MATCH(PartyCompare_9[[#This Row],[Party Size]],Encounter_Mod[[#Headers],[Small]:[Large]],0))</f>
        <v>275</v>
      </c>
      <c r="BA87" s="38">
        <f>SUM(PartyCompare_9[+2 (Hard)])/INDEX(Encounter_Mod[[Small]:[Large]], MATCH(PartyCompare_9[[#This Row],[Mob Size]], Encounter_Mod[Type], 0), MATCH(PartyCompare_9[[#This Row],[Party Size]],Encounter_Mod[[#Headers],[Small]:[Large]],0))</f>
        <v>412.5</v>
      </c>
      <c r="BB87" s="38">
        <f>SUM(PartyCompare_9[+2 (Deadly)])/INDEX(Encounter_Mod[[Small]:[Large]], MATCH(PartyCompare_9[[#This Row],[Mob Size]], Encounter_Mod[Type], 0), MATCH(PartyCompare_9[[#This Row],[Party Size]],Encounter_Mod[[#Headers],[Small]:[Large]],0))</f>
        <v>650</v>
      </c>
      <c r="BC87" s="46">
        <f>(PartyCompare_9[[#This Row],[+2 Easy]]-INDEX(PartyCompare_0[+2 Easy], MATCH(PartyCompare_9[[#This Row],[Mob Size]],PartyCompare_9[Mob Size],0)))/INDEX(PartyCompare_0[+2 Easy], MATCH(PartyCompare_9[[#This Row],[Mob Size]],PartyCompare_9[Mob Size],0))</f>
        <v>-8.3333333333333329E-2</v>
      </c>
      <c r="BD87" s="39">
        <f>(PartyCompare_9[[#This Row],[+2 Medium]]-INDEX(PartyCompare_0[+2 Medium], MATCH(PartyCompare_9[[#This Row],[Mob Size]],PartyCompare_9[Mob Size],0)))/INDEX(PartyCompare_0[+2 Medium], MATCH(PartyCompare_9[[#This Row],[Mob Size]],PartyCompare_9[Mob Size],0))</f>
        <v>-8.3333333333333329E-2</v>
      </c>
      <c r="BE87" s="39">
        <f>(PartyCompare_9[[#This Row],[+2 Hard]]-INDEX(PartyCompare_0[+2 Hard], MATCH(PartyCompare_9[[#This Row],[Mob Size]],PartyCompare_9[Mob Size],0)))/INDEX(PartyCompare_0[+2 Hard], MATCH(PartyCompare_9[[#This Row],[Mob Size]],PartyCompare_9[Mob Size],0))</f>
        <v>-8.3333333333333329E-2</v>
      </c>
      <c r="BF87" s="34">
        <f>(PartyCompare_9[[#This Row],[+2 Deadly]]-INDEX(PartyCompare_0[+2 Deadly], MATCH(PartyCompare_9[[#This Row],[Mob Size]],PartyCompare_9[Mob Size],0)))/INDEX(PartyCompare_0[+2 Deadly], MATCH(PartyCompare_9[[#This Row],[Mob Size]],PartyCompare_9[Mob Size],0))</f>
        <v>-0.1875</v>
      </c>
      <c r="BG87" s="48">
        <f>AVERAGE(PartyCompare_9[[#This Row],[+2 Easy Deviation]:[+2 Deadly Deviation]])</f>
        <v>-0.109375</v>
      </c>
      <c r="BH87" s="36">
        <f>IF(ISNUMBER(PartyCompare_9[[#This Row],[Level]]), PartyCompare_9[[#This Row],[Level]]+3, PartyCompare_9[[#This Row],[Level]])</f>
        <v>4</v>
      </c>
      <c r="BI87" s="36">
        <f>INDEX(Encounter_Diff[Easy], MATCH(PartyCompare_9[[#This Row],[+3 Level]],Encounter_Diff[Player Level],0))</f>
        <v>125</v>
      </c>
      <c r="BJ87" s="36">
        <f>INDEX(Encounter_Diff[Medium], MATCH(PartyCompare_9[[#This Row],[+3 Level]],Encounter_Diff[Player Level],0))</f>
        <v>250</v>
      </c>
      <c r="BK87" s="36">
        <f>INDEX(Encounter_Diff[Hard], MATCH(PartyCompare_9[[#This Row],[+3 Level]],Encounter_Diff[Player Level],0))</f>
        <v>375</v>
      </c>
      <c r="BL87" s="36">
        <f>INDEX(Encounter_Diff[Deadly], MATCH(PartyCompare_9[[#This Row],[+3 Level]],Encounter_Diff[Player Level],0))</f>
        <v>500</v>
      </c>
      <c r="BM87" s="63">
        <f>SUM(PartyCompare_9[+3 (Easy)])/INDEX(Encounter_Mod[[Small]:[Large]], MATCH(PartyCompare_9[[#This Row],[Mob Size]], Encounter_Mod[Type], 0), MATCH(PartyCompare_9[[#This Row],[Party Size]],Encounter_Mod[[#Headers],[Small]:[Large]],0))</f>
        <v>250</v>
      </c>
      <c r="BN87" s="38">
        <f>SUM(PartyCompare_9[+3 (Medium)])/INDEX(Encounter_Mod[[Small]:[Large]], MATCH(PartyCompare_9[[#This Row],[Mob Size]], Encounter_Mod[Type], 0), MATCH(PartyCompare_9[[#This Row],[Party Size]],Encounter_Mod[[#Headers],[Small]:[Large]],0))</f>
        <v>500</v>
      </c>
      <c r="BO87" s="38">
        <f>SUM(PartyCompare_9[+3 (Hard)])/INDEX(Encounter_Mod[[Small]:[Large]], MATCH(PartyCompare_9[[#This Row],[Mob Size]], Encounter_Mod[Type], 0), MATCH(PartyCompare_9[[#This Row],[Party Size]],Encounter_Mod[[#Headers],[Small]:[Large]],0))</f>
        <v>750</v>
      </c>
      <c r="BP87" s="38">
        <f>SUM(PartyCompare_9[+3 (Deadly)])/INDEX(Encounter_Mod[[Small]:[Large]], MATCH(PartyCompare_9[[#This Row],[Mob Size]], Encounter_Mod[Type], 0), MATCH(PartyCompare_9[[#This Row],[Party Size]],Encounter_Mod[[#Headers],[Small]:[Large]],0))</f>
        <v>1050</v>
      </c>
      <c r="BQ87" s="46">
        <f>(PartyCompare_9[[#This Row],[+3 Easy]]-INDEX(PartyCompare_0[+3 Easy], MATCH(PartyCompare_9[[#This Row],[Mob Size]],PartyCompare_9[Mob Size],0)))/INDEX(PartyCompare_0[+3 Easy], MATCH(PartyCompare_9[[#This Row],[Mob Size]],PartyCompare_9[Mob Size],0))</f>
        <v>0</v>
      </c>
      <c r="BR87" s="39">
        <f>(PartyCompare_9[[#This Row],[+3 Medium]]-INDEX(PartyCompare_0[+3 Medium], MATCH(PartyCompare_9[[#This Row],[Mob Size]],PartyCompare_9[Mob Size],0)))/INDEX(PartyCompare_0[+3 Medium], MATCH(PartyCompare_9[[#This Row],[Mob Size]],PartyCompare_9[Mob Size],0))</f>
        <v>0</v>
      </c>
      <c r="BS87" s="39">
        <f>(PartyCompare_9[[#This Row],[+3 Hard]]-INDEX(PartyCompare_0[+3 Hard], MATCH(PartyCompare_9[[#This Row],[Mob Size]],PartyCompare_9[Mob Size],0)))/INDEX(PartyCompare_0[+3 Hard], MATCH(PartyCompare_9[[#This Row],[Mob Size]],PartyCompare_9[Mob Size],0))</f>
        <v>0</v>
      </c>
      <c r="BT87" s="34">
        <f>(PartyCompare_9[[#This Row],[+3 Deadly]]-INDEX(PartyCompare_0[+3 Deadly], MATCH(PartyCompare_9[[#This Row],[Mob Size]],PartyCompare_9[Mob Size],0)))/INDEX(PartyCompare_0[+3 Deadly], MATCH(PartyCompare_9[[#This Row],[Mob Size]],PartyCompare_9[Mob Size],0))</f>
        <v>0.05</v>
      </c>
      <c r="BU87" s="48">
        <f>AVERAGE(PartyCompare_9[[#This Row],[+3 Easy Deviation]:[+3 Deadly Deviation]])</f>
        <v>1.2500000000000001E-2</v>
      </c>
      <c r="BV87" s="36">
        <f>IF(ISNUMBER(PartyCompare_9[[#This Row],[Level]]), PartyCompare_9[[#This Row],[Level]]+4, PartyCompare_9[[#This Row],[Level]])</f>
        <v>5</v>
      </c>
      <c r="BW87" s="36">
        <f>INDEX(Encounter_Diff[Easy], MATCH(PartyCompare_9[[#This Row],[+4 Level]],Encounter_Diff[Player Level],0))</f>
        <v>250</v>
      </c>
      <c r="BX87" s="36">
        <f>INDEX(Encounter_Diff[Medium], MATCH(PartyCompare_9[[#This Row],[+4 Level]],Encounter_Diff[Player Level],0))</f>
        <v>500</v>
      </c>
      <c r="BY87" s="36">
        <f>INDEX(Encounter_Diff[Hard], MATCH(PartyCompare_9[[#This Row],[+4 Level]],Encounter_Diff[Player Level],0))</f>
        <v>750</v>
      </c>
      <c r="BZ87" s="36">
        <f>INDEX(Encounter_Diff[Deadly], MATCH(PartyCompare_9[[#This Row],[+4 Level]],Encounter_Diff[Player Level],0))</f>
        <v>1100</v>
      </c>
      <c r="CA87" s="63">
        <f>SUM(PartyCompare_9[+4 (Easy)])/INDEX(Encounter_Mod[[Small]:[Large]], MATCH(PartyCompare_9[[#This Row],[Mob Size]], Encounter_Mod[Type], 0), MATCH(PartyCompare_9[[#This Row],[Party Size]],Encounter_Mod[[#Headers],[Small]:[Large]],0))</f>
        <v>400</v>
      </c>
      <c r="CB87" s="38">
        <f>SUM(PartyCompare_9[+4 (Medium)])/INDEX(Encounter_Mod[[Small]:[Large]], MATCH(PartyCompare_9[[#This Row],[Mob Size]], Encounter_Mod[Type], 0), MATCH(PartyCompare_9[[#This Row],[Party Size]],Encounter_Mod[[#Headers],[Small]:[Large]],0))</f>
        <v>800</v>
      </c>
      <c r="CC87" s="38">
        <f>SUM(PartyCompare_9[+4 (Hard)])/INDEX(Encounter_Mod[[Small]:[Large]], MATCH(PartyCompare_9[[#This Row],[Mob Size]], Encounter_Mod[Type], 0), MATCH(PartyCompare_9[[#This Row],[Party Size]],Encounter_Mod[[#Headers],[Small]:[Large]],0))</f>
        <v>1200</v>
      </c>
      <c r="CD87" s="38">
        <f>SUM(PartyCompare_9[+4 (Deadly)])/INDEX(Encounter_Mod[[Small]:[Large]], MATCH(PartyCompare_9[[#This Row],[Mob Size]], Encounter_Mod[Type], 0), MATCH(PartyCompare_9[[#This Row],[Party Size]],Encounter_Mod[[#Headers],[Small]:[Large]],0))</f>
        <v>1800</v>
      </c>
      <c r="CE87" s="46">
        <f>(PartyCompare_9[[#This Row],[+4 Easy]]-INDEX(PartyCompare_0[+4 Easy], MATCH(PartyCompare_9[[#This Row],[Mob Size]],PartyCompare_9[Mob Size],0)))/INDEX(PartyCompare_0[+4 Easy], MATCH(PartyCompare_9[[#This Row],[Mob Size]],PartyCompare_9[Mob Size],0))</f>
        <v>-0.2</v>
      </c>
      <c r="CF87" s="39">
        <f>(PartyCompare_9[[#This Row],[+4 Medium]]-INDEX(PartyCompare_0[+4 Medium], MATCH(PartyCompare_9[[#This Row],[Mob Size]],PartyCompare_9[Mob Size],0)))/INDEX(PartyCompare_0[+4 Medium], MATCH(PartyCompare_9[[#This Row],[Mob Size]],PartyCompare_9[Mob Size],0))</f>
        <v>-0.2</v>
      </c>
      <c r="CG87" s="39">
        <f>(PartyCompare_9[[#This Row],[+4 Hard]]-INDEX(PartyCompare_0[+4 Hard], MATCH(PartyCompare_9[[#This Row],[Mob Size]],PartyCompare_9[Mob Size],0)))/INDEX(PartyCompare_0[+4 Hard], MATCH(PartyCompare_9[[#This Row],[Mob Size]],PartyCompare_9[Mob Size],0))</f>
        <v>-0.2</v>
      </c>
      <c r="CH87" s="34">
        <f>(PartyCompare_9[[#This Row],[+4 Deadly]]-INDEX(PartyCompare_0[+4 Deadly], MATCH(PartyCompare_9[[#This Row],[Mob Size]],PartyCompare_9[Mob Size],0)))/INDEX(PartyCompare_0[+4 Deadly], MATCH(PartyCompare_9[[#This Row],[Mob Size]],PartyCompare_9[Mob Size],0))</f>
        <v>-0.18181818181818182</v>
      </c>
      <c r="CI87" s="48">
        <f>AVERAGE(PartyCompare_9[[#This Row],[+4 Easy Deviation]:[+4 Deadly Deviation]])</f>
        <v>-0.19545454545454549</v>
      </c>
    </row>
    <row r="88" spans="12:87" x14ac:dyDescent="0.2">
      <c r="L88" s="233"/>
      <c r="M88" s="91"/>
      <c r="N88" s="90"/>
      <c r="O88" s="32">
        <f>INDEX(Encounter_Diff[Easy], MATCH(PartyCompare_9[[#This Row],[Level]],Encounter_Diff[Player Level],0))</f>
        <v>0</v>
      </c>
      <c r="P88" s="32">
        <f>INDEX(Encounter_Diff[Medium], MATCH(PartyCompare_9[[#This Row],[Level]],Encounter_Diff[Player Level],0))</f>
        <v>0</v>
      </c>
      <c r="Q88" s="32">
        <f>INDEX(Encounter_Diff[Hard], MATCH(PartyCompare_9[[#This Row],[Level]],Encounter_Diff[Player Level],0))</f>
        <v>0</v>
      </c>
      <c r="R88" s="30">
        <f>INDEX(Encounter_Diff[Deadly], MATCH(PartyCompare_9[[#This Row],[Level]],Encounter_Diff[Player Level],0))</f>
        <v>0</v>
      </c>
      <c r="S88" s="97" t="str">
        <f t="shared" si="9"/>
        <v>2, 1, 1</v>
      </c>
      <c r="T88" s="32" t="str">
        <f>IF(COUNT(PartyCompare_9[Level])&lt;=2,"Small", IF(COUNT(PartyCompare_9[Level])&lt;=5,"Med", IF(COUNT(PartyCompare_9[Level])&lt;=8, "Large", "TOO BIG!")))</f>
        <v>Med</v>
      </c>
      <c r="U88" s="73" t="s">
        <v>110</v>
      </c>
      <c r="V88" s="77" t="str">
        <f>INDEX(Encounter_Mod[Count], MATCH(PartyCompare_9[[#This Row],[Mob Size]], Encounter_Mod[Type],0))</f>
        <v>7-10</v>
      </c>
      <c r="W88" s="81">
        <f>SUM(PartyCompare_9[(Easy)])/INDEX(Encounter_Mod[[Small]:[Large]], MATCH(PartyCompare_9[[#This Row],[Mob Size]], Encounter_Mod[Type], 0), MATCH(PartyCompare_9[[#This Row],[Party Size]],Encounter_Mod[[#Headers],[Small]:[Large]],0))</f>
        <v>40</v>
      </c>
      <c r="X88" s="42">
        <f>SUM(PartyCompare_9[(Medium)])/INDEX(Encounter_Mod[[Small]:[Large]], MATCH(PartyCompare_9[[#This Row],[Mob Size]], Encounter_Mod[Type], 0), MATCH(PartyCompare_9[[#This Row],[Party Size]],Encounter_Mod[[#Headers],[Small]:[Large]],0))</f>
        <v>80</v>
      </c>
      <c r="Y88" s="42">
        <f>SUM(PartyCompare_9[(Hard)])/INDEX(Encounter_Mod[[Small]:[Large]], MATCH(PartyCompare_9[[#This Row],[Mob Size]], Encounter_Mod[Type], 0), MATCH(PartyCompare_9[[#This Row],[Party Size]],Encounter_Mod[[#Headers],[Small]:[Large]],0))</f>
        <v>120</v>
      </c>
      <c r="Z88" s="43">
        <f>SUM(PartyCompare_9[(Deadly)])/INDEX(Encounter_Mod[[Small]:[Large]], MATCH(PartyCompare_9[[#This Row],[Mob Size]], Encounter_Mod[Type], 0), MATCH(PartyCompare_9[[#This Row],[Party Size]],Encounter_Mod[[#Headers],[Small]:[Large]],0))</f>
        <v>160</v>
      </c>
      <c r="AA88" s="46">
        <f>(PartyCompare_9[[#This Row],[Easy]]-INDEX(PartyCompare_0[Easy], MATCH(PartyCompare_9[[#This Row],[Mob Size]],PartyCompare_0[Mob Size],0)))/INDEX(PartyCompare_0[Easy], MATCH(PartyCompare_9[[#This Row],[Mob Size]],PartyCompare_0[Mob Size],0))</f>
        <v>0</v>
      </c>
      <c r="AB88" s="33">
        <f>(PartyCompare_9[[#This Row],[Medium]]-INDEX(PartyCompare_0[Medium], MATCH(PartyCompare_9[[#This Row],[Mob Size]],PartyCompare_0[Mob Size],0)))/INDEX(PartyCompare_0[Medium], MATCH(PartyCompare_9[[#This Row],[Mob Size]],PartyCompare_0[Mob Size],0))</f>
        <v>0</v>
      </c>
      <c r="AC88" s="33">
        <f>(PartyCompare_9[[#This Row],[Hard]]-INDEX(PartyCompare_0[Hard], MATCH(PartyCompare_9[[#This Row],[Mob Size]],PartyCompare_0[Mob Size],0)))/INDEX(PartyCompare_0[Hard], MATCH(PartyCompare_9[[#This Row],[Mob Size]],PartyCompare_0[Mob Size],0))</f>
        <v>0</v>
      </c>
      <c r="AD88" s="34">
        <f>(PartyCompare_9[[#This Row],[Deadly]]-INDEX(PartyCompare_0[Deadly], MATCH(PartyCompare_9[[#This Row],[Mob Size]],PartyCompare_0[Mob Size],0)))/INDEX(PartyCompare_0[Deadly], MATCH(PartyCompare_9[[#This Row],[Mob Size]],PartyCompare_0[Mob Size],0))</f>
        <v>0</v>
      </c>
      <c r="AE88" s="48">
        <f>AVERAGE(PartyCompare_9[[#This Row],[Easy Deviation]:[Deadly Deviation]])</f>
        <v>0</v>
      </c>
      <c r="AF88" s="36">
        <f>IF(ISNUMBER(PartyCompare_9[[#This Row],[Level]]), PartyCompare_9[[#This Row],[Level]]+1, PartyCompare_9[[#This Row],[Level]])</f>
        <v>0</v>
      </c>
      <c r="AG88" s="36">
        <f>INDEX(Encounter_Diff[Easy], MATCH(PartyCompare_9[[#This Row],[+1 Level]],Encounter_Diff[Player Level],0))</f>
        <v>0</v>
      </c>
      <c r="AH88" s="36">
        <f>INDEX(Encounter_Diff[Medium], MATCH(PartyCompare_9[[#This Row],[+1 Level]],Encounter_Diff[Player Level],0))</f>
        <v>0</v>
      </c>
      <c r="AI88" s="36">
        <f>INDEX(Encounter_Diff[Hard], MATCH(PartyCompare_9[[#This Row],[+1 Level]],Encounter_Diff[Player Level],0))</f>
        <v>0</v>
      </c>
      <c r="AJ88" s="36">
        <f>INDEX(Encounter_Diff[Deadly], MATCH(PartyCompare_9[[#This Row],[+1 Level]],Encounter_Diff[Player Level],0))</f>
        <v>0</v>
      </c>
      <c r="AK88" s="63">
        <f>SUM(PartyCompare_9[+1 (Easy)])/INDEX(Encounter_Mod[[Small]:[Large]], MATCH(PartyCompare_9[[#This Row],[Mob Size]], Encounter_Mod[Type], 0), MATCH(PartyCompare_9[[#This Row],[Party Size]],Encounter_Mod[[#Headers],[Small]:[Large]],0))</f>
        <v>70</v>
      </c>
      <c r="AL88" s="38">
        <f>SUM(PartyCompare_9[+1 (Medium)])/INDEX(Encounter_Mod[[Small]:[Large]], MATCH(PartyCompare_9[[#This Row],[Mob Size]], Encounter_Mod[Type], 0), MATCH(PartyCompare_9[[#This Row],[Party Size]],Encounter_Mod[[#Headers],[Small]:[Large]],0))</f>
        <v>140</v>
      </c>
      <c r="AM88" s="38">
        <f>SUM(PartyCompare_9[+1 (Hard)])/INDEX(Encounter_Mod[[Small]:[Large]], MATCH(PartyCompare_9[[#This Row],[Mob Size]], Encounter_Mod[Type], 0), MATCH(PartyCompare_9[[#This Row],[Party Size]],Encounter_Mod[[#Headers],[Small]:[Large]],0))</f>
        <v>210</v>
      </c>
      <c r="AN88" s="38">
        <f>SUM(PartyCompare_9[+1 (Deadly)])/INDEX(Encounter_Mod[[Small]:[Large]], MATCH(PartyCompare_9[[#This Row],[Mob Size]], Encounter_Mod[Type], 0), MATCH(PartyCompare_9[[#This Row],[Party Size]],Encounter_Mod[[#Headers],[Small]:[Large]],0))</f>
        <v>320</v>
      </c>
      <c r="AO88" s="46">
        <f>(PartyCompare_9[[#This Row],[+1 Easy]]-INDEX(PartyCompare_0[+1 Easy], MATCH(PartyCompare_9[[#This Row],[Mob Size]],PartyCompare_9[Mob Size],0)))/INDEX(PartyCompare_0[+1 Easy], MATCH(PartyCompare_9[[#This Row],[Mob Size]],PartyCompare_9[Mob Size],0))</f>
        <v>-0.125</v>
      </c>
      <c r="AP88" s="39">
        <f>(PartyCompare_9[[#This Row],[+1 Medium]]-INDEX(PartyCompare_0[+1 Medium], MATCH(PartyCompare_9[[#This Row],[Mob Size]],PartyCompare_9[Mob Size],0)))/INDEX(PartyCompare_0[+1 Medium], MATCH(PartyCompare_9[[#This Row],[Mob Size]],PartyCompare_9[Mob Size],0))</f>
        <v>-0.125</v>
      </c>
      <c r="AQ88" s="39">
        <f>(PartyCompare_9[[#This Row],[+1 Hard]]-INDEX(PartyCompare_0[+1 Hard], MATCH(PartyCompare_9[[#This Row],[Mob Size]],PartyCompare_9[Mob Size],0)))/INDEX(PartyCompare_0[+1 Hard], MATCH(PartyCompare_9[[#This Row],[Mob Size]],PartyCompare_9[Mob Size],0))</f>
        <v>-0.125</v>
      </c>
      <c r="AR88" s="34">
        <f>(PartyCompare_9[[#This Row],[+1 Deadly]]-INDEX(PartyCompare_0[+1 Deadly], MATCH(PartyCompare_9[[#This Row],[Mob Size]],PartyCompare_9[Mob Size],0)))/INDEX(PartyCompare_0[+1 Deadly], MATCH(PartyCompare_9[[#This Row],[Mob Size]],PartyCompare_9[Mob Size],0))</f>
        <v>0</v>
      </c>
      <c r="AS88" s="48">
        <f>AVERAGE(PartyCompare_9[[#This Row],[+1 Easy Deviation]:[+1 Deadly Deviation]])</f>
        <v>-9.375E-2</v>
      </c>
      <c r="AT88" s="36">
        <f>IF(ISNUMBER(PartyCompare_9[[#This Row],[Level]]), PartyCompare_9[[#This Row],[Level]]+2, PartyCompare_9[[#This Row],[Level]])</f>
        <v>0</v>
      </c>
      <c r="AU88" s="36">
        <f>INDEX(Encounter_Diff[Easy], MATCH(PartyCompare_9[[#This Row],[+2 Level]],Encounter_Diff[Player Level],0))</f>
        <v>0</v>
      </c>
      <c r="AV88" s="36">
        <f>INDEX(Encounter_Diff[Medium], MATCH(PartyCompare_9[[#This Row],[+2 Level]],Encounter_Diff[Player Level],0))</f>
        <v>0</v>
      </c>
      <c r="AW88" s="36">
        <f>INDEX(Encounter_Diff[Hard], MATCH(PartyCompare_9[[#This Row],[+2 Level]],Encounter_Diff[Player Level],0))</f>
        <v>0</v>
      </c>
      <c r="AX88" s="36">
        <f>INDEX(Encounter_Diff[Deadly], MATCH(PartyCompare_9[[#This Row],[+2 Level]],Encounter_Diff[Player Level],0))</f>
        <v>0</v>
      </c>
      <c r="AY88" s="63">
        <f>SUM(PartyCompare_9[+2 (Easy)])/INDEX(Encounter_Mod[[Small]:[Large]], MATCH(PartyCompare_9[[#This Row],[Mob Size]], Encounter_Mod[Type], 0), MATCH(PartyCompare_9[[#This Row],[Party Size]],Encounter_Mod[[#Headers],[Small]:[Large]],0))</f>
        <v>110</v>
      </c>
      <c r="AZ88" s="38">
        <f>SUM(PartyCompare_9[+2 (Medium)])/INDEX(Encounter_Mod[[Small]:[Large]], MATCH(PartyCompare_9[[#This Row],[Mob Size]], Encounter_Mod[Type], 0), MATCH(PartyCompare_9[[#This Row],[Party Size]],Encounter_Mod[[#Headers],[Small]:[Large]],0))</f>
        <v>220</v>
      </c>
      <c r="BA88" s="38">
        <f>SUM(PartyCompare_9[+2 (Hard)])/INDEX(Encounter_Mod[[Small]:[Large]], MATCH(PartyCompare_9[[#This Row],[Mob Size]], Encounter_Mod[Type], 0), MATCH(PartyCompare_9[[#This Row],[Party Size]],Encounter_Mod[[#Headers],[Small]:[Large]],0))</f>
        <v>330</v>
      </c>
      <c r="BB88" s="38">
        <f>SUM(PartyCompare_9[+2 (Deadly)])/INDEX(Encounter_Mod[[Small]:[Large]], MATCH(PartyCompare_9[[#This Row],[Mob Size]], Encounter_Mod[Type], 0), MATCH(PartyCompare_9[[#This Row],[Party Size]],Encounter_Mod[[#Headers],[Small]:[Large]],0))</f>
        <v>520</v>
      </c>
      <c r="BC88" s="46">
        <f>(PartyCompare_9[[#This Row],[+2 Easy]]-INDEX(PartyCompare_0[+2 Easy], MATCH(PartyCompare_9[[#This Row],[Mob Size]],PartyCompare_9[Mob Size],0)))/INDEX(PartyCompare_0[+2 Easy], MATCH(PartyCompare_9[[#This Row],[Mob Size]],PartyCompare_9[Mob Size],0))</f>
        <v>-8.3333333333333329E-2</v>
      </c>
      <c r="BD88" s="39">
        <f>(PartyCompare_9[[#This Row],[+2 Medium]]-INDEX(PartyCompare_0[+2 Medium], MATCH(PartyCompare_9[[#This Row],[Mob Size]],PartyCompare_9[Mob Size],0)))/INDEX(PartyCompare_0[+2 Medium], MATCH(PartyCompare_9[[#This Row],[Mob Size]],PartyCompare_9[Mob Size],0))</f>
        <v>-8.3333333333333329E-2</v>
      </c>
      <c r="BE88" s="39">
        <f>(PartyCompare_9[[#This Row],[+2 Hard]]-INDEX(PartyCompare_0[+2 Hard], MATCH(PartyCompare_9[[#This Row],[Mob Size]],PartyCompare_9[Mob Size],0)))/INDEX(PartyCompare_0[+2 Hard], MATCH(PartyCompare_9[[#This Row],[Mob Size]],PartyCompare_9[Mob Size],0))</f>
        <v>-8.3333333333333329E-2</v>
      </c>
      <c r="BF88" s="34">
        <f>(PartyCompare_9[[#This Row],[+2 Deadly]]-INDEX(PartyCompare_0[+2 Deadly], MATCH(PartyCompare_9[[#This Row],[Mob Size]],PartyCompare_9[Mob Size],0)))/INDEX(PartyCompare_0[+2 Deadly], MATCH(PartyCompare_9[[#This Row],[Mob Size]],PartyCompare_9[Mob Size],0))</f>
        <v>-0.1875</v>
      </c>
      <c r="BG88" s="48">
        <f>AVERAGE(PartyCompare_9[[#This Row],[+2 Easy Deviation]:[+2 Deadly Deviation]])</f>
        <v>-0.109375</v>
      </c>
      <c r="BH88" s="36">
        <f>IF(ISNUMBER(PartyCompare_9[[#This Row],[Level]]), PartyCompare_9[[#This Row],[Level]]+3, PartyCompare_9[[#This Row],[Level]])</f>
        <v>0</v>
      </c>
      <c r="BI88" s="36">
        <f>INDEX(Encounter_Diff[Easy], MATCH(PartyCompare_9[[#This Row],[+3 Level]],Encounter_Diff[Player Level],0))</f>
        <v>0</v>
      </c>
      <c r="BJ88" s="36">
        <f>INDEX(Encounter_Diff[Medium], MATCH(PartyCompare_9[[#This Row],[+3 Level]],Encounter_Diff[Player Level],0))</f>
        <v>0</v>
      </c>
      <c r="BK88" s="36">
        <f>INDEX(Encounter_Diff[Hard], MATCH(PartyCompare_9[[#This Row],[+3 Level]],Encounter_Diff[Player Level],0))</f>
        <v>0</v>
      </c>
      <c r="BL88" s="36">
        <f>INDEX(Encounter_Diff[Deadly], MATCH(PartyCompare_9[[#This Row],[+3 Level]],Encounter_Diff[Player Level],0))</f>
        <v>0</v>
      </c>
      <c r="BM88" s="63">
        <f>SUM(PartyCompare_9[+3 (Easy)])/INDEX(Encounter_Mod[[Small]:[Large]], MATCH(PartyCompare_9[[#This Row],[Mob Size]], Encounter_Mod[Type], 0), MATCH(PartyCompare_9[[#This Row],[Party Size]],Encounter_Mod[[#Headers],[Small]:[Large]],0))</f>
        <v>200</v>
      </c>
      <c r="BN88" s="38">
        <f>SUM(PartyCompare_9[+3 (Medium)])/INDEX(Encounter_Mod[[Small]:[Large]], MATCH(PartyCompare_9[[#This Row],[Mob Size]], Encounter_Mod[Type], 0), MATCH(PartyCompare_9[[#This Row],[Party Size]],Encounter_Mod[[#Headers],[Small]:[Large]],0))</f>
        <v>400</v>
      </c>
      <c r="BO88" s="38">
        <f>SUM(PartyCompare_9[+3 (Hard)])/INDEX(Encounter_Mod[[Small]:[Large]], MATCH(PartyCompare_9[[#This Row],[Mob Size]], Encounter_Mod[Type], 0), MATCH(PartyCompare_9[[#This Row],[Party Size]],Encounter_Mod[[#Headers],[Small]:[Large]],0))</f>
        <v>600</v>
      </c>
      <c r="BP88" s="38">
        <f>SUM(PartyCompare_9[+3 (Deadly)])/INDEX(Encounter_Mod[[Small]:[Large]], MATCH(PartyCompare_9[[#This Row],[Mob Size]], Encounter_Mod[Type], 0), MATCH(PartyCompare_9[[#This Row],[Party Size]],Encounter_Mod[[#Headers],[Small]:[Large]],0))</f>
        <v>840</v>
      </c>
      <c r="BQ88" s="46">
        <f>(PartyCompare_9[[#This Row],[+3 Easy]]-INDEX(PartyCompare_0[+3 Easy], MATCH(PartyCompare_9[[#This Row],[Mob Size]],PartyCompare_9[Mob Size],0)))/INDEX(PartyCompare_0[+3 Easy], MATCH(PartyCompare_9[[#This Row],[Mob Size]],PartyCompare_9[Mob Size],0))</f>
        <v>0</v>
      </c>
      <c r="BR88" s="39">
        <f>(PartyCompare_9[[#This Row],[+3 Medium]]-INDEX(PartyCompare_0[+3 Medium], MATCH(PartyCompare_9[[#This Row],[Mob Size]],PartyCompare_9[Mob Size],0)))/INDEX(PartyCompare_0[+3 Medium], MATCH(PartyCompare_9[[#This Row],[Mob Size]],PartyCompare_9[Mob Size],0))</f>
        <v>0</v>
      </c>
      <c r="BS88" s="39">
        <f>(PartyCompare_9[[#This Row],[+3 Hard]]-INDEX(PartyCompare_0[+3 Hard], MATCH(PartyCompare_9[[#This Row],[Mob Size]],PartyCompare_9[Mob Size],0)))/INDEX(PartyCompare_0[+3 Hard], MATCH(PartyCompare_9[[#This Row],[Mob Size]],PartyCompare_9[Mob Size],0))</f>
        <v>0</v>
      </c>
      <c r="BT88" s="34">
        <f>(PartyCompare_9[[#This Row],[+3 Deadly]]-INDEX(PartyCompare_0[+3 Deadly], MATCH(PartyCompare_9[[#This Row],[Mob Size]],PartyCompare_9[Mob Size],0)))/INDEX(PartyCompare_0[+3 Deadly], MATCH(PartyCompare_9[[#This Row],[Mob Size]],PartyCompare_9[Mob Size],0))</f>
        <v>0.05</v>
      </c>
      <c r="BU88" s="48">
        <f>AVERAGE(PartyCompare_9[[#This Row],[+3 Easy Deviation]:[+3 Deadly Deviation]])</f>
        <v>1.2500000000000001E-2</v>
      </c>
      <c r="BV88" s="36">
        <f>IF(ISNUMBER(PartyCompare_9[[#This Row],[Level]]), PartyCompare_9[[#This Row],[Level]]+4, PartyCompare_9[[#This Row],[Level]])</f>
        <v>0</v>
      </c>
      <c r="BW88" s="36">
        <f>INDEX(Encounter_Diff[Easy], MATCH(PartyCompare_9[[#This Row],[+4 Level]],Encounter_Diff[Player Level],0))</f>
        <v>0</v>
      </c>
      <c r="BX88" s="36">
        <f>INDEX(Encounter_Diff[Medium], MATCH(PartyCompare_9[[#This Row],[+4 Level]],Encounter_Diff[Player Level],0))</f>
        <v>0</v>
      </c>
      <c r="BY88" s="36">
        <f>INDEX(Encounter_Diff[Hard], MATCH(PartyCompare_9[[#This Row],[+4 Level]],Encounter_Diff[Player Level],0))</f>
        <v>0</v>
      </c>
      <c r="BZ88" s="36">
        <f>INDEX(Encounter_Diff[Deadly], MATCH(PartyCompare_9[[#This Row],[+4 Level]],Encounter_Diff[Player Level],0))</f>
        <v>0</v>
      </c>
      <c r="CA88" s="63">
        <f>SUM(PartyCompare_9[+4 (Easy)])/INDEX(Encounter_Mod[[Small]:[Large]], MATCH(PartyCompare_9[[#This Row],[Mob Size]], Encounter_Mod[Type], 0), MATCH(PartyCompare_9[[#This Row],[Party Size]],Encounter_Mod[[#Headers],[Small]:[Large]],0))</f>
        <v>320</v>
      </c>
      <c r="CB88" s="38">
        <f>SUM(PartyCompare_9[+4 (Medium)])/INDEX(Encounter_Mod[[Small]:[Large]], MATCH(PartyCompare_9[[#This Row],[Mob Size]], Encounter_Mod[Type], 0), MATCH(PartyCompare_9[[#This Row],[Party Size]],Encounter_Mod[[#Headers],[Small]:[Large]],0))</f>
        <v>640</v>
      </c>
      <c r="CC88" s="38">
        <f>SUM(PartyCompare_9[+4 (Hard)])/INDEX(Encounter_Mod[[Small]:[Large]], MATCH(PartyCompare_9[[#This Row],[Mob Size]], Encounter_Mod[Type], 0), MATCH(PartyCompare_9[[#This Row],[Party Size]],Encounter_Mod[[#Headers],[Small]:[Large]],0))</f>
        <v>960</v>
      </c>
      <c r="CD88" s="38">
        <f>SUM(PartyCompare_9[+4 (Deadly)])/INDEX(Encounter_Mod[[Small]:[Large]], MATCH(PartyCompare_9[[#This Row],[Mob Size]], Encounter_Mod[Type], 0), MATCH(PartyCompare_9[[#This Row],[Party Size]],Encounter_Mod[[#Headers],[Small]:[Large]],0))</f>
        <v>1440</v>
      </c>
      <c r="CE88" s="46">
        <f>(PartyCompare_9[[#This Row],[+4 Easy]]-INDEX(PartyCompare_0[+4 Easy], MATCH(PartyCompare_9[[#This Row],[Mob Size]],PartyCompare_9[Mob Size],0)))/INDEX(PartyCompare_0[+4 Easy], MATCH(PartyCompare_9[[#This Row],[Mob Size]],PartyCompare_9[Mob Size],0))</f>
        <v>-0.2</v>
      </c>
      <c r="CF88" s="39">
        <f>(PartyCompare_9[[#This Row],[+4 Medium]]-INDEX(PartyCompare_0[+4 Medium], MATCH(PartyCompare_9[[#This Row],[Mob Size]],PartyCompare_9[Mob Size],0)))/INDEX(PartyCompare_0[+4 Medium], MATCH(PartyCompare_9[[#This Row],[Mob Size]],PartyCompare_9[Mob Size],0))</f>
        <v>-0.2</v>
      </c>
      <c r="CG88" s="39">
        <f>(PartyCompare_9[[#This Row],[+4 Hard]]-INDEX(PartyCompare_0[+4 Hard], MATCH(PartyCompare_9[[#This Row],[Mob Size]],PartyCompare_9[Mob Size],0)))/INDEX(PartyCompare_0[+4 Hard], MATCH(PartyCompare_9[[#This Row],[Mob Size]],PartyCompare_9[Mob Size],0))</f>
        <v>-0.2</v>
      </c>
      <c r="CH88" s="34">
        <f>(PartyCompare_9[[#This Row],[+4 Deadly]]-INDEX(PartyCompare_0[+4 Deadly], MATCH(PartyCompare_9[[#This Row],[Mob Size]],PartyCompare_9[Mob Size],0)))/INDEX(PartyCompare_0[+4 Deadly], MATCH(PartyCompare_9[[#This Row],[Mob Size]],PartyCompare_9[Mob Size],0))</f>
        <v>-0.18181818181818182</v>
      </c>
      <c r="CI88" s="48">
        <f>AVERAGE(PartyCompare_9[[#This Row],[+4 Easy Deviation]:[+4 Deadly Deviation]])</f>
        <v>-0.19545454545454549</v>
      </c>
    </row>
    <row r="89" spans="12:87" x14ac:dyDescent="0.2">
      <c r="L89" s="233"/>
      <c r="M89" s="91"/>
      <c r="N89" s="90"/>
      <c r="O89" s="32">
        <f>INDEX(Encounter_Diff[Easy], MATCH(PartyCompare_9[[#This Row],[Level]],Encounter_Diff[Player Level],0))</f>
        <v>0</v>
      </c>
      <c r="P89" s="32">
        <f>INDEX(Encounter_Diff[Medium], MATCH(PartyCompare_9[[#This Row],[Level]],Encounter_Diff[Player Level],0))</f>
        <v>0</v>
      </c>
      <c r="Q89" s="32">
        <f>INDEX(Encounter_Diff[Hard], MATCH(PartyCompare_9[[#This Row],[Level]],Encounter_Diff[Player Level],0))</f>
        <v>0</v>
      </c>
      <c r="R89" s="30">
        <f>INDEX(Encounter_Diff[Deadly], MATCH(PartyCompare_9[[#This Row],[Level]],Encounter_Diff[Player Level],0))</f>
        <v>0</v>
      </c>
      <c r="S89" s="97" t="str">
        <f t="shared" si="9"/>
        <v>2, 1, 1</v>
      </c>
      <c r="T89" s="32" t="str">
        <f>IF(COUNT(PartyCompare_9[Level])&lt;=2,"Small", IF(COUNT(PartyCompare_9[Level])&lt;=5,"Med", IF(COUNT(PartyCompare_9[Level])&lt;=8, "Large", "TOO BIG!")))</f>
        <v>Med</v>
      </c>
      <c r="U89" s="73" t="s">
        <v>111</v>
      </c>
      <c r="V89" s="77" t="str">
        <f>INDEX(Encounter_Mod[Count], MATCH(PartyCompare_9[[#This Row],[Mob Size]], Encounter_Mod[Type],0))</f>
        <v>11-14</v>
      </c>
      <c r="W89" s="81">
        <f>SUM(PartyCompare_9[(Easy)])/INDEX(Encounter_Mod[[Small]:[Large]], MATCH(PartyCompare_9[[#This Row],[Mob Size]], Encounter_Mod[Type], 0), MATCH(PartyCompare_9[[#This Row],[Party Size]],Encounter_Mod[[#Headers],[Small]:[Large]],0))</f>
        <v>33.333333333333336</v>
      </c>
      <c r="X89" s="42">
        <f>SUM(PartyCompare_9[(Medium)])/INDEX(Encounter_Mod[[Small]:[Large]], MATCH(PartyCompare_9[[#This Row],[Mob Size]], Encounter_Mod[Type], 0), MATCH(PartyCompare_9[[#This Row],[Party Size]],Encounter_Mod[[#Headers],[Small]:[Large]],0))</f>
        <v>66.666666666666671</v>
      </c>
      <c r="Y89" s="42">
        <f>SUM(PartyCompare_9[(Hard)])/INDEX(Encounter_Mod[[Small]:[Large]], MATCH(PartyCompare_9[[#This Row],[Mob Size]], Encounter_Mod[Type], 0), MATCH(PartyCompare_9[[#This Row],[Party Size]],Encounter_Mod[[#Headers],[Small]:[Large]],0))</f>
        <v>100</v>
      </c>
      <c r="Z89" s="43">
        <f>SUM(PartyCompare_9[(Deadly)])/INDEX(Encounter_Mod[[Small]:[Large]], MATCH(PartyCompare_9[[#This Row],[Mob Size]], Encounter_Mod[Type], 0), MATCH(PartyCompare_9[[#This Row],[Party Size]],Encounter_Mod[[#Headers],[Small]:[Large]],0))</f>
        <v>133.33333333333334</v>
      </c>
      <c r="AA89" s="46">
        <f>(PartyCompare_9[[#This Row],[Easy]]-INDEX(PartyCompare_0[Easy], MATCH(PartyCompare_9[[#This Row],[Mob Size]],PartyCompare_0[Mob Size],0)))/INDEX(PartyCompare_0[Easy], MATCH(PartyCompare_9[[#This Row],[Mob Size]],PartyCompare_0[Mob Size],0))</f>
        <v>0</v>
      </c>
      <c r="AB89" s="33">
        <f>(PartyCompare_9[[#This Row],[Medium]]-INDEX(PartyCompare_0[Medium], MATCH(PartyCompare_9[[#This Row],[Mob Size]],PartyCompare_0[Mob Size],0)))/INDEX(PartyCompare_0[Medium], MATCH(PartyCompare_9[[#This Row],[Mob Size]],PartyCompare_0[Mob Size],0))</f>
        <v>0</v>
      </c>
      <c r="AC89" s="33">
        <f>(PartyCompare_9[[#This Row],[Hard]]-INDEX(PartyCompare_0[Hard], MATCH(PartyCompare_9[[#This Row],[Mob Size]],PartyCompare_0[Mob Size],0)))/INDEX(PartyCompare_0[Hard], MATCH(PartyCompare_9[[#This Row],[Mob Size]],PartyCompare_0[Mob Size],0))</f>
        <v>0</v>
      </c>
      <c r="AD89" s="34">
        <f>(PartyCompare_9[[#This Row],[Deadly]]-INDEX(PartyCompare_0[Deadly], MATCH(PartyCompare_9[[#This Row],[Mob Size]],PartyCompare_0[Mob Size],0)))/INDEX(PartyCompare_0[Deadly], MATCH(PartyCompare_9[[#This Row],[Mob Size]],PartyCompare_0[Mob Size],0))</f>
        <v>0</v>
      </c>
      <c r="AE89" s="48">
        <f>AVERAGE(PartyCompare_9[[#This Row],[Easy Deviation]:[Deadly Deviation]])</f>
        <v>0</v>
      </c>
      <c r="AF89" s="36">
        <f>IF(ISNUMBER(PartyCompare_9[[#This Row],[Level]]), PartyCompare_9[[#This Row],[Level]]+1, PartyCompare_9[[#This Row],[Level]])</f>
        <v>0</v>
      </c>
      <c r="AG89" s="36">
        <f>INDEX(Encounter_Diff[Easy], MATCH(PartyCompare_9[[#This Row],[+1 Level]],Encounter_Diff[Player Level],0))</f>
        <v>0</v>
      </c>
      <c r="AH89" s="36">
        <f>INDEX(Encounter_Diff[Medium], MATCH(PartyCompare_9[[#This Row],[+1 Level]],Encounter_Diff[Player Level],0))</f>
        <v>0</v>
      </c>
      <c r="AI89" s="36">
        <f>INDEX(Encounter_Diff[Hard], MATCH(PartyCompare_9[[#This Row],[+1 Level]],Encounter_Diff[Player Level],0))</f>
        <v>0</v>
      </c>
      <c r="AJ89" s="36">
        <f>INDEX(Encounter_Diff[Deadly], MATCH(PartyCompare_9[[#This Row],[+1 Level]],Encounter_Diff[Player Level],0))</f>
        <v>0</v>
      </c>
      <c r="AK89" s="63">
        <f>SUM(PartyCompare_9[+1 (Easy)])/INDEX(Encounter_Mod[[Small]:[Large]], MATCH(PartyCompare_9[[#This Row],[Mob Size]], Encounter_Mod[Type], 0), MATCH(PartyCompare_9[[#This Row],[Party Size]],Encounter_Mod[[#Headers],[Small]:[Large]],0))</f>
        <v>58.333333333333336</v>
      </c>
      <c r="AL89" s="38">
        <f>SUM(PartyCompare_9[+1 (Medium)])/INDEX(Encounter_Mod[[Small]:[Large]], MATCH(PartyCompare_9[[#This Row],[Mob Size]], Encounter_Mod[Type], 0), MATCH(PartyCompare_9[[#This Row],[Party Size]],Encounter_Mod[[#Headers],[Small]:[Large]],0))</f>
        <v>116.66666666666667</v>
      </c>
      <c r="AM89" s="38">
        <f>SUM(PartyCompare_9[+1 (Hard)])/INDEX(Encounter_Mod[[Small]:[Large]], MATCH(PartyCompare_9[[#This Row],[Mob Size]], Encounter_Mod[Type], 0), MATCH(PartyCompare_9[[#This Row],[Party Size]],Encounter_Mod[[#Headers],[Small]:[Large]],0))</f>
        <v>175</v>
      </c>
      <c r="AN89" s="38">
        <f>SUM(PartyCompare_9[+1 (Deadly)])/INDEX(Encounter_Mod[[Small]:[Large]], MATCH(PartyCompare_9[[#This Row],[Mob Size]], Encounter_Mod[Type], 0), MATCH(PartyCompare_9[[#This Row],[Party Size]],Encounter_Mod[[#Headers],[Small]:[Large]],0))</f>
        <v>266.66666666666669</v>
      </c>
      <c r="AO89" s="46">
        <f>(PartyCompare_9[[#This Row],[+1 Easy]]-INDEX(PartyCompare_0[+1 Easy], MATCH(PartyCompare_9[[#This Row],[Mob Size]],PartyCompare_9[Mob Size],0)))/INDEX(PartyCompare_0[+1 Easy], MATCH(PartyCompare_9[[#This Row],[Mob Size]],PartyCompare_9[Mob Size],0))</f>
        <v>-0.12500000000000003</v>
      </c>
      <c r="AP89" s="39">
        <f>(PartyCompare_9[[#This Row],[+1 Medium]]-INDEX(PartyCompare_0[+1 Medium], MATCH(PartyCompare_9[[#This Row],[Mob Size]],PartyCompare_9[Mob Size],0)))/INDEX(PartyCompare_0[+1 Medium], MATCH(PartyCompare_9[[#This Row],[Mob Size]],PartyCompare_9[Mob Size],0))</f>
        <v>-0.12500000000000003</v>
      </c>
      <c r="AQ89" s="39">
        <f>(PartyCompare_9[[#This Row],[+1 Hard]]-INDEX(PartyCompare_0[+1 Hard], MATCH(PartyCompare_9[[#This Row],[Mob Size]],PartyCompare_9[Mob Size],0)))/INDEX(PartyCompare_0[+1 Hard], MATCH(PartyCompare_9[[#This Row],[Mob Size]],PartyCompare_9[Mob Size],0))</f>
        <v>-0.125</v>
      </c>
      <c r="AR89" s="34">
        <f>(PartyCompare_9[[#This Row],[+1 Deadly]]-INDEX(PartyCompare_0[+1 Deadly], MATCH(PartyCompare_9[[#This Row],[Mob Size]],PartyCompare_9[Mob Size],0)))/INDEX(PartyCompare_0[+1 Deadly], MATCH(PartyCompare_9[[#This Row],[Mob Size]],PartyCompare_9[Mob Size],0))</f>
        <v>0</v>
      </c>
      <c r="AS89" s="48">
        <f>AVERAGE(PartyCompare_9[[#This Row],[+1 Easy Deviation]:[+1 Deadly Deviation]])</f>
        <v>-9.3750000000000014E-2</v>
      </c>
      <c r="AT89" s="36">
        <f>IF(ISNUMBER(PartyCompare_9[[#This Row],[Level]]), PartyCompare_9[[#This Row],[Level]]+2, PartyCompare_9[[#This Row],[Level]])</f>
        <v>0</v>
      </c>
      <c r="AU89" s="36">
        <f>INDEX(Encounter_Diff[Easy], MATCH(PartyCompare_9[[#This Row],[+2 Level]],Encounter_Diff[Player Level],0))</f>
        <v>0</v>
      </c>
      <c r="AV89" s="36">
        <f>INDEX(Encounter_Diff[Medium], MATCH(PartyCompare_9[[#This Row],[+2 Level]],Encounter_Diff[Player Level],0))</f>
        <v>0</v>
      </c>
      <c r="AW89" s="36">
        <f>INDEX(Encounter_Diff[Hard], MATCH(PartyCompare_9[[#This Row],[+2 Level]],Encounter_Diff[Player Level],0))</f>
        <v>0</v>
      </c>
      <c r="AX89" s="36">
        <f>INDEX(Encounter_Diff[Deadly], MATCH(PartyCompare_9[[#This Row],[+2 Level]],Encounter_Diff[Player Level],0))</f>
        <v>0</v>
      </c>
      <c r="AY89" s="63">
        <f>SUM(PartyCompare_9[+2 (Easy)])/INDEX(Encounter_Mod[[Small]:[Large]], MATCH(PartyCompare_9[[#This Row],[Mob Size]], Encounter_Mod[Type], 0), MATCH(PartyCompare_9[[#This Row],[Party Size]],Encounter_Mod[[#Headers],[Small]:[Large]],0))</f>
        <v>91.666666666666671</v>
      </c>
      <c r="AZ89" s="38">
        <f>SUM(PartyCompare_9[+2 (Medium)])/INDEX(Encounter_Mod[[Small]:[Large]], MATCH(PartyCompare_9[[#This Row],[Mob Size]], Encounter_Mod[Type], 0), MATCH(PartyCompare_9[[#This Row],[Party Size]],Encounter_Mod[[#Headers],[Small]:[Large]],0))</f>
        <v>183.33333333333334</v>
      </c>
      <c r="BA89" s="38">
        <f>SUM(PartyCompare_9[+2 (Hard)])/INDEX(Encounter_Mod[[Small]:[Large]], MATCH(PartyCompare_9[[#This Row],[Mob Size]], Encounter_Mod[Type], 0), MATCH(PartyCompare_9[[#This Row],[Party Size]],Encounter_Mod[[#Headers],[Small]:[Large]],0))</f>
        <v>275</v>
      </c>
      <c r="BB89" s="38">
        <f>SUM(PartyCompare_9[+2 (Deadly)])/INDEX(Encounter_Mod[[Small]:[Large]], MATCH(PartyCompare_9[[#This Row],[Mob Size]], Encounter_Mod[Type], 0), MATCH(PartyCompare_9[[#This Row],[Party Size]],Encounter_Mod[[#Headers],[Small]:[Large]],0))</f>
        <v>433.33333333333331</v>
      </c>
      <c r="BC89" s="46">
        <f>(PartyCompare_9[[#This Row],[+2 Easy]]-INDEX(PartyCompare_0[+2 Easy], MATCH(PartyCompare_9[[#This Row],[Mob Size]],PartyCompare_9[Mob Size],0)))/INDEX(PartyCompare_0[+2 Easy], MATCH(PartyCompare_9[[#This Row],[Mob Size]],PartyCompare_9[Mob Size],0))</f>
        <v>-8.3333333333333287E-2</v>
      </c>
      <c r="BD89" s="39">
        <f>(PartyCompare_9[[#This Row],[+2 Medium]]-INDEX(PartyCompare_0[+2 Medium], MATCH(PartyCompare_9[[#This Row],[Mob Size]],PartyCompare_9[Mob Size],0)))/INDEX(PartyCompare_0[+2 Medium], MATCH(PartyCompare_9[[#This Row],[Mob Size]],PartyCompare_9[Mob Size],0))</f>
        <v>-8.3333333333333287E-2</v>
      </c>
      <c r="BE89" s="39">
        <f>(PartyCompare_9[[#This Row],[+2 Hard]]-INDEX(PartyCompare_0[+2 Hard], MATCH(PartyCompare_9[[#This Row],[Mob Size]],PartyCompare_9[Mob Size],0)))/INDEX(PartyCompare_0[+2 Hard], MATCH(PartyCompare_9[[#This Row],[Mob Size]],PartyCompare_9[Mob Size],0))</f>
        <v>-8.3333333333333329E-2</v>
      </c>
      <c r="BF89" s="34">
        <f>(PartyCompare_9[[#This Row],[+2 Deadly]]-INDEX(PartyCompare_0[+2 Deadly], MATCH(PartyCompare_9[[#This Row],[Mob Size]],PartyCompare_9[Mob Size],0)))/INDEX(PartyCompare_0[+2 Deadly], MATCH(PartyCompare_9[[#This Row],[Mob Size]],PartyCompare_9[Mob Size],0))</f>
        <v>-0.18750000000000008</v>
      </c>
      <c r="BG89" s="48">
        <f>AVERAGE(PartyCompare_9[[#This Row],[+2 Easy Deviation]:[+2 Deadly Deviation]])</f>
        <v>-0.109375</v>
      </c>
      <c r="BH89" s="36">
        <f>IF(ISNUMBER(PartyCompare_9[[#This Row],[Level]]), PartyCompare_9[[#This Row],[Level]]+3, PartyCompare_9[[#This Row],[Level]])</f>
        <v>0</v>
      </c>
      <c r="BI89" s="36">
        <f>INDEX(Encounter_Diff[Easy], MATCH(PartyCompare_9[[#This Row],[+3 Level]],Encounter_Diff[Player Level],0))</f>
        <v>0</v>
      </c>
      <c r="BJ89" s="36">
        <f>INDEX(Encounter_Diff[Medium], MATCH(PartyCompare_9[[#This Row],[+3 Level]],Encounter_Diff[Player Level],0))</f>
        <v>0</v>
      </c>
      <c r="BK89" s="36">
        <f>INDEX(Encounter_Diff[Hard], MATCH(PartyCompare_9[[#This Row],[+3 Level]],Encounter_Diff[Player Level],0))</f>
        <v>0</v>
      </c>
      <c r="BL89" s="36">
        <f>INDEX(Encounter_Diff[Deadly], MATCH(PartyCompare_9[[#This Row],[+3 Level]],Encounter_Diff[Player Level],0))</f>
        <v>0</v>
      </c>
      <c r="BM89" s="63">
        <f>SUM(PartyCompare_9[+3 (Easy)])/INDEX(Encounter_Mod[[Small]:[Large]], MATCH(PartyCompare_9[[#This Row],[Mob Size]], Encounter_Mod[Type], 0), MATCH(PartyCompare_9[[#This Row],[Party Size]],Encounter_Mod[[#Headers],[Small]:[Large]],0))</f>
        <v>166.66666666666666</v>
      </c>
      <c r="BN89" s="38">
        <f>SUM(PartyCompare_9[+3 (Medium)])/INDEX(Encounter_Mod[[Small]:[Large]], MATCH(PartyCompare_9[[#This Row],[Mob Size]], Encounter_Mod[Type], 0), MATCH(PartyCompare_9[[#This Row],[Party Size]],Encounter_Mod[[#Headers],[Small]:[Large]],0))</f>
        <v>333.33333333333331</v>
      </c>
      <c r="BO89" s="38">
        <f>SUM(PartyCompare_9[+3 (Hard)])/INDEX(Encounter_Mod[[Small]:[Large]], MATCH(PartyCompare_9[[#This Row],[Mob Size]], Encounter_Mod[Type], 0), MATCH(PartyCompare_9[[#This Row],[Party Size]],Encounter_Mod[[#Headers],[Small]:[Large]],0))</f>
        <v>500</v>
      </c>
      <c r="BP89" s="38">
        <f>SUM(PartyCompare_9[+3 (Deadly)])/INDEX(Encounter_Mod[[Small]:[Large]], MATCH(PartyCompare_9[[#This Row],[Mob Size]], Encounter_Mod[Type], 0), MATCH(PartyCompare_9[[#This Row],[Party Size]],Encounter_Mod[[#Headers],[Small]:[Large]],0))</f>
        <v>700</v>
      </c>
      <c r="BQ89" s="46">
        <f>(PartyCompare_9[[#This Row],[+3 Easy]]-INDEX(PartyCompare_0[+3 Easy], MATCH(PartyCompare_9[[#This Row],[Mob Size]],PartyCompare_9[Mob Size],0)))/INDEX(PartyCompare_0[+3 Easy], MATCH(PartyCompare_9[[#This Row],[Mob Size]],PartyCompare_9[Mob Size],0))</f>
        <v>0</v>
      </c>
      <c r="BR89" s="39">
        <f>(PartyCompare_9[[#This Row],[+3 Medium]]-INDEX(PartyCompare_0[+3 Medium], MATCH(PartyCompare_9[[#This Row],[Mob Size]],PartyCompare_9[Mob Size],0)))/INDEX(PartyCompare_0[+3 Medium], MATCH(PartyCompare_9[[#This Row],[Mob Size]],PartyCompare_9[Mob Size],0))</f>
        <v>0</v>
      </c>
      <c r="BS89" s="39">
        <f>(PartyCompare_9[[#This Row],[+3 Hard]]-INDEX(PartyCompare_0[+3 Hard], MATCH(PartyCompare_9[[#This Row],[Mob Size]],PartyCompare_9[Mob Size],0)))/INDEX(PartyCompare_0[+3 Hard], MATCH(PartyCompare_9[[#This Row],[Mob Size]],PartyCompare_9[Mob Size],0))</f>
        <v>0</v>
      </c>
      <c r="BT89" s="34">
        <f>(PartyCompare_9[[#This Row],[+3 Deadly]]-INDEX(PartyCompare_0[+3 Deadly], MATCH(PartyCompare_9[[#This Row],[Mob Size]],PartyCompare_9[Mob Size],0)))/INDEX(PartyCompare_0[+3 Deadly], MATCH(PartyCompare_9[[#This Row],[Mob Size]],PartyCompare_9[Mob Size],0))</f>
        <v>5.0000000000000058E-2</v>
      </c>
      <c r="BU89" s="48">
        <f>AVERAGE(PartyCompare_9[[#This Row],[+3 Easy Deviation]:[+3 Deadly Deviation]])</f>
        <v>1.2500000000000015E-2</v>
      </c>
      <c r="BV89" s="36">
        <f>IF(ISNUMBER(PartyCompare_9[[#This Row],[Level]]), PartyCompare_9[[#This Row],[Level]]+4, PartyCompare_9[[#This Row],[Level]])</f>
        <v>0</v>
      </c>
      <c r="BW89" s="36">
        <f>INDEX(Encounter_Diff[Easy], MATCH(PartyCompare_9[[#This Row],[+4 Level]],Encounter_Diff[Player Level],0))</f>
        <v>0</v>
      </c>
      <c r="BX89" s="36">
        <f>INDEX(Encounter_Diff[Medium], MATCH(PartyCompare_9[[#This Row],[+4 Level]],Encounter_Diff[Player Level],0))</f>
        <v>0</v>
      </c>
      <c r="BY89" s="36">
        <f>INDEX(Encounter_Diff[Hard], MATCH(PartyCompare_9[[#This Row],[+4 Level]],Encounter_Diff[Player Level],0))</f>
        <v>0</v>
      </c>
      <c r="BZ89" s="36">
        <f>INDEX(Encounter_Diff[Deadly], MATCH(PartyCompare_9[[#This Row],[+4 Level]],Encounter_Diff[Player Level],0))</f>
        <v>0</v>
      </c>
      <c r="CA89" s="63">
        <f>SUM(PartyCompare_9[+4 (Easy)])/INDEX(Encounter_Mod[[Small]:[Large]], MATCH(PartyCompare_9[[#This Row],[Mob Size]], Encounter_Mod[Type], 0), MATCH(PartyCompare_9[[#This Row],[Party Size]],Encounter_Mod[[#Headers],[Small]:[Large]],0))</f>
        <v>266.66666666666669</v>
      </c>
      <c r="CB89" s="38">
        <f>SUM(PartyCompare_9[+4 (Medium)])/INDEX(Encounter_Mod[[Small]:[Large]], MATCH(PartyCompare_9[[#This Row],[Mob Size]], Encounter_Mod[Type], 0), MATCH(PartyCompare_9[[#This Row],[Party Size]],Encounter_Mod[[#Headers],[Small]:[Large]],0))</f>
        <v>533.33333333333337</v>
      </c>
      <c r="CC89" s="38">
        <f>SUM(PartyCompare_9[+4 (Hard)])/INDEX(Encounter_Mod[[Small]:[Large]], MATCH(PartyCompare_9[[#This Row],[Mob Size]], Encounter_Mod[Type], 0), MATCH(PartyCompare_9[[#This Row],[Party Size]],Encounter_Mod[[#Headers],[Small]:[Large]],0))</f>
        <v>800</v>
      </c>
      <c r="CD89" s="38">
        <f>SUM(PartyCompare_9[+4 (Deadly)])/INDEX(Encounter_Mod[[Small]:[Large]], MATCH(PartyCompare_9[[#This Row],[Mob Size]], Encounter_Mod[Type], 0), MATCH(PartyCompare_9[[#This Row],[Party Size]],Encounter_Mod[[#Headers],[Small]:[Large]],0))</f>
        <v>1200</v>
      </c>
      <c r="CE89" s="46">
        <f>(PartyCompare_9[[#This Row],[+4 Easy]]-INDEX(PartyCompare_0[+4 Easy], MATCH(PartyCompare_9[[#This Row],[Mob Size]],PartyCompare_9[Mob Size],0)))/INDEX(PartyCompare_0[+4 Easy], MATCH(PartyCompare_9[[#This Row],[Mob Size]],PartyCompare_9[Mob Size],0))</f>
        <v>-0.1999999999999999</v>
      </c>
      <c r="CF89" s="39">
        <f>(PartyCompare_9[[#This Row],[+4 Medium]]-INDEX(PartyCompare_0[+4 Medium], MATCH(PartyCompare_9[[#This Row],[Mob Size]],PartyCompare_9[Mob Size],0)))/INDEX(PartyCompare_0[+4 Medium], MATCH(PartyCompare_9[[#This Row],[Mob Size]],PartyCompare_9[Mob Size],0))</f>
        <v>-0.1999999999999999</v>
      </c>
      <c r="CG89" s="39">
        <f>(PartyCompare_9[[#This Row],[+4 Hard]]-INDEX(PartyCompare_0[+4 Hard], MATCH(PartyCompare_9[[#This Row],[Mob Size]],PartyCompare_9[Mob Size],0)))/INDEX(PartyCompare_0[+4 Hard], MATCH(PartyCompare_9[[#This Row],[Mob Size]],PartyCompare_9[Mob Size],0))</f>
        <v>-0.2</v>
      </c>
      <c r="CH89" s="34">
        <f>(PartyCompare_9[[#This Row],[+4 Deadly]]-INDEX(PartyCompare_0[+4 Deadly], MATCH(PartyCompare_9[[#This Row],[Mob Size]],PartyCompare_9[Mob Size],0)))/INDEX(PartyCompare_0[+4 Deadly], MATCH(PartyCompare_9[[#This Row],[Mob Size]],PartyCompare_9[Mob Size],0))</f>
        <v>-0.18181818181818185</v>
      </c>
      <c r="CI89" s="48">
        <f>AVERAGE(PartyCompare_9[[#This Row],[+4 Easy Deviation]:[+4 Deadly Deviation]])</f>
        <v>-0.19545454545454544</v>
      </c>
    </row>
    <row r="90" spans="12:87" x14ac:dyDescent="0.2">
      <c r="L90" s="233"/>
      <c r="M90" s="91"/>
      <c r="N90" s="90"/>
      <c r="O90" s="32">
        <f>INDEX(Encounter_Diff[Easy], MATCH(PartyCompare_9[[#This Row],[Level]],Encounter_Diff[Player Level],0))</f>
        <v>0</v>
      </c>
      <c r="P90" s="32">
        <f>INDEX(Encounter_Diff[Medium], MATCH(PartyCompare_9[[#This Row],[Level]],Encounter_Diff[Player Level],0))</f>
        <v>0</v>
      </c>
      <c r="Q90" s="32">
        <f>INDEX(Encounter_Diff[Hard], MATCH(PartyCompare_9[[#This Row],[Level]],Encounter_Diff[Player Level],0))</f>
        <v>0</v>
      </c>
      <c r="R90" s="30">
        <f>INDEX(Encounter_Diff[Deadly], MATCH(PartyCompare_9[[#This Row],[Level]],Encounter_Diff[Player Level],0))</f>
        <v>0</v>
      </c>
      <c r="S90" s="97" t="str">
        <f t="shared" si="9"/>
        <v>2, 1, 1</v>
      </c>
      <c r="T90" s="32" t="str">
        <f>IF(COUNT(PartyCompare_9[Level])&lt;=2,"Small", IF(COUNT(PartyCompare_9[Level])&lt;=5,"Med", IF(COUNT(PartyCompare_9[Level])&lt;=8, "Large", "TOO BIG!")))</f>
        <v>Med</v>
      </c>
      <c r="U90" s="73" t="s">
        <v>112</v>
      </c>
      <c r="V90" s="77" t="str">
        <f>INDEX(Encounter_Mod[Count], MATCH(PartyCompare_9[[#This Row],[Mob Size]], Encounter_Mod[Type],0))</f>
        <v>15+</v>
      </c>
      <c r="W90" s="81">
        <f>SUM(PartyCompare_9[(Easy)])/INDEX(Encounter_Mod[[Small]:[Large]], MATCH(PartyCompare_9[[#This Row],[Mob Size]], Encounter_Mod[Type], 0), MATCH(PartyCompare_9[[#This Row],[Party Size]],Encounter_Mod[[#Headers],[Small]:[Large]],0))</f>
        <v>25</v>
      </c>
      <c r="X90" s="42">
        <f>SUM(PartyCompare_9[(Medium)])/INDEX(Encounter_Mod[[Small]:[Large]], MATCH(PartyCompare_9[[#This Row],[Mob Size]], Encounter_Mod[Type], 0), MATCH(PartyCompare_9[[#This Row],[Party Size]],Encounter_Mod[[#Headers],[Small]:[Large]],0))</f>
        <v>50</v>
      </c>
      <c r="Y90" s="42">
        <f>SUM(PartyCompare_9[(Hard)])/INDEX(Encounter_Mod[[Small]:[Large]], MATCH(PartyCompare_9[[#This Row],[Mob Size]], Encounter_Mod[Type], 0), MATCH(PartyCompare_9[[#This Row],[Party Size]],Encounter_Mod[[#Headers],[Small]:[Large]],0))</f>
        <v>75</v>
      </c>
      <c r="Z90" s="43">
        <f>SUM(PartyCompare_9[(Deadly)])/INDEX(Encounter_Mod[[Small]:[Large]], MATCH(PartyCompare_9[[#This Row],[Mob Size]], Encounter_Mod[Type], 0), MATCH(PartyCompare_9[[#This Row],[Party Size]],Encounter_Mod[[#Headers],[Small]:[Large]],0))</f>
        <v>100</v>
      </c>
      <c r="AA90" s="46">
        <f>(PartyCompare_9[[#This Row],[Easy]]-INDEX(PartyCompare_0[Easy], MATCH(PartyCompare_9[[#This Row],[Mob Size]],PartyCompare_0[Mob Size],0)))/INDEX(PartyCompare_0[Easy], MATCH(PartyCompare_9[[#This Row],[Mob Size]],PartyCompare_0[Mob Size],0))</f>
        <v>0</v>
      </c>
      <c r="AB90" s="33">
        <f>(PartyCompare_9[[#This Row],[Medium]]-INDEX(PartyCompare_0[Medium], MATCH(PartyCompare_9[[#This Row],[Mob Size]],PartyCompare_0[Mob Size],0)))/INDEX(PartyCompare_0[Medium], MATCH(PartyCompare_9[[#This Row],[Mob Size]],PartyCompare_0[Mob Size],0))</f>
        <v>0</v>
      </c>
      <c r="AC90" s="33">
        <f>(PartyCompare_9[[#This Row],[Hard]]-INDEX(PartyCompare_0[Hard], MATCH(PartyCompare_9[[#This Row],[Mob Size]],PartyCompare_0[Mob Size],0)))/INDEX(PartyCompare_0[Hard], MATCH(PartyCompare_9[[#This Row],[Mob Size]],PartyCompare_0[Mob Size],0))</f>
        <v>0</v>
      </c>
      <c r="AD90" s="34">
        <f>(PartyCompare_9[[#This Row],[Deadly]]-INDEX(PartyCompare_0[Deadly], MATCH(PartyCompare_9[[#This Row],[Mob Size]],PartyCompare_0[Mob Size],0)))/INDEX(PartyCompare_0[Deadly], MATCH(PartyCompare_9[[#This Row],[Mob Size]],PartyCompare_0[Mob Size],0))</f>
        <v>0</v>
      </c>
      <c r="AE90" s="48">
        <f>AVERAGE(PartyCompare_9[[#This Row],[Easy Deviation]:[Deadly Deviation]])</f>
        <v>0</v>
      </c>
      <c r="AF90" s="36">
        <f>IF(ISNUMBER(PartyCompare_9[[#This Row],[Level]]), PartyCompare_9[[#This Row],[Level]]+1, PartyCompare_9[[#This Row],[Level]])</f>
        <v>0</v>
      </c>
      <c r="AG90" s="36">
        <f>INDEX(Encounter_Diff[Easy], MATCH(PartyCompare_9[[#This Row],[+1 Level]],Encounter_Diff[Player Level],0))</f>
        <v>0</v>
      </c>
      <c r="AH90" s="36">
        <f>INDEX(Encounter_Diff[Medium], MATCH(PartyCompare_9[[#This Row],[+1 Level]],Encounter_Diff[Player Level],0))</f>
        <v>0</v>
      </c>
      <c r="AI90" s="36">
        <f>INDEX(Encounter_Diff[Hard], MATCH(PartyCompare_9[[#This Row],[+1 Level]],Encounter_Diff[Player Level],0))</f>
        <v>0</v>
      </c>
      <c r="AJ90" s="36">
        <f>INDEX(Encounter_Diff[Deadly], MATCH(PartyCompare_9[[#This Row],[+1 Level]],Encounter_Diff[Player Level],0))</f>
        <v>0</v>
      </c>
      <c r="AK90" s="63">
        <f>SUM(PartyCompare_9[+1 (Easy)])/INDEX(Encounter_Mod[[Small]:[Large]], MATCH(PartyCompare_9[[#This Row],[Mob Size]], Encounter_Mod[Type], 0), MATCH(PartyCompare_9[[#This Row],[Party Size]],Encounter_Mod[[#Headers],[Small]:[Large]],0))</f>
        <v>43.75</v>
      </c>
      <c r="AL90" s="38">
        <f>SUM(PartyCompare_9[+1 (Medium)])/INDEX(Encounter_Mod[[Small]:[Large]], MATCH(PartyCompare_9[[#This Row],[Mob Size]], Encounter_Mod[Type], 0), MATCH(PartyCompare_9[[#This Row],[Party Size]],Encounter_Mod[[#Headers],[Small]:[Large]],0))</f>
        <v>87.5</v>
      </c>
      <c r="AM90" s="38">
        <f>SUM(PartyCompare_9[+1 (Hard)])/INDEX(Encounter_Mod[[Small]:[Large]], MATCH(PartyCompare_9[[#This Row],[Mob Size]], Encounter_Mod[Type], 0), MATCH(PartyCompare_9[[#This Row],[Party Size]],Encounter_Mod[[#Headers],[Small]:[Large]],0))</f>
        <v>131.25</v>
      </c>
      <c r="AN90" s="38">
        <f>SUM(PartyCompare_9[+1 (Deadly)])/INDEX(Encounter_Mod[[Small]:[Large]], MATCH(PartyCompare_9[[#This Row],[Mob Size]], Encounter_Mod[Type], 0), MATCH(PartyCompare_9[[#This Row],[Party Size]],Encounter_Mod[[#Headers],[Small]:[Large]],0))</f>
        <v>200</v>
      </c>
      <c r="AO90" s="46">
        <f>(PartyCompare_9[[#This Row],[+1 Easy]]-INDEX(PartyCompare_0[+1 Easy], MATCH(PartyCompare_9[[#This Row],[Mob Size]],PartyCompare_9[Mob Size],0)))/INDEX(PartyCompare_0[+1 Easy], MATCH(PartyCompare_9[[#This Row],[Mob Size]],PartyCompare_9[Mob Size],0))</f>
        <v>-0.125</v>
      </c>
      <c r="AP90" s="39">
        <f>(PartyCompare_9[[#This Row],[+1 Medium]]-INDEX(PartyCompare_0[+1 Medium], MATCH(PartyCompare_9[[#This Row],[Mob Size]],PartyCompare_9[Mob Size],0)))/INDEX(PartyCompare_0[+1 Medium], MATCH(PartyCompare_9[[#This Row],[Mob Size]],PartyCompare_9[Mob Size],0))</f>
        <v>-0.125</v>
      </c>
      <c r="AQ90" s="39">
        <f>(PartyCompare_9[[#This Row],[+1 Hard]]-INDEX(PartyCompare_0[+1 Hard], MATCH(PartyCompare_9[[#This Row],[Mob Size]],PartyCompare_9[Mob Size],0)))/INDEX(PartyCompare_0[+1 Hard], MATCH(PartyCompare_9[[#This Row],[Mob Size]],PartyCompare_9[Mob Size],0))</f>
        <v>-0.125</v>
      </c>
      <c r="AR90" s="34">
        <f>(PartyCompare_9[[#This Row],[+1 Deadly]]-INDEX(PartyCompare_0[+1 Deadly], MATCH(PartyCompare_9[[#This Row],[Mob Size]],PartyCompare_9[Mob Size],0)))/INDEX(PartyCompare_0[+1 Deadly], MATCH(PartyCompare_9[[#This Row],[Mob Size]],PartyCompare_9[Mob Size],0))</f>
        <v>0</v>
      </c>
      <c r="AS90" s="48">
        <f>AVERAGE(PartyCompare_9[[#This Row],[+1 Easy Deviation]:[+1 Deadly Deviation]])</f>
        <v>-9.375E-2</v>
      </c>
      <c r="AT90" s="36">
        <f>IF(ISNUMBER(PartyCompare_9[[#This Row],[Level]]), PartyCompare_9[[#This Row],[Level]]+2, PartyCompare_9[[#This Row],[Level]])</f>
        <v>0</v>
      </c>
      <c r="AU90" s="36">
        <f>INDEX(Encounter_Diff[Easy], MATCH(PartyCompare_9[[#This Row],[+2 Level]],Encounter_Diff[Player Level],0))</f>
        <v>0</v>
      </c>
      <c r="AV90" s="36">
        <f>INDEX(Encounter_Diff[Medium], MATCH(PartyCompare_9[[#This Row],[+2 Level]],Encounter_Diff[Player Level],0))</f>
        <v>0</v>
      </c>
      <c r="AW90" s="36">
        <f>INDEX(Encounter_Diff[Hard], MATCH(PartyCompare_9[[#This Row],[+2 Level]],Encounter_Diff[Player Level],0))</f>
        <v>0</v>
      </c>
      <c r="AX90" s="36">
        <f>INDEX(Encounter_Diff[Deadly], MATCH(PartyCompare_9[[#This Row],[+2 Level]],Encounter_Diff[Player Level],0))</f>
        <v>0</v>
      </c>
      <c r="AY90" s="63">
        <f>SUM(PartyCompare_9[+2 (Easy)])/INDEX(Encounter_Mod[[Small]:[Large]], MATCH(PartyCompare_9[[#This Row],[Mob Size]], Encounter_Mod[Type], 0), MATCH(PartyCompare_9[[#This Row],[Party Size]],Encounter_Mod[[#Headers],[Small]:[Large]],0))</f>
        <v>68.75</v>
      </c>
      <c r="AZ90" s="38">
        <f>SUM(PartyCompare_9[+2 (Medium)])/INDEX(Encounter_Mod[[Small]:[Large]], MATCH(PartyCompare_9[[#This Row],[Mob Size]], Encounter_Mod[Type], 0), MATCH(PartyCompare_9[[#This Row],[Party Size]],Encounter_Mod[[#Headers],[Small]:[Large]],0))</f>
        <v>137.5</v>
      </c>
      <c r="BA90" s="38">
        <f>SUM(PartyCompare_9[+2 (Hard)])/INDEX(Encounter_Mod[[Small]:[Large]], MATCH(PartyCompare_9[[#This Row],[Mob Size]], Encounter_Mod[Type], 0), MATCH(PartyCompare_9[[#This Row],[Party Size]],Encounter_Mod[[#Headers],[Small]:[Large]],0))</f>
        <v>206.25</v>
      </c>
      <c r="BB90" s="38">
        <f>SUM(PartyCompare_9[+2 (Deadly)])/INDEX(Encounter_Mod[[Small]:[Large]], MATCH(PartyCompare_9[[#This Row],[Mob Size]], Encounter_Mod[Type], 0), MATCH(PartyCompare_9[[#This Row],[Party Size]],Encounter_Mod[[#Headers],[Small]:[Large]],0))</f>
        <v>325</v>
      </c>
      <c r="BC90" s="46">
        <f>(PartyCompare_9[[#This Row],[+2 Easy]]-INDEX(PartyCompare_0[+2 Easy], MATCH(PartyCompare_9[[#This Row],[Mob Size]],PartyCompare_9[Mob Size],0)))/INDEX(PartyCompare_0[+2 Easy], MATCH(PartyCompare_9[[#This Row],[Mob Size]],PartyCompare_9[Mob Size],0))</f>
        <v>-8.3333333333333329E-2</v>
      </c>
      <c r="BD90" s="39">
        <f>(PartyCompare_9[[#This Row],[+2 Medium]]-INDEX(PartyCompare_0[+2 Medium], MATCH(PartyCompare_9[[#This Row],[Mob Size]],PartyCompare_9[Mob Size],0)))/INDEX(PartyCompare_0[+2 Medium], MATCH(PartyCompare_9[[#This Row],[Mob Size]],PartyCompare_9[Mob Size],0))</f>
        <v>-8.3333333333333329E-2</v>
      </c>
      <c r="BE90" s="39">
        <f>(PartyCompare_9[[#This Row],[+2 Hard]]-INDEX(PartyCompare_0[+2 Hard], MATCH(PartyCompare_9[[#This Row],[Mob Size]],PartyCompare_9[Mob Size],0)))/INDEX(PartyCompare_0[+2 Hard], MATCH(PartyCompare_9[[#This Row],[Mob Size]],PartyCompare_9[Mob Size],0))</f>
        <v>-8.3333333333333329E-2</v>
      </c>
      <c r="BF90" s="34">
        <f>(PartyCompare_9[[#This Row],[+2 Deadly]]-INDEX(PartyCompare_0[+2 Deadly], MATCH(PartyCompare_9[[#This Row],[Mob Size]],PartyCompare_9[Mob Size],0)))/INDEX(PartyCompare_0[+2 Deadly], MATCH(PartyCompare_9[[#This Row],[Mob Size]],PartyCompare_9[Mob Size],0))</f>
        <v>-0.1875</v>
      </c>
      <c r="BG90" s="48">
        <f>AVERAGE(PartyCompare_9[[#This Row],[+2 Easy Deviation]:[+2 Deadly Deviation]])</f>
        <v>-0.109375</v>
      </c>
      <c r="BH90" s="36">
        <f>IF(ISNUMBER(PartyCompare_9[[#This Row],[Level]]), PartyCompare_9[[#This Row],[Level]]+3, PartyCompare_9[[#This Row],[Level]])</f>
        <v>0</v>
      </c>
      <c r="BI90" s="36">
        <f>INDEX(Encounter_Diff[Easy], MATCH(PartyCompare_9[[#This Row],[+3 Level]],Encounter_Diff[Player Level],0))</f>
        <v>0</v>
      </c>
      <c r="BJ90" s="36">
        <f>INDEX(Encounter_Diff[Medium], MATCH(PartyCompare_9[[#This Row],[+3 Level]],Encounter_Diff[Player Level],0))</f>
        <v>0</v>
      </c>
      <c r="BK90" s="36">
        <f>INDEX(Encounter_Diff[Hard], MATCH(PartyCompare_9[[#This Row],[+3 Level]],Encounter_Diff[Player Level],0))</f>
        <v>0</v>
      </c>
      <c r="BL90" s="36">
        <f>INDEX(Encounter_Diff[Deadly], MATCH(PartyCompare_9[[#This Row],[+3 Level]],Encounter_Diff[Player Level],0))</f>
        <v>0</v>
      </c>
      <c r="BM90" s="63">
        <f>SUM(PartyCompare_9[+3 (Easy)])/INDEX(Encounter_Mod[[Small]:[Large]], MATCH(PartyCompare_9[[#This Row],[Mob Size]], Encounter_Mod[Type], 0), MATCH(PartyCompare_9[[#This Row],[Party Size]],Encounter_Mod[[#Headers],[Small]:[Large]],0))</f>
        <v>125</v>
      </c>
      <c r="BN90" s="38">
        <f>SUM(PartyCompare_9[+3 (Medium)])/INDEX(Encounter_Mod[[Small]:[Large]], MATCH(PartyCompare_9[[#This Row],[Mob Size]], Encounter_Mod[Type], 0), MATCH(PartyCompare_9[[#This Row],[Party Size]],Encounter_Mod[[#Headers],[Small]:[Large]],0))</f>
        <v>250</v>
      </c>
      <c r="BO90" s="38">
        <f>SUM(PartyCompare_9[+3 (Hard)])/INDEX(Encounter_Mod[[Small]:[Large]], MATCH(PartyCompare_9[[#This Row],[Mob Size]], Encounter_Mod[Type], 0), MATCH(PartyCompare_9[[#This Row],[Party Size]],Encounter_Mod[[#Headers],[Small]:[Large]],0))</f>
        <v>375</v>
      </c>
      <c r="BP90" s="38">
        <f>SUM(PartyCompare_9[+3 (Deadly)])/INDEX(Encounter_Mod[[Small]:[Large]], MATCH(PartyCompare_9[[#This Row],[Mob Size]], Encounter_Mod[Type], 0), MATCH(PartyCompare_9[[#This Row],[Party Size]],Encounter_Mod[[#Headers],[Small]:[Large]],0))</f>
        <v>525</v>
      </c>
      <c r="BQ90" s="46">
        <f>(PartyCompare_9[[#This Row],[+3 Easy]]-INDEX(PartyCompare_0[+3 Easy], MATCH(PartyCompare_9[[#This Row],[Mob Size]],PartyCompare_9[Mob Size],0)))/INDEX(PartyCompare_0[+3 Easy], MATCH(PartyCompare_9[[#This Row],[Mob Size]],PartyCompare_9[Mob Size],0))</f>
        <v>0</v>
      </c>
      <c r="BR90" s="39">
        <f>(PartyCompare_9[[#This Row],[+3 Medium]]-INDEX(PartyCompare_0[+3 Medium], MATCH(PartyCompare_9[[#This Row],[Mob Size]],PartyCompare_9[Mob Size],0)))/INDEX(PartyCompare_0[+3 Medium], MATCH(PartyCompare_9[[#This Row],[Mob Size]],PartyCompare_9[Mob Size],0))</f>
        <v>0</v>
      </c>
      <c r="BS90" s="39">
        <f>(PartyCompare_9[[#This Row],[+3 Hard]]-INDEX(PartyCompare_0[+3 Hard], MATCH(PartyCompare_9[[#This Row],[Mob Size]],PartyCompare_9[Mob Size],0)))/INDEX(PartyCompare_0[+3 Hard], MATCH(PartyCompare_9[[#This Row],[Mob Size]],PartyCompare_9[Mob Size],0))</f>
        <v>0</v>
      </c>
      <c r="BT90" s="34">
        <f>(PartyCompare_9[[#This Row],[+3 Deadly]]-INDEX(PartyCompare_0[+3 Deadly], MATCH(PartyCompare_9[[#This Row],[Mob Size]],PartyCompare_9[Mob Size],0)))/INDEX(PartyCompare_0[+3 Deadly], MATCH(PartyCompare_9[[#This Row],[Mob Size]],PartyCompare_9[Mob Size],0))</f>
        <v>0.05</v>
      </c>
      <c r="BU90" s="48">
        <f>AVERAGE(PartyCompare_9[[#This Row],[+3 Easy Deviation]:[+3 Deadly Deviation]])</f>
        <v>1.2500000000000001E-2</v>
      </c>
      <c r="BV90" s="36">
        <f>IF(ISNUMBER(PartyCompare_9[[#This Row],[Level]]), PartyCompare_9[[#This Row],[Level]]+4, PartyCompare_9[[#This Row],[Level]])</f>
        <v>0</v>
      </c>
      <c r="BW90" s="36">
        <f>INDEX(Encounter_Diff[Easy], MATCH(PartyCompare_9[[#This Row],[+4 Level]],Encounter_Diff[Player Level],0))</f>
        <v>0</v>
      </c>
      <c r="BX90" s="36">
        <f>INDEX(Encounter_Diff[Medium], MATCH(PartyCompare_9[[#This Row],[+4 Level]],Encounter_Diff[Player Level],0))</f>
        <v>0</v>
      </c>
      <c r="BY90" s="36">
        <f>INDEX(Encounter_Diff[Hard], MATCH(PartyCompare_9[[#This Row],[+4 Level]],Encounter_Diff[Player Level],0))</f>
        <v>0</v>
      </c>
      <c r="BZ90" s="36">
        <f>INDEX(Encounter_Diff[Deadly], MATCH(PartyCompare_9[[#This Row],[+4 Level]],Encounter_Diff[Player Level],0))</f>
        <v>0</v>
      </c>
      <c r="CA90" s="63">
        <f>SUM(PartyCompare_9[+4 (Easy)])/INDEX(Encounter_Mod[[Small]:[Large]], MATCH(PartyCompare_9[[#This Row],[Mob Size]], Encounter_Mod[Type], 0), MATCH(PartyCompare_9[[#This Row],[Party Size]],Encounter_Mod[[#Headers],[Small]:[Large]],0))</f>
        <v>200</v>
      </c>
      <c r="CB90" s="38">
        <f>SUM(PartyCompare_9[+4 (Medium)])/INDEX(Encounter_Mod[[Small]:[Large]], MATCH(PartyCompare_9[[#This Row],[Mob Size]], Encounter_Mod[Type], 0), MATCH(PartyCompare_9[[#This Row],[Party Size]],Encounter_Mod[[#Headers],[Small]:[Large]],0))</f>
        <v>400</v>
      </c>
      <c r="CC90" s="38">
        <f>SUM(PartyCompare_9[+4 (Hard)])/INDEX(Encounter_Mod[[Small]:[Large]], MATCH(PartyCompare_9[[#This Row],[Mob Size]], Encounter_Mod[Type], 0), MATCH(PartyCompare_9[[#This Row],[Party Size]],Encounter_Mod[[#Headers],[Small]:[Large]],0))</f>
        <v>600</v>
      </c>
      <c r="CD90" s="38">
        <f>SUM(PartyCompare_9[+4 (Deadly)])/INDEX(Encounter_Mod[[Small]:[Large]], MATCH(PartyCompare_9[[#This Row],[Mob Size]], Encounter_Mod[Type], 0), MATCH(PartyCompare_9[[#This Row],[Party Size]],Encounter_Mod[[#Headers],[Small]:[Large]],0))</f>
        <v>900</v>
      </c>
      <c r="CE90" s="46">
        <f>(PartyCompare_9[[#This Row],[+4 Easy]]-INDEX(PartyCompare_0[+4 Easy], MATCH(PartyCompare_9[[#This Row],[Mob Size]],PartyCompare_9[Mob Size],0)))/INDEX(PartyCompare_0[+4 Easy], MATCH(PartyCompare_9[[#This Row],[Mob Size]],PartyCompare_9[Mob Size],0))</f>
        <v>-0.2</v>
      </c>
      <c r="CF90" s="39">
        <f>(PartyCompare_9[[#This Row],[+4 Medium]]-INDEX(PartyCompare_0[+4 Medium], MATCH(PartyCompare_9[[#This Row],[Mob Size]],PartyCompare_9[Mob Size],0)))/INDEX(PartyCompare_0[+4 Medium], MATCH(PartyCompare_9[[#This Row],[Mob Size]],PartyCompare_9[Mob Size],0))</f>
        <v>-0.2</v>
      </c>
      <c r="CG90" s="39">
        <f>(PartyCompare_9[[#This Row],[+4 Hard]]-INDEX(PartyCompare_0[+4 Hard], MATCH(PartyCompare_9[[#This Row],[Mob Size]],PartyCompare_9[Mob Size],0)))/INDEX(PartyCompare_0[+4 Hard], MATCH(PartyCompare_9[[#This Row],[Mob Size]],PartyCompare_9[Mob Size],0))</f>
        <v>-0.2</v>
      </c>
      <c r="CH90" s="34">
        <f>(PartyCompare_9[[#This Row],[+4 Deadly]]-INDEX(PartyCompare_0[+4 Deadly], MATCH(PartyCompare_9[[#This Row],[Mob Size]],PartyCompare_9[Mob Size],0)))/INDEX(PartyCompare_0[+4 Deadly], MATCH(PartyCompare_9[[#This Row],[Mob Size]],PartyCompare_9[Mob Size],0))</f>
        <v>-0.18181818181818182</v>
      </c>
      <c r="CI90" s="48">
        <f>AVERAGE(PartyCompare_9[[#This Row],[+4 Easy Deviation]:[+4 Deadly Deviation]])</f>
        <v>-0.19545454545454549</v>
      </c>
    </row>
    <row r="91" spans="12:87" x14ac:dyDescent="0.2">
      <c r="L91" s="233"/>
      <c r="M91" s="91"/>
      <c r="N91" s="90"/>
      <c r="O91" s="32">
        <f>INDEX(Encounter_Diff[Easy], MATCH(PartyCompare_9[[#This Row],[Level]],Encounter_Diff[Player Level],0))</f>
        <v>0</v>
      </c>
      <c r="P91" s="32">
        <f>INDEX(Encounter_Diff[Medium], MATCH(PartyCompare_9[[#This Row],[Level]],Encounter_Diff[Player Level],0))</f>
        <v>0</v>
      </c>
      <c r="Q91" s="32">
        <f>INDEX(Encounter_Diff[Hard], MATCH(PartyCompare_9[[#This Row],[Level]],Encounter_Diff[Player Level],0))</f>
        <v>0</v>
      </c>
      <c r="R91" s="30">
        <f>INDEX(Encounter_Diff[Deadly], MATCH(PartyCompare_9[[#This Row],[Level]],Encounter_Diff[Player Level],0))</f>
        <v>0</v>
      </c>
      <c r="S91" s="97" t="str">
        <f t="shared" si="9"/>
        <v>2, 1, 1</v>
      </c>
      <c r="T91" s="45" t="s">
        <v>139</v>
      </c>
      <c r="U91" s="74" t="s">
        <v>139</v>
      </c>
      <c r="V91" s="78" t="s">
        <v>139</v>
      </c>
      <c r="W91" s="82" t="s">
        <v>139</v>
      </c>
      <c r="X91" s="45" t="s">
        <v>139</v>
      </c>
      <c r="Y91" s="45" t="s">
        <v>139</v>
      </c>
      <c r="Z91" s="41" t="s">
        <v>139</v>
      </c>
      <c r="AA91" s="44" t="s">
        <v>139</v>
      </c>
      <c r="AB91" s="45" t="s">
        <v>139</v>
      </c>
      <c r="AC91" s="45" t="s">
        <v>139</v>
      </c>
      <c r="AD91" s="41" t="s">
        <v>139</v>
      </c>
      <c r="AE91" s="49" t="s">
        <v>139</v>
      </c>
      <c r="AF91" s="36">
        <f>IF(ISNUMBER(PartyCompare_9[[#This Row],[Level]]), PartyCompare_9[[#This Row],[Level]]+1, PartyCompare_9[[#This Row],[Level]])</f>
        <v>0</v>
      </c>
      <c r="AG91" s="36">
        <f>INDEX(Encounter_Diff[Easy], MATCH(PartyCompare_9[[#This Row],[+1 Level]],Encounter_Diff[Player Level],0))</f>
        <v>0</v>
      </c>
      <c r="AH91" s="36">
        <f>INDEX(Encounter_Diff[Medium], MATCH(PartyCompare_9[[#This Row],[+1 Level]],Encounter_Diff[Player Level],0))</f>
        <v>0</v>
      </c>
      <c r="AI91" s="36">
        <f>INDEX(Encounter_Diff[Hard], MATCH(PartyCompare_9[[#This Row],[+1 Level]],Encounter_Diff[Player Level],0))</f>
        <v>0</v>
      </c>
      <c r="AJ91" s="36">
        <f>INDEX(Encounter_Diff[Deadly], MATCH(PartyCompare_9[[#This Row],[+1 Level]],Encounter_Diff[Player Level],0))</f>
        <v>0</v>
      </c>
      <c r="AK91" s="44" t="s">
        <v>139</v>
      </c>
      <c r="AL91" s="37" t="s">
        <v>139</v>
      </c>
      <c r="AM91" s="37" t="s">
        <v>139</v>
      </c>
      <c r="AN91" s="45" t="s">
        <v>139</v>
      </c>
      <c r="AO91" s="44" t="s">
        <v>139</v>
      </c>
      <c r="AP91" s="37" t="s">
        <v>139</v>
      </c>
      <c r="AQ91" s="37" t="s">
        <v>139</v>
      </c>
      <c r="AR91" s="41" t="s">
        <v>139</v>
      </c>
      <c r="AS91" s="49" t="s">
        <v>139</v>
      </c>
      <c r="AT91" s="36">
        <f>IF(ISNUMBER(PartyCompare_9[[#This Row],[Level]]), PartyCompare_9[[#This Row],[Level]]+2, PartyCompare_9[[#This Row],[Level]])</f>
        <v>0</v>
      </c>
      <c r="AU91" s="36">
        <f>INDEX(Encounter_Diff[Easy], MATCH(PartyCompare_9[[#This Row],[+2 Level]],Encounter_Diff[Player Level],0))</f>
        <v>0</v>
      </c>
      <c r="AV91" s="36">
        <f>INDEX(Encounter_Diff[Medium], MATCH(PartyCompare_9[[#This Row],[+2 Level]],Encounter_Diff[Player Level],0))</f>
        <v>0</v>
      </c>
      <c r="AW91" s="36">
        <f>INDEX(Encounter_Diff[Hard], MATCH(PartyCompare_9[[#This Row],[+2 Level]],Encounter_Diff[Player Level],0))</f>
        <v>0</v>
      </c>
      <c r="AX91" s="36">
        <f>INDEX(Encounter_Diff[Deadly], MATCH(PartyCompare_9[[#This Row],[+2 Level]],Encounter_Diff[Player Level],0))</f>
        <v>0</v>
      </c>
      <c r="AY91" s="44" t="s">
        <v>139</v>
      </c>
      <c r="AZ91" s="37" t="s">
        <v>139</v>
      </c>
      <c r="BA91" s="37" t="s">
        <v>139</v>
      </c>
      <c r="BB91" s="45" t="s">
        <v>139</v>
      </c>
      <c r="BC91" s="44" t="s">
        <v>139</v>
      </c>
      <c r="BD91" s="37" t="s">
        <v>139</v>
      </c>
      <c r="BE91" s="37" t="s">
        <v>139</v>
      </c>
      <c r="BF91" s="41" t="s">
        <v>139</v>
      </c>
      <c r="BG91" s="49" t="s">
        <v>139</v>
      </c>
      <c r="BH91" s="36">
        <f>IF(ISNUMBER(PartyCompare_9[[#This Row],[Level]]), PartyCompare_9[[#This Row],[Level]]+3, PartyCompare_9[[#This Row],[Level]])</f>
        <v>0</v>
      </c>
      <c r="BI91" s="36">
        <f>INDEX(Encounter_Diff[Easy], MATCH(PartyCompare_9[[#This Row],[+3 Level]],Encounter_Diff[Player Level],0))</f>
        <v>0</v>
      </c>
      <c r="BJ91" s="36">
        <f>INDEX(Encounter_Diff[Medium], MATCH(PartyCompare_9[[#This Row],[+3 Level]],Encounter_Diff[Player Level],0))</f>
        <v>0</v>
      </c>
      <c r="BK91" s="36">
        <f>INDEX(Encounter_Diff[Hard], MATCH(PartyCompare_9[[#This Row],[+3 Level]],Encounter_Diff[Player Level],0))</f>
        <v>0</v>
      </c>
      <c r="BL91" s="36">
        <f>INDEX(Encounter_Diff[Deadly], MATCH(PartyCompare_9[[#This Row],[+3 Level]],Encounter_Diff[Player Level],0))</f>
        <v>0</v>
      </c>
      <c r="BM91" s="44" t="s">
        <v>139</v>
      </c>
      <c r="BN91" s="37" t="s">
        <v>139</v>
      </c>
      <c r="BO91" s="37" t="s">
        <v>139</v>
      </c>
      <c r="BP91" s="45" t="s">
        <v>139</v>
      </c>
      <c r="BQ91" s="44" t="s">
        <v>139</v>
      </c>
      <c r="BR91" s="37" t="s">
        <v>139</v>
      </c>
      <c r="BS91" s="37" t="s">
        <v>139</v>
      </c>
      <c r="BT91" s="41" t="s">
        <v>139</v>
      </c>
      <c r="BU91" s="49" t="s">
        <v>139</v>
      </c>
      <c r="BV91" s="36">
        <f>IF(ISNUMBER(PartyCompare_9[[#This Row],[Level]]), PartyCompare_9[[#This Row],[Level]]+4, PartyCompare_9[[#This Row],[Level]])</f>
        <v>0</v>
      </c>
      <c r="BW91" s="36">
        <f>INDEX(Encounter_Diff[Easy], MATCH(PartyCompare_9[[#This Row],[+4 Level]],Encounter_Diff[Player Level],0))</f>
        <v>0</v>
      </c>
      <c r="BX91" s="36">
        <f>INDEX(Encounter_Diff[Medium], MATCH(PartyCompare_9[[#This Row],[+4 Level]],Encounter_Diff[Player Level],0))</f>
        <v>0</v>
      </c>
      <c r="BY91" s="36">
        <f>INDEX(Encounter_Diff[Hard], MATCH(PartyCompare_9[[#This Row],[+4 Level]],Encounter_Diff[Player Level],0))</f>
        <v>0</v>
      </c>
      <c r="BZ91" s="36">
        <f>INDEX(Encounter_Diff[Deadly], MATCH(PartyCompare_9[[#This Row],[+4 Level]],Encounter_Diff[Player Level],0))</f>
        <v>0</v>
      </c>
      <c r="CA91" s="44" t="s">
        <v>139</v>
      </c>
      <c r="CB91" s="37" t="s">
        <v>139</v>
      </c>
      <c r="CC91" s="37" t="s">
        <v>139</v>
      </c>
      <c r="CD91" s="45" t="s">
        <v>139</v>
      </c>
      <c r="CE91" s="44" t="s">
        <v>139</v>
      </c>
      <c r="CF91" s="37" t="s">
        <v>139</v>
      </c>
      <c r="CG91" s="37" t="s">
        <v>139</v>
      </c>
      <c r="CH91" s="41" t="s">
        <v>139</v>
      </c>
      <c r="CI91" s="49" t="s">
        <v>139</v>
      </c>
    </row>
    <row r="92" spans="12:87" ht="15.75" thickBot="1" x14ac:dyDescent="0.25">
      <c r="L92" s="234"/>
      <c r="M92" s="92"/>
      <c r="N92" s="93"/>
      <c r="O92" s="32">
        <f>INDEX(Encounter_Diff[Easy], MATCH(PartyCompare_9[[#This Row],[Level]],Encounter_Diff[Player Level],0))</f>
        <v>0</v>
      </c>
      <c r="P92" s="32">
        <f>INDEX(Encounter_Diff[Medium], MATCH(PartyCompare_9[[#This Row],[Level]],Encounter_Diff[Player Level],0))</f>
        <v>0</v>
      </c>
      <c r="Q92" s="32">
        <f>INDEX(Encounter_Diff[Hard], MATCH(PartyCompare_9[[#This Row],[Level]],Encounter_Diff[Player Level],0))</f>
        <v>0</v>
      </c>
      <c r="R92" s="30">
        <f>INDEX(Encounter_Diff[Deadly], MATCH(PartyCompare_9[[#This Row],[Level]],Encounter_Diff[Player Level],0))</f>
        <v>0</v>
      </c>
      <c r="S92" s="98" t="str">
        <f t="shared" si="9"/>
        <v>2, 1, 1</v>
      </c>
      <c r="T92" s="45" t="s">
        <v>139</v>
      </c>
      <c r="U92" s="75" t="s">
        <v>139</v>
      </c>
      <c r="V92" s="80" t="s">
        <v>139</v>
      </c>
      <c r="W92" s="83" t="s">
        <v>139</v>
      </c>
      <c r="X92" s="54" t="s">
        <v>139</v>
      </c>
      <c r="Y92" s="54" t="s">
        <v>139</v>
      </c>
      <c r="Z92" s="55" t="s">
        <v>139</v>
      </c>
      <c r="AA92" s="61" t="s">
        <v>139</v>
      </c>
      <c r="AB92" s="54" t="s">
        <v>139</v>
      </c>
      <c r="AC92" s="54" t="s">
        <v>139</v>
      </c>
      <c r="AD92" s="55" t="s">
        <v>139</v>
      </c>
      <c r="AE92" s="56" t="s">
        <v>139</v>
      </c>
      <c r="AF92" s="36">
        <f>IF(ISNUMBER(PartyCompare_9[[#This Row],[Level]]), PartyCompare_9[[#This Row],[Level]]+1, PartyCompare_9[[#This Row],[Level]])</f>
        <v>0</v>
      </c>
      <c r="AG92" s="36">
        <f>INDEX(Encounter_Diff[Easy], MATCH(PartyCompare_9[[#This Row],[+1 Level]],Encounter_Diff[Player Level],0))</f>
        <v>0</v>
      </c>
      <c r="AH92" s="36">
        <f>INDEX(Encounter_Diff[Medium], MATCH(PartyCompare_9[[#This Row],[+1 Level]],Encounter_Diff[Player Level],0))</f>
        <v>0</v>
      </c>
      <c r="AI92" s="36">
        <f>INDEX(Encounter_Diff[Hard], MATCH(PartyCompare_9[[#This Row],[+1 Level]],Encounter_Diff[Player Level],0))</f>
        <v>0</v>
      </c>
      <c r="AJ92" s="36">
        <f>INDEX(Encounter_Diff[Deadly], MATCH(PartyCompare_9[[#This Row],[+1 Level]],Encounter_Diff[Player Level],0))</f>
        <v>0</v>
      </c>
      <c r="AK92" s="44" t="s">
        <v>139</v>
      </c>
      <c r="AL92" s="37" t="s">
        <v>139</v>
      </c>
      <c r="AM92" s="37" t="s">
        <v>139</v>
      </c>
      <c r="AN92" s="45" t="s">
        <v>139</v>
      </c>
      <c r="AO92" s="44" t="s">
        <v>139</v>
      </c>
      <c r="AP92" s="37" t="s">
        <v>139</v>
      </c>
      <c r="AQ92" s="37" t="s">
        <v>139</v>
      </c>
      <c r="AR92" s="41" t="s">
        <v>139</v>
      </c>
      <c r="AS92" s="49" t="s">
        <v>139</v>
      </c>
      <c r="AT92" s="53">
        <f>IF(ISNUMBER(PartyCompare_9[[#This Row],[Level]]), PartyCompare_9[[#This Row],[Level]]+2, PartyCompare_9[[#This Row],[Level]])</f>
        <v>0</v>
      </c>
      <c r="AU92" s="53">
        <f>INDEX(Encounter_Diff[Easy], MATCH(PartyCompare_9[[#This Row],[+2 Level]],Encounter_Diff[Player Level],0))</f>
        <v>0</v>
      </c>
      <c r="AV92" s="53">
        <f>INDEX(Encounter_Diff[Medium], MATCH(PartyCompare_9[[#This Row],[+2 Level]],Encounter_Diff[Player Level],0))</f>
        <v>0</v>
      </c>
      <c r="AW92" s="53">
        <f>INDEX(Encounter_Diff[Hard], MATCH(PartyCompare_9[[#This Row],[+2 Level]],Encounter_Diff[Player Level],0))</f>
        <v>0</v>
      </c>
      <c r="AX92" s="53">
        <f>INDEX(Encounter_Diff[Deadly], MATCH(PartyCompare_9[[#This Row],[+2 Level]],Encounter_Diff[Player Level],0))</f>
        <v>0</v>
      </c>
      <c r="AY92" s="61" t="s">
        <v>139</v>
      </c>
      <c r="AZ92" s="54" t="s">
        <v>139</v>
      </c>
      <c r="BA92" s="54" t="s">
        <v>139</v>
      </c>
      <c r="BB92" s="54" t="s">
        <v>139</v>
      </c>
      <c r="BC92" s="61" t="s">
        <v>139</v>
      </c>
      <c r="BD92" s="54" t="s">
        <v>139</v>
      </c>
      <c r="BE92" s="54" t="s">
        <v>139</v>
      </c>
      <c r="BF92" s="55" t="s">
        <v>139</v>
      </c>
      <c r="BG92" s="56" t="s">
        <v>139</v>
      </c>
      <c r="BH92" s="53">
        <f>IF(ISNUMBER(PartyCompare_9[[#This Row],[Level]]), PartyCompare_9[[#This Row],[Level]]+3, PartyCompare_9[[#This Row],[Level]])</f>
        <v>0</v>
      </c>
      <c r="BI92" s="53">
        <f>INDEX(Encounter_Diff[Easy], MATCH(PartyCompare_9[[#This Row],[+3 Level]],Encounter_Diff[Player Level],0))</f>
        <v>0</v>
      </c>
      <c r="BJ92" s="53">
        <f>INDEX(Encounter_Diff[Medium], MATCH(PartyCompare_9[[#This Row],[+3 Level]],Encounter_Diff[Player Level],0))</f>
        <v>0</v>
      </c>
      <c r="BK92" s="53">
        <f>INDEX(Encounter_Diff[Hard], MATCH(PartyCompare_9[[#This Row],[+3 Level]],Encounter_Diff[Player Level],0))</f>
        <v>0</v>
      </c>
      <c r="BL92" s="53">
        <f>INDEX(Encounter_Diff[Deadly], MATCH(PartyCompare_9[[#This Row],[+3 Level]],Encounter_Diff[Player Level],0))</f>
        <v>0</v>
      </c>
      <c r="BM92" s="61" t="s">
        <v>139</v>
      </c>
      <c r="BN92" s="54" t="s">
        <v>139</v>
      </c>
      <c r="BO92" s="54" t="s">
        <v>139</v>
      </c>
      <c r="BP92" s="54" t="s">
        <v>139</v>
      </c>
      <c r="BQ92" s="61" t="s">
        <v>139</v>
      </c>
      <c r="BR92" s="54" t="s">
        <v>139</v>
      </c>
      <c r="BS92" s="54" t="s">
        <v>139</v>
      </c>
      <c r="BT92" s="55" t="s">
        <v>139</v>
      </c>
      <c r="BU92" s="56" t="s">
        <v>139</v>
      </c>
      <c r="BV92" s="53">
        <f>IF(ISNUMBER(PartyCompare_9[[#This Row],[Level]]), PartyCompare_9[[#This Row],[Level]]+4, PartyCompare_9[[#This Row],[Level]])</f>
        <v>0</v>
      </c>
      <c r="BW92" s="53">
        <f>INDEX(Encounter_Diff[Easy], MATCH(PartyCompare_9[[#This Row],[+4 Level]],Encounter_Diff[Player Level],0))</f>
        <v>0</v>
      </c>
      <c r="BX92" s="53">
        <f>INDEX(Encounter_Diff[Medium], MATCH(PartyCompare_9[[#This Row],[+4 Level]],Encounter_Diff[Player Level],0))</f>
        <v>0</v>
      </c>
      <c r="BY92" s="53">
        <f>INDEX(Encounter_Diff[Hard], MATCH(PartyCompare_9[[#This Row],[+4 Level]],Encounter_Diff[Player Level],0))</f>
        <v>0</v>
      </c>
      <c r="BZ92" s="53">
        <f>INDEX(Encounter_Diff[Deadly], MATCH(PartyCompare_9[[#This Row],[+4 Level]],Encounter_Diff[Player Level],0))</f>
        <v>0</v>
      </c>
      <c r="CA92" s="61" t="s">
        <v>139</v>
      </c>
      <c r="CB92" s="54" t="s">
        <v>139</v>
      </c>
      <c r="CC92" s="54" t="s">
        <v>139</v>
      </c>
      <c r="CD92" s="54" t="s">
        <v>139</v>
      </c>
      <c r="CE92" s="61" t="s">
        <v>139</v>
      </c>
      <c r="CF92" s="54" t="s">
        <v>139</v>
      </c>
      <c r="CG92" s="54" t="s">
        <v>139</v>
      </c>
      <c r="CH92" s="55" t="s">
        <v>139</v>
      </c>
      <c r="CI92" s="56" t="s">
        <v>139</v>
      </c>
    </row>
  </sheetData>
  <sheetProtection sort="0" autoFilter="0" pivotTables="0"/>
  <protectedRanges>
    <protectedRange sqref="B2:H11" name="Pivot Table"/>
  </protectedRanges>
  <mergeCells count="17">
    <mergeCell ref="L31:L38"/>
    <mergeCell ref="L85:L92"/>
    <mergeCell ref="L22:L29"/>
    <mergeCell ref="L13:L20"/>
    <mergeCell ref="L76:L83"/>
    <mergeCell ref="L67:L74"/>
    <mergeCell ref="L58:L65"/>
    <mergeCell ref="L49:L56"/>
    <mergeCell ref="L40:L47"/>
    <mergeCell ref="AT2:BG2"/>
    <mergeCell ref="BH2:BU2"/>
    <mergeCell ref="BV2:CI2"/>
    <mergeCell ref="L2:T2"/>
    <mergeCell ref="L4:L11"/>
    <mergeCell ref="AF2:AS2"/>
    <mergeCell ref="U2:V2"/>
    <mergeCell ref="W2:AE2"/>
  </mergeCells>
  <conditionalFormatting sqref="Z93:AD1048576 Z1:AD1 AA3:AE92">
    <cfRule type="colorScale" priority="13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A22:AE27">
    <cfRule type="colorScale" priority="136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31:AE36">
    <cfRule type="colorScale" priority="135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40:AE45">
    <cfRule type="colorScale" priority="134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49:AE54">
    <cfRule type="colorScale" priority="133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58:AE63">
    <cfRule type="colorScale" priority="132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67:AE72">
    <cfRule type="colorScale" priority="131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76:AE81">
    <cfRule type="colorScale" priority="130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85:AE90">
    <cfRule type="colorScale" priority="129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pivot="1" sqref="E3:I11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:AS11">
    <cfRule type="colorScale" priority="12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4:BU11">
    <cfRule type="colorScale" priority="12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3:BU3">
    <cfRule type="colorScale" priority="12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4:CI11">
    <cfRule type="colorScale" priority="12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3:CI3">
    <cfRule type="colorScale" priority="11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12:AS12">
    <cfRule type="colorScale" priority="11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19:AS20">
    <cfRule type="colorScale" priority="11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13:AS18">
    <cfRule type="colorScale" priority="11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76:BG81">
    <cfRule type="colorScale" priority="1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75:BU75">
    <cfRule type="colorScale" priority="1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75:CI75">
    <cfRule type="colorScale" priority="1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12:BG12">
    <cfRule type="colorScale" priority="10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3:BG3">
    <cfRule type="colorScale" priority="10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G10:BG11">
    <cfRule type="colorScale" priority="10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G4:BG9">
    <cfRule type="colorScale" priority="10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19:BG20">
    <cfRule type="colorScale" priority="10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13:BG18">
    <cfRule type="colorScale" priority="10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12:BU12">
    <cfRule type="colorScale" priority="10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12:CI12">
    <cfRule type="colorScale" priority="10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85:CI90">
    <cfRule type="colorScale" priority="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4:BF11">
    <cfRule type="colorScale" priority="10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19:BU20">
    <cfRule type="colorScale" priority="10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13:BU18">
    <cfRule type="colorScale" priority="9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19:CI20">
    <cfRule type="colorScale" priority="9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13:CI18">
    <cfRule type="colorScale" priority="9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21:AS21">
    <cfRule type="colorScale" priority="9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28:AS29">
    <cfRule type="colorScale" priority="9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22:AS27">
    <cfRule type="colorScale" priority="9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21:BG21">
    <cfRule type="colorScale" priority="9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28:BG29">
    <cfRule type="colorScale" priority="9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22:BG27">
    <cfRule type="colorScale" priority="9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21:BU21">
    <cfRule type="colorScale" priority="9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21:CI21">
    <cfRule type="colorScale" priority="8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28:BU29">
    <cfRule type="colorScale" priority="8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22:BU27">
    <cfRule type="colorScale" priority="8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28:CI29">
    <cfRule type="colorScale" priority="8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22:CI27">
    <cfRule type="colorScale" priority="8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30:AS30">
    <cfRule type="colorScale" priority="8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37:AS38">
    <cfRule type="colorScale" priority="8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31:AS36">
    <cfRule type="colorScale" priority="8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30:BG30">
    <cfRule type="colorScale" priority="8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37:BG38">
    <cfRule type="colorScale" priority="8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31:BG36">
    <cfRule type="colorScale" priority="7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30:BU30">
    <cfRule type="colorScale" priority="7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30:CI30">
    <cfRule type="colorScale" priority="7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37:BU38">
    <cfRule type="colorScale" priority="7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31:BU36">
    <cfRule type="colorScale" priority="7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37:CI38">
    <cfRule type="colorScale" priority="7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31:CI36">
    <cfRule type="colorScale" priority="7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39:AS39">
    <cfRule type="colorScale" priority="7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46:AS47">
    <cfRule type="colorScale" priority="7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40:AS45">
    <cfRule type="colorScale" priority="7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39:BG39">
    <cfRule type="colorScale" priority="6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46:BG47">
    <cfRule type="colorScale" priority="6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40:BG45">
    <cfRule type="colorScale" priority="6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39:BU39">
    <cfRule type="colorScale" priority="6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39:CI39">
    <cfRule type="colorScale" priority="6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46:BU47">
    <cfRule type="colorScale" priority="6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40:BU45">
    <cfRule type="colorScale" priority="6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46:CI47">
    <cfRule type="colorScale" priority="6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40:CI45">
    <cfRule type="colorScale" priority="6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48:AS48">
    <cfRule type="colorScale" priority="6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55:AS56">
    <cfRule type="colorScale" priority="5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49:AS54">
    <cfRule type="colorScale" priority="5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48:BG48">
    <cfRule type="colorScale" priority="5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55:BG56">
    <cfRule type="colorScale" priority="5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49:BG54">
    <cfRule type="colorScale" priority="5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48:BU48">
    <cfRule type="colorScale" priority="5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48:CI48">
    <cfRule type="colorScale" priority="5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55:BU56">
    <cfRule type="colorScale" priority="5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49:BU54">
    <cfRule type="colorScale" priority="5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55:CI56">
    <cfRule type="colorScale" priority="5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49:CI54">
    <cfRule type="colorScale" priority="4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57:AS57">
    <cfRule type="colorScale" priority="4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64:AS65">
    <cfRule type="colorScale" priority="4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58:AS63">
    <cfRule type="colorScale" priority="4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57:BG57">
    <cfRule type="colorScale" priority="4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64:BG65">
    <cfRule type="colorScale" priority="4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58:BG63">
    <cfRule type="colorScale" priority="4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57:BU57">
    <cfRule type="colorScale" priority="4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57:CI57">
    <cfRule type="colorScale" priority="4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64:BU65">
    <cfRule type="colorScale" priority="4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58:BU63">
    <cfRule type="colorScale" priority="3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64:CI65">
    <cfRule type="colorScale" priority="3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58:CI63">
    <cfRule type="colorScale" priority="3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66:AS66">
    <cfRule type="colorScale" priority="3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73:AS74">
    <cfRule type="colorScale" priority="3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67:AS72">
    <cfRule type="colorScale" priority="3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66:BG66">
    <cfRule type="colorScale" priority="3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73:BG74">
    <cfRule type="colorScale" priority="3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67:BG72">
    <cfRule type="colorScale" priority="3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66:BU66">
    <cfRule type="colorScale" priority="3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66:CI66">
    <cfRule type="colorScale" priority="2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73:BU74">
    <cfRule type="colorScale" priority="2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67:BU72">
    <cfRule type="colorScale" priority="2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73:CI74">
    <cfRule type="colorScale" priority="2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67:CI72">
    <cfRule type="colorScale" priority="2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75:AS75">
    <cfRule type="colorScale" priority="2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82:AS83">
    <cfRule type="colorScale" priority="2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76:AS81">
    <cfRule type="colorScale" priority="2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75:BG75">
    <cfRule type="colorScale" priority="2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82:BG83">
    <cfRule type="colorScale" priority="2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82:BU83">
    <cfRule type="colorScale" priority="1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76:BU81">
    <cfRule type="colorScale" priority="1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82:CI83">
    <cfRule type="colorScale" priority="1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76:CI81">
    <cfRule type="colorScale" priority="1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84:AS84">
    <cfRule type="colorScale" priority="1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91:AS92">
    <cfRule type="colorScale" priority="1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85:AS90">
    <cfRule type="colorScale" priority="1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84:BG84">
    <cfRule type="colorScale" priority="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91:BG92">
    <cfRule type="colorScale" priority="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85:BG90">
    <cfRule type="colorScale" priority="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84:BU84">
    <cfRule type="colorScale" priority="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84:CI84">
    <cfRule type="colorScale" priority="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91:BU92">
    <cfRule type="colorScale" priority="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85:BU90">
    <cfRule type="colorScale" priority="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91:CI92">
    <cfRule type="colorScale" priority="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pageMargins left="0.7" right="0.7" top="0.75" bottom="0.75" header="0.3" footer="0.3"/>
  <pageSetup orientation="portrait" horizontalDpi="4294967293" verticalDpi="0" r:id="rId2"/>
  <ignoredErrors>
    <ignoredError sqref="T4 W19:AE20 W10:AE11 X28:AD29 AF22:CI29 T10:U11 T19:T20 AF30:CI38 X30:AD38 X39:AD47 AF39:CI47 AF48:CI56 X48:AD56 X57:AD65 AF57:CI65 AF66:CI74 X66:AD74 X75:AD83 AF75:CI83 AF84:CI92 X84:AD92" calculatedColumn="1"/>
  </ignoredErrors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7A1AE-7BC2-4D3C-8F10-BFB0BA7F7110}">
  <sheetPr codeName="Sheet4"/>
  <dimension ref="A1:AC20"/>
  <sheetViews>
    <sheetView topLeftCell="D1" zoomScaleNormal="100" workbookViewId="0">
      <selection activeCell="AC5" sqref="AC5:AC8"/>
    </sheetView>
  </sheetViews>
  <sheetFormatPr defaultColWidth="11" defaultRowHeight="20.25" x14ac:dyDescent="0.3"/>
  <cols>
    <col min="1" max="1" width="4.77734375" style="2" customWidth="1"/>
    <col min="2" max="2" width="5.88671875" style="10" customWidth="1"/>
    <col min="3" max="3" width="5.6640625" style="10" customWidth="1"/>
    <col min="4" max="4" width="20.88671875" style="10" customWidth="1"/>
    <col min="5" max="5" width="14.77734375" style="10" customWidth="1"/>
    <col min="6" max="9" width="7" style="10" customWidth="1"/>
    <col min="10" max="10" width="7.109375" style="10" customWidth="1"/>
    <col min="11" max="11" width="23.5546875" style="10" customWidth="1"/>
    <col min="12" max="12" width="7.21875" style="22" customWidth="1"/>
    <col min="13" max="13" width="7.21875" style="10" customWidth="1"/>
    <col min="14" max="14" width="6.109375" style="10" customWidth="1"/>
    <col min="15" max="15" width="7.21875" style="22" customWidth="1"/>
    <col min="16" max="16" width="7.21875" style="10" customWidth="1"/>
    <col min="17" max="17" width="4.33203125" style="10" customWidth="1"/>
    <col min="18" max="21" width="4.33203125" style="10" hidden="1" customWidth="1"/>
    <col min="22" max="22" width="4.33203125" style="10" customWidth="1"/>
    <col min="23" max="23" width="6.5546875" style="10" customWidth="1"/>
    <col min="24" max="24" width="4.44140625" style="10" customWidth="1"/>
    <col min="25" max="25" width="10.21875" style="10" customWidth="1"/>
    <col min="26" max="26" width="12.33203125" style="10" customWidth="1"/>
    <col min="27" max="27" width="7.109375" style="10" customWidth="1"/>
    <col min="28" max="28" width="14.77734375" style="10" customWidth="1"/>
    <col min="29" max="29" width="11.77734375" style="10" customWidth="1"/>
    <col min="30" max="16384" width="11" style="10"/>
  </cols>
  <sheetData>
    <row r="1" spans="1:29" ht="21" thickBot="1" x14ac:dyDescent="0.35">
      <c r="B1" s="9"/>
      <c r="C1" s="9"/>
      <c r="D1" s="9"/>
      <c r="E1" s="9"/>
      <c r="R1" s="9"/>
      <c r="S1" s="9"/>
      <c r="T1" s="9"/>
      <c r="U1" s="9"/>
      <c r="V1" s="9"/>
      <c r="W1" s="9"/>
    </row>
    <row r="2" spans="1:29" s="2" customFormat="1" ht="32.25" thickBot="1" x14ac:dyDescent="0.35">
      <c r="A2" s="3"/>
      <c r="B2" s="203" t="s">
        <v>244</v>
      </c>
      <c r="C2" s="204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6"/>
      <c r="Q2" s="248" t="s">
        <v>234</v>
      </c>
      <c r="R2" s="249"/>
      <c r="S2" s="249"/>
      <c r="T2" s="249"/>
      <c r="U2" s="249"/>
      <c r="V2" s="249"/>
      <c r="W2" s="191">
        <v>0</v>
      </c>
    </row>
    <row r="3" spans="1:29" s="4" customFormat="1" ht="21" customHeight="1" thickBot="1" x14ac:dyDescent="0.35">
      <c r="B3" s="209" t="s">
        <v>252</v>
      </c>
      <c r="C3" s="210"/>
      <c r="D3" s="210"/>
      <c r="E3" s="211"/>
      <c r="F3" s="212" t="s">
        <v>7</v>
      </c>
      <c r="G3" s="210"/>
      <c r="H3" s="210"/>
      <c r="I3" s="210"/>
      <c r="J3" s="210"/>
      <c r="K3" s="211"/>
      <c r="L3" s="212" t="s">
        <v>8</v>
      </c>
      <c r="M3" s="210"/>
      <c r="N3" s="210"/>
      <c r="O3" s="210"/>
      <c r="P3" s="211"/>
      <c r="Q3" s="212" t="s">
        <v>20</v>
      </c>
      <c r="R3" s="210"/>
      <c r="S3" s="210"/>
      <c r="T3" s="210"/>
      <c r="U3" s="210"/>
      <c r="V3" s="210"/>
      <c r="W3" s="213"/>
      <c r="Y3" s="238" t="s">
        <v>39</v>
      </c>
      <c r="Z3" s="239"/>
      <c r="AA3" s="240"/>
      <c r="AB3" s="238" t="s">
        <v>41</v>
      </c>
      <c r="AC3" s="240"/>
    </row>
    <row r="4" spans="1:29" s="8" customFormat="1" ht="31.5" x14ac:dyDescent="0.2">
      <c r="B4" s="162" t="s">
        <v>245</v>
      </c>
      <c r="C4" s="159" t="s">
        <v>236</v>
      </c>
      <c r="D4" s="159" t="s">
        <v>260</v>
      </c>
      <c r="E4" s="161" t="s">
        <v>5</v>
      </c>
      <c r="F4" s="162" t="s">
        <v>2</v>
      </c>
      <c r="G4" s="162" t="s">
        <v>246</v>
      </c>
      <c r="H4" s="162" t="s">
        <v>247</v>
      </c>
      <c r="I4" s="162" t="s">
        <v>83</v>
      </c>
      <c r="J4" s="188" t="s">
        <v>378</v>
      </c>
      <c r="K4" s="161" t="s">
        <v>255</v>
      </c>
      <c r="L4" s="162" t="s">
        <v>56</v>
      </c>
      <c r="M4" s="162" t="s">
        <v>266</v>
      </c>
      <c r="N4" s="187" t="s">
        <v>379</v>
      </c>
      <c r="O4" s="21" t="s">
        <v>259</v>
      </c>
      <c r="P4" s="163" t="s">
        <v>251</v>
      </c>
      <c r="Q4" s="8" t="s">
        <v>258</v>
      </c>
      <c r="R4" s="186" t="s">
        <v>36</v>
      </c>
      <c r="S4" s="186" t="s">
        <v>37</v>
      </c>
      <c r="T4" s="186" t="s">
        <v>38</v>
      </c>
      <c r="U4" s="186" t="s">
        <v>40</v>
      </c>
      <c r="V4" s="8" t="s">
        <v>248</v>
      </c>
      <c r="W4" s="160" t="s">
        <v>19</v>
      </c>
      <c r="Y4" s="164" t="s">
        <v>35</v>
      </c>
      <c r="Z4" s="241" t="e">
        <f>IF(encCalc&lt;encEasy,"Trivial",LOOKUP(encCalc,AC5:AC8,AB5:AB8))</f>
        <v>#N/A</v>
      </c>
      <c r="AA4" s="242"/>
      <c r="AB4" s="164" t="s">
        <v>42</v>
      </c>
      <c r="AC4" s="166" t="e">
        <f>encTotalXP* INDEX(Encounter_Mod[], MATCH(encMobSize, Encounter_Mod[Type], 0), MATCH(encPartySize, Encounter_Mod[#Headers], 0))</f>
        <v>#N/A</v>
      </c>
    </row>
    <row r="5" spans="1:29" x14ac:dyDescent="0.2">
      <c r="A5" s="150"/>
      <c r="B5" s="158">
        <f ca="1">IFERROR(INDEX(Database[], MATCH(Encounter0[[#This Row],[Character/Creature]], Database[Character/Creature], 0), MATCH(Encounter0[#Headers], Database[#Headers], 0)) + RANDBETWEEN(1,20), "")</f>
        <v>12</v>
      </c>
      <c r="C5" s="145" t="s">
        <v>253</v>
      </c>
      <c r="D5" s="172" t="s">
        <v>455</v>
      </c>
      <c r="E5" s="145" t="str">
        <f>IFERROR(INDEX(Database[], MATCH(Encounter0[[#This Row],[Character/Creature]], Database[Character/Creature], 0), MATCH(Encounter0[#Headers], Database[#Headers], 0)), "")</f>
        <v>(empty)</v>
      </c>
      <c r="F5" s="158">
        <f ca="1">IFERROR(INDEX(Database[], MATCH(Encounter0[[#This Row],[Character/Creature]], Database[Character/Creature], 0), MATCH(Encounter0[#Headers], Database[#Headers], 0)) + RANDBETWEEN(1,20), "")</f>
        <v>15</v>
      </c>
      <c r="G5" s="173">
        <f>IFERROR(INDEX(Database[], MATCH(Encounter0[[#This Row],[Character/Creature]], Database[Character/Creature], 0), MATCH(Encounter0[#Headers], Database[#Headers], 0)), "")</f>
        <v>0</v>
      </c>
      <c r="H5" s="173">
        <f>IFERROR(INDEX(Database[], MATCH(Encounter0[[#This Row],[Character/Creature]], Database[Character/Creature], 0), MATCH(Encounter0[#Headers], Database[#Headers], 0)), "")</f>
        <v>0</v>
      </c>
      <c r="I5" s="145">
        <f>IFERROR(INDEX(Database[], MATCH(Encounter0[[#This Row],[Character/Creature]], Database[Character/Creature], 0), MATCH(Encounter0[#Headers], Database[#Headers], 0)), "")</f>
        <v>0</v>
      </c>
      <c r="J5" s="190"/>
      <c r="K5" s="171">
        <f>IFERROR(INDEX(Database[], MATCH(Encounter0[[#This Row],[Character/Creature]], Database[Character/Creature], 0), MATCH(Encounter0[#Headers], Database[#Headers], 0)), "")</f>
        <v>0</v>
      </c>
      <c r="L5" s="136">
        <f>IFERROR(INDEX(Database[], MATCH(Encounter0[[#This Row],[Character/Creature]], Database[Character/Creature], 0), MATCH(Encounter0[#Headers], Database[#Headers], 0)), "")</f>
        <v>0</v>
      </c>
      <c r="M5" s="145">
        <f>IFERROR(INDEX(Database[], MATCH(Encounter0[[#This Row],[Character/Creature]], Database[Character/Creature], 0), MATCH(Encounter0[#Headers], Database[#Headers], 0)), "")</f>
        <v>1</v>
      </c>
      <c r="N5" s="189"/>
      <c r="O5" s="145">
        <f>IFERROR(INDEX(Database[], MATCH(Encounter0[[#This Row],[Character/Creature]], Database[Character/Creature], 0), MATCH(Encounter0[#Headers], Database[#Headers], 0)), "")</f>
        <v>0</v>
      </c>
      <c r="P5" s="146">
        <f>IFERROR(Encounter0[[#This Row],[Base HP]]+Encounter0[Temp HP]-Encounter0[[#This Row],[Dmg Taken]], "")</f>
        <v>1</v>
      </c>
      <c r="Q5" s="136">
        <f>IFERROR(INDEX(Database[], MATCH(Encounter0[[#This Row],[Character/Creature]], Database[Character/Creature], 0), MATCH(Encounter0[#Headers], Database[#Headers], 0)), "")</f>
        <v>3</v>
      </c>
      <c r="R5" s="145">
        <f>INDEX(Encounter_Diff[], MATCH(Encounter0[[#This Row],[Lvl]], Encounter_Diff[Player Level], 0), MATCH(Encounter0[#Headers], Encounter_Diff[#Headers], 0))</f>
        <v>75</v>
      </c>
      <c r="S5" s="145">
        <f>INDEX(Encounter_Diff[], MATCH(Encounter0[[#This Row],[Lvl]], Encounter_Diff[Player Level], 0), MATCH(Encounter0[#Headers], Encounter_Diff[#Headers], 0))</f>
        <v>150</v>
      </c>
      <c r="T5" s="145">
        <f>INDEX(Encounter_Diff[], MATCH(Encounter0[[#This Row],[Lvl]], Encounter_Diff[Player Level], 0), MATCH(Encounter0[#Headers], Encounter_Diff[#Headers], 0))</f>
        <v>225</v>
      </c>
      <c r="U5" s="145">
        <f>INDEX(Encounter_Diff[], MATCH(Encounter0[[#This Row],[Lvl]], Encounter_Diff[Player Level], 0), MATCH(Encounter0[#Headers], Encounter_Diff[#Headers], 0))</f>
        <v>400</v>
      </c>
      <c r="V5" s="149">
        <f>IFERROR(INDEX(Database[], MATCH(Encounter0[[#This Row],[Character/Creature]], Database[Character/Creature], 0), MATCH(Encounter0[#Headers], Database[#Headers], 0)), "")</f>
        <v>0.5</v>
      </c>
      <c r="W5" s="157">
        <f>IF(ISBLANK(Encounter0[Party]), INDEX(ChallengeRating[XP], MATCH(Encounter0[CR], ChallengeRating[Challenge Rating], 0)), 0)</f>
        <v>0</v>
      </c>
      <c r="Y5" s="247" t="s">
        <v>120</v>
      </c>
      <c r="Z5" s="100" t="str">
        <f>IF(encMobCount=0,"None", IF(encMobCount=1,"Single", IF(encMobCount=2,"Pair", IF(encMobCount&lt;=6,"Group", IF(encMobCount&lt;=10,"Gang", IF(encMobCount&lt;=14,"Mob", "Horde"))))))</f>
        <v>None</v>
      </c>
      <c r="AA5" s="1">
        <f>COUNTBLANK(Encounter0[Party])-encMobCountMod</f>
        <v>0</v>
      </c>
      <c r="AB5" s="15" t="s">
        <v>36</v>
      </c>
      <c r="AC5" s="201">
        <f t="array" ref="AC5">SUM(IF(NOT(ISBLANK(Encounter0[Party])), Encounter0[Easy]))</f>
        <v>300</v>
      </c>
    </row>
    <row r="6" spans="1:29" x14ac:dyDescent="0.2">
      <c r="A6" s="150"/>
      <c r="B6" s="158">
        <f ca="1">IFERROR(INDEX(Database[], MATCH(Encounter0[[#This Row],[Character/Creature]], Database[Character/Creature], 0), MATCH(Encounter0[#Headers], Database[#Headers], 0)) + RANDBETWEEN(1,20), "")</f>
        <v>5</v>
      </c>
      <c r="C6" s="145" t="s">
        <v>253</v>
      </c>
      <c r="D6" s="172" t="s">
        <v>455</v>
      </c>
      <c r="E6" s="145" t="str">
        <f>IFERROR(INDEX(Database[], MATCH(Encounter0[[#This Row],[Character/Creature]], Database[Character/Creature], 0), MATCH(Encounter0[#Headers], Database[#Headers], 0)), "")</f>
        <v>(empty)</v>
      </c>
      <c r="F6" s="158">
        <f ca="1">IFERROR(INDEX(Database[], MATCH(Encounter0[[#This Row],[Character/Creature]], Database[Character/Creature], 0), MATCH(Encounter0[#Headers], Database[#Headers], 0)) + RANDBETWEEN(1,20), "")</f>
        <v>16</v>
      </c>
      <c r="G6" s="173">
        <f>IFERROR(INDEX(Database[], MATCH(Encounter0[[#This Row],[Character/Creature]], Database[Character/Creature], 0), MATCH(Encounter0[#Headers], Database[#Headers], 0)), "")</f>
        <v>0</v>
      </c>
      <c r="H6" s="173">
        <f>IFERROR(INDEX(Database[], MATCH(Encounter0[[#This Row],[Character/Creature]], Database[Character/Creature], 0), MATCH(Encounter0[#Headers], Database[#Headers], 0)), "")</f>
        <v>0</v>
      </c>
      <c r="I6" s="145">
        <f>IFERROR(INDEX(Database[], MATCH(Encounter0[[#This Row],[Character/Creature]], Database[Character/Creature], 0), MATCH(Encounter0[#Headers], Database[#Headers], 0)), "")</f>
        <v>0</v>
      </c>
      <c r="J6" s="190"/>
      <c r="K6" s="119">
        <f>IFERROR(INDEX(Database[], MATCH(Encounter0[[#This Row],[Character/Creature]], Database[Character/Creature], 0), MATCH(Encounter0[#Headers], Database[#Headers], 0)), "")</f>
        <v>0</v>
      </c>
      <c r="L6" s="145">
        <v>0</v>
      </c>
      <c r="M6" s="145">
        <f>IFERROR(INDEX(Database[], MATCH(Encounter0[[#This Row],[Character/Creature]], Database[Character/Creature], 0), MATCH(Encounter0[#Headers], Database[#Headers], 0)), "")</f>
        <v>1</v>
      </c>
      <c r="N6" s="189"/>
      <c r="O6" s="145">
        <v>0</v>
      </c>
      <c r="P6" s="146">
        <f>IFERROR(Encounter0[[#This Row],[Base HP]]+Encounter0[Temp HP]-Encounter0[[#This Row],[Dmg Taken]], "")</f>
        <v>1</v>
      </c>
      <c r="Q6" s="136">
        <f>IFERROR(INDEX(Database[], MATCH(Encounter0[[#This Row],[Character/Creature]], Database[Character/Creature], 0), MATCH(Encounter0[#Headers], Database[#Headers], 0)), "")</f>
        <v>3</v>
      </c>
      <c r="R6" s="145">
        <f>INDEX(Encounter_Diff[], MATCH(Encounter0[[#This Row],[Lvl]], Encounter_Diff[Player Level], 0), MATCH(Encounter0[#Headers], Encounter_Diff[#Headers], 0))</f>
        <v>75</v>
      </c>
      <c r="S6" s="145">
        <f>INDEX(Encounter_Diff[], MATCH(Encounter0[[#This Row],[Lvl]], Encounter_Diff[Player Level], 0), MATCH(Encounter0[#Headers], Encounter_Diff[#Headers], 0))</f>
        <v>150</v>
      </c>
      <c r="T6" s="145">
        <f>INDEX(Encounter_Diff[], MATCH(Encounter0[[#This Row],[Lvl]], Encounter_Diff[Player Level], 0), MATCH(Encounter0[#Headers], Encounter_Diff[#Headers], 0))</f>
        <v>225</v>
      </c>
      <c r="U6" s="145">
        <f>INDEX(Encounter_Diff[], MATCH(Encounter0[[#This Row],[Lvl]], Encounter_Diff[Player Level], 0), MATCH(Encounter0[#Headers], Encounter_Diff[#Headers], 0))</f>
        <v>400</v>
      </c>
      <c r="V6" s="149">
        <f>IFERROR(INDEX(Database[], MATCH(Encounter0[[#This Row],[Character/Creature]], Database[Character/Creature], 0), MATCH(Encounter0[#Headers], Database[#Headers], 0)), "")</f>
        <v>0.5</v>
      </c>
      <c r="W6" s="157">
        <f>IF(ISBLANK(Encounter0[Party]), INDEX(ChallengeRating[XP], MATCH(Encounter0[CR], ChallengeRating[Challenge Rating], 0)), 0)</f>
        <v>0</v>
      </c>
      <c r="Y6" s="247"/>
      <c r="Z6" s="100" t="s">
        <v>348</v>
      </c>
      <c r="AA6" s="1">
        <v>0</v>
      </c>
      <c r="AB6" s="15" t="s">
        <v>37</v>
      </c>
      <c r="AC6" s="250">
        <f t="array" ref="AC6">SUM(IF(NOT(ISBLANK(Encounter0[Party])), Encounter0[Medium]))</f>
        <v>600</v>
      </c>
    </row>
    <row r="7" spans="1:29" x14ac:dyDescent="0.3">
      <c r="B7" s="158">
        <f ca="1">IFERROR(INDEX(Database[], MATCH(Encounter0[[#This Row],[Character/Creature]], Database[Character/Creature], 0), MATCH(Encounter0[#Headers], Database[#Headers], 0)) + RANDBETWEEN(1,20), "")</f>
        <v>11</v>
      </c>
      <c r="C7" s="145" t="s">
        <v>253</v>
      </c>
      <c r="D7" s="172" t="s">
        <v>455</v>
      </c>
      <c r="E7" s="145" t="str">
        <f>IFERROR(INDEX(Database[], MATCH(Encounter0[[#This Row],[Character/Creature]], Database[Character/Creature], 0), MATCH(Encounter0[#Headers], Database[#Headers], 0)), "")</f>
        <v>(empty)</v>
      </c>
      <c r="F7" s="158">
        <f ca="1">IFERROR(INDEX(Database[], MATCH(Encounter0[[#This Row],[Character/Creature]], Database[Character/Creature], 0), MATCH(Encounter0[#Headers], Database[#Headers], 0)) + RANDBETWEEN(1,20), "")</f>
        <v>18</v>
      </c>
      <c r="G7" s="173">
        <f>IFERROR(INDEX(Database[], MATCH(Encounter0[[#This Row],[Character/Creature]], Database[Character/Creature], 0), MATCH(Encounter0[#Headers], Database[#Headers], 0)), "")</f>
        <v>0</v>
      </c>
      <c r="H7" s="173">
        <f>IFERROR(INDEX(Database[], MATCH(Encounter0[[#This Row],[Character/Creature]], Database[Character/Creature], 0), MATCH(Encounter0[#Headers], Database[#Headers], 0)), "")</f>
        <v>0</v>
      </c>
      <c r="I7" s="145">
        <f>IFERROR(INDEX(Database[], MATCH(Encounter0[[#This Row],[Character/Creature]], Database[Character/Creature], 0), MATCH(Encounter0[#Headers], Database[#Headers], 0)), "")</f>
        <v>0</v>
      </c>
      <c r="J7" s="190"/>
      <c r="K7" s="119">
        <f>IFERROR(INDEX(Database[], MATCH(Encounter0[[#This Row],[Character/Creature]], Database[Character/Creature], 0), MATCH(Encounter0[#Headers], Database[#Headers], 0)), "")</f>
        <v>0</v>
      </c>
      <c r="L7" s="141">
        <v>0</v>
      </c>
      <c r="M7" s="145">
        <f>IFERROR(INDEX(Database[], MATCH(Encounter0[[#This Row],[Character/Creature]], Database[Character/Creature], 0), MATCH(Encounter0[#Headers], Database[#Headers], 0)), "")</f>
        <v>1</v>
      </c>
      <c r="N7" s="189"/>
      <c r="O7" s="145">
        <v>0</v>
      </c>
      <c r="P7" s="146">
        <f>IFERROR(Encounter0[[#This Row],[Base HP]]+Encounter0[Temp HP]-Encounter0[[#This Row],[Dmg Taken]], "")</f>
        <v>1</v>
      </c>
      <c r="Q7" s="136">
        <f>IFERROR(INDEX(Database[], MATCH(Encounter0[[#This Row],[Character/Creature]], Database[Character/Creature], 0), MATCH(Encounter0[#Headers], Database[#Headers], 0)), "")</f>
        <v>3</v>
      </c>
      <c r="R7" s="145">
        <f>INDEX(Encounter_Diff[], MATCH(Encounter0[[#This Row],[Lvl]], Encounter_Diff[Player Level], 0), MATCH(Encounter0[#Headers], Encounter_Diff[#Headers], 0))</f>
        <v>75</v>
      </c>
      <c r="S7" s="145">
        <f>INDEX(Encounter_Diff[], MATCH(Encounter0[[#This Row],[Lvl]], Encounter_Diff[Player Level], 0), MATCH(Encounter0[#Headers], Encounter_Diff[#Headers], 0))</f>
        <v>150</v>
      </c>
      <c r="T7" s="145">
        <f>INDEX(Encounter_Diff[], MATCH(Encounter0[[#This Row],[Lvl]], Encounter_Diff[Player Level], 0), MATCH(Encounter0[#Headers], Encounter_Diff[#Headers], 0))</f>
        <v>225</v>
      </c>
      <c r="U7" s="145">
        <f>INDEX(Encounter_Diff[], MATCH(Encounter0[[#This Row],[Lvl]], Encounter_Diff[Player Level], 0), MATCH(Encounter0[#Headers], Encounter_Diff[#Headers], 0))</f>
        <v>400</v>
      </c>
      <c r="V7" s="149">
        <f>IFERROR(INDEX(Database[], MATCH(Encounter0[[#This Row],[Character/Creature]], Database[Character/Creature], 0), MATCH(Encounter0[#Headers], Database[#Headers], 0)), "")</f>
        <v>0.5</v>
      </c>
      <c r="W7" s="157">
        <f>IF(ISBLANK(Encounter0[Party]), INDEX(ChallengeRating[XP], MATCH(Encounter0[CR], ChallengeRating[Challenge Rating], 0)), 0)</f>
        <v>0</v>
      </c>
      <c r="Y7" s="247" t="s">
        <v>119</v>
      </c>
      <c r="Z7" s="100" t="str">
        <f>IF(encPartyCount&lt;=2,"Small", IF(encPartyCount&lt;=5,"Med", IF(encPartyCount&lt;=8, "Large", "TOO BIG!")))</f>
        <v>Med</v>
      </c>
      <c r="AA7" s="1">
        <f>COUNTA(Encounter0[Party])+encPartyCountMod</f>
        <v>4</v>
      </c>
      <c r="AB7" s="15" t="s">
        <v>38</v>
      </c>
      <c r="AC7" s="251">
        <f t="array" ref="AC7">SUM(IF(NOT(ISBLANK(Encounter0[Party])), Encounter0[Hard]))</f>
        <v>900</v>
      </c>
    </row>
    <row r="8" spans="1:29" ht="21" thickBot="1" x14ac:dyDescent="0.35">
      <c r="B8" s="158">
        <f ca="1">IFERROR(INDEX(Database[], MATCH(Encounter0[[#This Row],[Character/Creature]], Database[Character/Creature], 0), MATCH(Encounter0[#Headers], Database[#Headers], 0)) + RANDBETWEEN(1,20), "")</f>
        <v>16</v>
      </c>
      <c r="C8" s="145" t="s">
        <v>253</v>
      </c>
      <c r="D8" s="172" t="s">
        <v>455</v>
      </c>
      <c r="E8" s="145" t="str">
        <f>IFERROR(INDEX(Database[], MATCH(Encounter0[[#This Row],[Character/Creature]], Database[Character/Creature], 0), MATCH(Encounter0[#Headers], Database[#Headers], 0)), "")</f>
        <v>(empty)</v>
      </c>
      <c r="F8" s="158">
        <f ca="1">IFERROR(INDEX(Database[], MATCH(Encounter0[[#This Row],[Character/Creature]], Database[Character/Creature], 0), MATCH(Encounter0[#Headers], Database[#Headers], 0)) + RANDBETWEEN(1,20), "")</f>
        <v>1</v>
      </c>
      <c r="G8" s="173">
        <f>IFERROR(INDEX(Database[], MATCH(Encounter0[[#This Row],[Character/Creature]], Database[Character/Creature], 0), MATCH(Encounter0[#Headers], Database[#Headers], 0)), "")</f>
        <v>0</v>
      </c>
      <c r="H8" s="173">
        <f>IFERROR(INDEX(Database[], MATCH(Encounter0[[#This Row],[Character/Creature]], Database[Character/Creature], 0), MATCH(Encounter0[#Headers], Database[#Headers], 0)), "")</f>
        <v>0</v>
      </c>
      <c r="I8" s="145">
        <f>IFERROR(INDEX(Database[], MATCH(Encounter0[[#This Row],[Character/Creature]], Database[Character/Creature], 0), MATCH(Encounter0[#Headers], Database[#Headers], 0)), "")</f>
        <v>0</v>
      </c>
      <c r="J8" s="190"/>
      <c r="K8" s="119">
        <f>IFERROR(INDEX(Database[], MATCH(Encounter0[[#This Row],[Character/Creature]], Database[Character/Creature], 0), MATCH(Encounter0[#Headers], Database[#Headers], 0)), "")</f>
        <v>0</v>
      </c>
      <c r="L8" s="141">
        <f>IFERROR(INDEX(Database[], MATCH(Encounter0[[#This Row],[Character/Creature]], Database[Character/Creature], 0), MATCH(Encounter0[#Headers], Database[#Headers], 0)), "")</f>
        <v>0</v>
      </c>
      <c r="M8" s="145">
        <f>IFERROR(INDEX(Database[], MATCH(Encounter0[[#This Row],[Character/Creature]], Database[Character/Creature], 0), MATCH(Encounter0[#Headers], Database[#Headers], 0)), "")</f>
        <v>1</v>
      </c>
      <c r="N8" s="189"/>
      <c r="O8" s="145">
        <f>IFERROR(INDEX(Database[], MATCH(Encounter0[[#This Row],[Character/Creature]], Database[Character/Creature], 0), MATCH(Encounter0[#Headers], Database[#Headers], 0)), "")</f>
        <v>0</v>
      </c>
      <c r="P8" s="146">
        <f>IFERROR(Encounter0[[#This Row],[Base HP]]+Encounter0[Temp HP]-Encounter0[[#This Row],[Dmg Taken]], "")</f>
        <v>1</v>
      </c>
      <c r="Q8" s="136">
        <f>IFERROR(INDEX(Database[], MATCH(Encounter0[[#This Row],[Character/Creature]], Database[Character/Creature], 0), MATCH(Encounter0[#Headers], Database[#Headers], 0)), "")</f>
        <v>3</v>
      </c>
      <c r="R8" s="145">
        <f>INDEX(Encounter_Diff[], MATCH(Encounter0[[#This Row],[Lvl]], Encounter_Diff[Player Level], 0), MATCH(Encounter0[#Headers], Encounter_Diff[#Headers], 0))</f>
        <v>75</v>
      </c>
      <c r="S8" s="145">
        <f>INDEX(Encounter_Diff[], MATCH(Encounter0[[#This Row],[Lvl]], Encounter_Diff[Player Level], 0), MATCH(Encounter0[#Headers], Encounter_Diff[#Headers], 0))</f>
        <v>150</v>
      </c>
      <c r="T8" s="145">
        <f>INDEX(Encounter_Diff[], MATCH(Encounter0[[#This Row],[Lvl]], Encounter_Diff[Player Level], 0), MATCH(Encounter0[#Headers], Encounter_Diff[#Headers], 0))</f>
        <v>225</v>
      </c>
      <c r="U8" s="145">
        <f>INDEX(Encounter_Diff[], MATCH(Encounter0[[#This Row],[Lvl]], Encounter_Diff[Player Level], 0), MATCH(Encounter0[#Headers], Encounter_Diff[#Headers], 0))</f>
        <v>400</v>
      </c>
      <c r="V8" s="149">
        <f>IFERROR(INDEX(Database[], MATCH(Encounter0[[#This Row],[Character/Creature]], Database[Character/Creature], 0), MATCH(Encounter0[#Headers], Database[#Headers], 0)), "")</f>
        <v>0.5</v>
      </c>
      <c r="W8" s="157">
        <f>IF(ISBLANK(Encounter0[Party]), INDEX(ChallengeRating[XP], MATCH(Encounter0[CR], ChallengeRating[Challenge Rating], 0)), 0)</f>
        <v>0</v>
      </c>
      <c r="Y8" s="247"/>
      <c r="Z8" s="100" t="s">
        <v>348</v>
      </c>
      <c r="AA8" s="1">
        <v>0</v>
      </c>
      <c r="AB8" s="16" t="s">
        <v>40</v>
      </c>
      <c r="AC8" s="252">
        <f t="array" ref="AC8">SUM(IF(NOT(ISBLANK(Encounter0[Party])), Encounter0[Deadly]))</f>
        <v>1600</v>
      </c>
    </row>
    <row r="9" spans="1:29" x14ac:dyDescent="0.3">
      <c r="Y9" s="14" t="s">
        <v>31</v>
      </c>
      <c r="Z9" s="243">
        <f>SUM(Encounter0[XP])</f>
        <v>0</v>
      </c>
      <c r="AA9" s="244"/>
    </row>
    <row r="10" spans="1:29" ht="21" thickBot="1" x14ac:dyDescent="0.35">
      <c r="Y10" s="165" t="s">
        <v>32</v>
      </c>
      <c r="Z10" s="245">
        <f>encTotalXP/encPartyCount</f>
        <v>0</v>
      </c>
      <c r="AA10" s="246"/>
    </row>
    <row r="11" spans="1:29" ht="21" thickBot="1" x14ac:dyDescent="0.35"/>
    <row r="12" spans="1:29" ht="21" thickBot="1" x14ac:dyDescent="0.35">
      <c r="Y12" s="238" t="s">
        <v>240</v>
      </c>
      <c r="Z12" s="239"/>
      <c r="AA12" s="240"/>
    </row>
    <row r="13" spans="1:29" ht="30" x14ac:dyDescent="0.3">
      <c r="Y13" s="235" t="s">
        <v>235</v>
      </c>
      <c r="Z13" s="101" t="s">
        <v>242</v>
      </c>
      <c r="AA13" s="153" t="e">
        <f t="array" ref="AA13">AVERAGE(IF(ISBLANK(Encounter0[Party]), Encounter0[Pass Perc]))</f>
        <v>#DIV/0!</v>
      </c>
    </row>
    <row r="14" spans="1:29" ht="30" x14ac:dyDescent="0.3">
      <c r="Y14" s="236"/>
      <c r="Z14" s="114" t="s">
        <v>243</v>
      </c>
      <c r="AA14" s="153"/>
    </row>
    <row r="15" spans="1:29" ht="21" thickBot="1" x14ac:dyDescent="0.35">
      <c r="Y15" s="237"/>
      <c r="Z15" s="122" t="s">
        <v>235</v>
      </c>
      <c r="AA15" s="154">
        <f t="array" aca="1" ref="AA15" ca="1">AVERAGE(IF(NOT(ISBLANK(Encounter0[Party])), Encounter0[Stealth]))</f>
        <v>12.5</v>
      </c>
    </row>
    <row r="16" spans="1:29" x14ac:dyDescent="0.3">
      <c r="Y16" s="235" t="s">
        <v>239</v>
      </c>
      <c r="Z16" s="120" t="s">
        <v>239</v>
      </c>
      <c r="AA16" s="155" t="e">
        <f t="array" aca="1" ref="AA16" ca="1">AVERAGE(IF(ISBLANK(Encounter0[Party]), Encounter0[Stealth]))</f>
        <v>#DIV/0!</v>
      </c>
    </row>
    <row r="17" spans="25:27" ht="30" x14ac:dyDescent="0.3">
      <c r="Y17" s="236"/>
      <c r="Z17" s="123" t="s">
        <v>237</v>
      </c>
      <c r="AA17" s="151">
        <f t="array" ref="AA17">AVERAGE(IF(NOT(ISBLANK(Encounter0[Party])), Encounter0[Pass Perc]))</f>
        <v>0</v>
      </c>
    </row>
    <row r="18" spans="25:27" ht="30.75" thickBot="1" x14ac:dyDescent="0.35">
      <c r="Y18" s="237"/>
      <c r="Z18" s="124" t="s">
        <v>238</v>
      </c>
      <c r="AA18" s="152"/>
    </row>
    <row r="19" spans="25:27" x14ac:dyDescent="0.3">
      <c r="Y19" s="235" t="s">
        <v>241</v>
      </c>
      <c r="Z19" s="121" t="s">
        <v>111</v>
      </c>
      <c r="AA19" s="155"/>
    </row>
    <row r="20" spans="25:27" ht="21" thickBot="1" x14ac:dyDescent="0.35">
      <c r="Y20" s="237"/>
      <c r="Z20" s="125" t="s">
        <v>236</v>
      </c>
      <c r="AA20" s="156"/>
    </row>
  </sheetData>
  <mergeCells count="17">
    <mergeCell ref="B2:P2"/>
    <mergeCell ref="Q2:V2"/>
    <mergeCell ref="B3:E3"/>
    <mergeCell ref="F3:K3"/>
    <mergeCell ref="L3:P3"/>
    <mergeCell ref="Q3:W3"/>
    <mergeCell ref="Y13:Y15"/>
    <mergeCell ref="Y16:Y18"/>
    <mergeCell ref="Y19:Y20"/>
    <mergeCell ref="Y3:AA3"/>
    <mergeCell ref="AB3:AC3"/>
    <mergeCell ref="Z4:AA4"/>
    <mergeCell ref="Z9:AA9"/>
    <mergeCell ref="Z10:AA10"/>
    <mergeCell ref="Y12:AA12"/>
    <mergeCell ref="Y7:Y8"/>
    <mergeCell ref="Y5:Y6"/>
  </mergeCells>
  <conditionalFormatting sqref="Q2 W2">
    <cfRule type="expression" dxfId="174" priority="144">
      <formula>$W$2&gt;0</formula>
    </cfRule>
  </conditionalFormatting>
  <conditionalFormatting sqref="K5:M8 O5:W8 B5:I8">
    <cfRule type="expression" dxfId="173" priority="145">
      <formula>ROUND($P5,0)&lt;1</formula>
    </cfRule>
    <cfRule type="expression" dxfId="172" priority="146">
      <formula>AND( NOT( OR( ISBLANK(#REF!), #REF!="")), NOT( OR( ISBLANK($D5), $D5="", $D5 = 0)))</formula>
    </cfRule>
    <cfRule type="expression" dxfId="171" priority="147">
      <formula>$E5="NPC"</formula>
    </cfRule>
    <cfRule type="expression" dxfId="170" priority="148">
      <formula>AND( NOT( OR( ISBLANK($C5), $C5="")), NOT( OR( ISBLANK($D5), $D5="", $D5 = 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encStart">
              <controlPr defaultSize="0" print="0" autoFill="0" autoPict="0" macro="[0]!encounterStart">
                <anchor moveWithCells="1" sizeWithCells="1">
                  <from>
                    <xdr:col>1</xdr:col>
                    <xdr:colOff>95250</xdr:colOff>
                    <xdr:row>1</xdr:row>
                    <xdr:rowOff>76200</xdr:rowOff>
                  </from>
                  <to>
                    <xdr:col>2</xdr:col>
                    <xdr:colOff>228600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encClear">
              <controlPr defaultSize="0" print="0" autoFill="0" autoPict="0" macro="[0]!encounterClear">
                <anchor moveWithCells="1" sizeWithCells="1">
                  <from>
                    <xdr:col>3</xdr:col>
                    <xdr:colOff>466725</xdr:colOff>
                    <xdr:row>1</xdr:row>
                    <xdr:rowOff>76200</xdr:rowOff>
                  </from>
                  <to>
                    <xdr:col>3</xdr:col>
                    <xdr:colOff>1104900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encSave">
              <controlPr defaultSize="0" print="0" autoFill="0" autoPict="0" macro="[0]!dataSaveAll">
                <anchor moveWithCells="1" sizeWithCells="1">
                  <from>
                    <xdr:col>13</xdr:col>
                    <xdr:colOff>295275</xdr:colOff>
                    <xdr:row>1</xdr:row>
                    <xdr:rowOff>76200</xdr:rowOff>
                  </from>
                  <to>
                    <xdr:col>14</xdr:col>
                    <xdr:colOff>447675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encNew">
              <controlPr defaultSize="0" print="0" autoFill="0" autoPict="0" macro="[0]!encounterNew">
                <anchor moveWithCells="1" sizeWithCells="1">
                  <from>
                    <xdr:col>12</xdr:col>
                    <xdr:colOff>209550</xdr:colOff>
                    <xdr:row>1</xdr:row>
                    <xdr:rowOff>76200</xdr:rowOff>
                  </from>
                  <to>
                    <xdr:col>13</xdr:col>
                    <xdr:colOff>247650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8" name="encEnd">
              <controlPr defaultSize="0" print="0" autoFill="0" autoPict="0" macro="[0]!encounterEnd">
                <anchor moveWithCells="1" sizeWithCells="1">
                  <from>
                    <xdr:col>14</xdr:col>
                    <xdr:colOff>495300</xdr:colOff>
                    <xdr:row>1</xdr:row>
                    <xdr:rowOff>76200</xdr:rowOff>
                  </from>
                  <to>
                    <xdr:col>15</xdr:col>
                    <xdr:colOff>533400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9" name="encReload">
              <controlPr defaultSize="0" print="0" autoFill="0" autoPict="0" macro="[0]!encounterReloadAll">
                <anchor moveWithCells="1" sizeWithCells="1">
                  <from>
                    <xdr:col>2</xdr:col>
                    <xdr:colOff>266700</xdr:colOff>
                    <xdr:row>1</xdr:row>
                    <xdr:rowOff>76200</xdr:rowOff>
                  </from>
                  <to>
                    <xdr:col>3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A27567-BC62-4EA5-ADD7-DD42B6B65C7F}">
          <x14:formula1>
            <xm:f>Database!$E$4:$E$171</xm:f>
          </x14:formula1>
          <xm:sqref>D5:D8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50540-15C2-46B1-AD41-3E2CAD37FFCF}">
  <sheetPr codeName="Sheet5"/>
  <dimension ref="A1:AC20"/>
  <sheetViews>
    <sheetView zoomScaleNormal="100" workbookViewId="0">
      <selection activeCell="D11" sqref="B11:W11"/>
    </sheetView>
  </sheetViews>
  <sheetFormatPr defaultColWidth="11" defaultRowHeight="20.25" x14ac:dyDescent="0.3"/>
  <cols>
    <col min="1" max="1" width="4.77734375" style="2" customWidth="1"/>
    <col min="2" max="2" width="5.88671875" style="10" customWidth="1"/>
    <col min="3" max="3" width="5.6640625" style="10" customWidth="1"/>
    <col min="4" max="4" width="20.88671875" style="10" customWidth="1"/>
    <col min="5" max="5" width="14.77734375" style="10" customWidth="1"/>
    <col min="6" max="9" width="7" style="10" customWidth="1"/>
    <col min="10" max="10" width="7.109375" style="10" customWidth="1"/>
    <col min="11" max="11" width="23.5546875" style="10" customWidth="1"/>
    <col min="12" max="12" width="7.21875" style="22" customWidth="1"/>
    <col min="13" max="13" width="7.21875" style="10" customWidth="1"/>
    <col min="14" max="14" width="6.109375" style="10" customWidth="1"/>
    <col min="15" max="15" width="7.21875" style="22" customWidth="1"/>
    <col min="16" max="16" width="7.21875" style="10" customWidth="1"/>
    <col min="17" max="17" width="4.33203125" style="10" customWidth="1"/>
    <col min="18" max="21" width="4.33203125" style="10" hidden="1" customWidth="1"/>
    <col min="22" max="22" width="4.33203125" style="10" customWidth="1"/>
    <col min="23" max="23" width="6.5546875" style="10" customWidth="1"/>
    <col min="24" max="24" width="4.44140625" style="10" customWidth="1"/>
    <col min="25" max="25" width="10.21875" style="10" customWidth="1"/>
    <col min="26" max="26" width="12.33203125" style="10" customWidth="1"/>
    <col min="27" max="27" width="7.109375" style="10" customWidth="1"/>
    <col min="28" max="28" width="14.77734375" style="10" customWidth="1"/>
    <col min="29" max="29" width="11.77734375" style="10" customWidth="1"/>
    <col min="30" max="16384" width="11" style="10"/>
  </cols>
  <sheetData>
    <row r="1" spans="1:29" ht="21" thickBot="1" x14ac:dyDescent="0.35">
      <c r="B1" s="9"/>
      <c r="C1" s="9"/>
      <c r="D1" s="9"/>
      <c r="E1" s="9"/>
      <c r="R1" s="9"/>
      <c r="S1" s="9"/>
      <c r="T1" s="9"/>
      <c r="U1" s="9"/>
      <c r="V1" s="9"/>
      <c r="W1" s="9"/>
    </row>
    <row r="2" spans="1:29" s="2" customFormat="1" ht="32.25" thickBot="1" x14ac:dyDescent="0.35">
      <c r="A2" s="3"/>
      <c r="B2" s="203" t="s">
        <v>244</v>
      </c>
      <c r="C2" s="204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6"/>
      <c r="Q2" s="248" t="s">
        <v>234</v>
      </c>
      <c r="R2" s="249"/>
      <c r="S2" s="249"/>
      <c r="T2" s="249"/>
      <c r="U2" s="249"/>
      <c r="V2" s="249"/>
      <c r="W2" s="191">
        <v>0</v>
      </c>
    </row>
    <row r="3" spans="1:29" s="4" customFormat="1" ht="21" customHeight="1" thickBot="1" x14ac:dyDescent="0.35">
      <c r="B3" s="209" t="s">
        <v>252</v>
      </c>
      <c r="C3" s="210"/>
      <c r="D3" s="210"/>
      <c r="E3" s="211"/>
      <c r="F3" s="212" t="s">
        <v>7</v>
      </c>
      <c r="G3" s="210"/>
      <c r="H3" s="210"/>
      <c r="I3" s="210"/>
      <c r="J3" s="210"/>
      <c r="K3" s="211"/>
      <c r="L3" s="212" t="s">
        <v>8</v>
      </c>
      <c r="M3" s="210"/>
      <c r="N3" s="210"/>
      <c r="O3" s="210"/>
      <c r="P3" s="211"/>
      <c r="Q3" s="212" t="s">
        <v>20</v>
      </c>
      <c r="R3" s="210"/>
      <c r="S3" s="210"/>
      <c r="T3" s="210"/>
      <c r="U3" s="210"/>
      <c r="V3" s="210"/>
      <c r="W3" s="213"/>
      <c r="Y3" s="238" t="s">
        <v>39</v>
      </c>
      <c r="Z3" s="239"/>
      <c r="AA3" s="240"/>
      <c r="AB3" s="238" t="s">
        <v>41</v>
      </c>
      <c r="AC3" s="240"/>
    </row>
    <row r="4" spans="1:29" s="8" customFormat="1" ht="31.5" x14ac:dyDescent="0.2">
      <c r="B4" s="197" t="s">
        <v>245</v>
      </c>
      <c r="C4" s="194" t="s">
        <v>236</v>
      </c>
      <c r="D4" s="194" t="s">
        <v>260</v>
      </c>
      <c r="E4" s="196" t="s">
        <v>5</v>
      </c>
      <c r="F4" s="197" t="s">
        <v>2</v>
      </c>
      <c r="G4" s="197" t="s">
        <v>246</v>
      </c>
      <c r="H4" s="197" t="s">
        <v>247</v>
      </c>
      <c r="I4" s="197" t="s">
        <v>83</v>
      </c>
      <c r="J4" s="188" t="s">
        <v>378</v>
      </c>
      <c r="K4" s="196" t="s">
        <v>255</v>
      </c>
      <c r="L4" s="197" t="s">
        <v>56</v>
      </c>
      <c r="M4" s="197" t="s">
        <v>266</v>
      </c>
      <c r="N4" s="187" t="s">
        <v>379</v>
      </c>
      <c r="O4" s="21" t="s">
        <v>259</v>
      </c>
      <c r="P4" s="198" t="s">
        <v>251</v>
      </c>
      <c r="Q4" s="8" t="s">
        <v>258</v>
      </c>
      <c r="R4" s="186" t="s">
        <v>36</v>
      </c>
      <c r="S4" s="186" t="s">
        <v>37</v>
      </c>
      <c r="T4" s="186" t="s">
        <v>38</v>
      </c>
      <c r="U4" s="186" t="s">
        <v>40</v>
      </c>
      <c r="V4" s="8" t="s">
        <v>248</v>
      </c>
      <c r="W4" s="195" t="s">
        <v>19</v>
      </c>
      <c r="Y4" s="199" t="s">
        <v>35</v>
      </c>
      <c r="Z4" s="241" t="str">
        <f>IF(encCalc&lt;encEasy,"Trivial",LOOKUP(encCalc,AC5:AC8,AB5:AB8))</f>
        <v>Hard</v>
      </c>
      <c r="AA4" s="242"/>
      <c r="AB4" s="199" t="s">
        <v>42</v>
      </c>
      <c r="AC4" s="201">
        <f>encTotalXP* INDEX(Encounter_Mod[], MATCH(encMobSize, Encounter_Mod[Type], 0), MATCH(encPartySize, Encounter_Mod[#Headers], 0))</f>
        <v>900</v>
      </c>
    </row>
    <row r="5" spans="1:29" x14ac:dyDescent="0.2">
      <c r="A5" s="150"/>
      <c r="B5" s="158">
        <f ca="1">IFERROR(INDEX(Database[], MATCH(Encounter06[[#This Row],[Character/Creature]], Database[Character/Creature], 0), MATCH(Encounter06[#Headers], Database[#Headers], 0)) + RANDBETWEEN(1,20), "")</f>
        <v>15</v>
      </c>
      <c r="C5" s="145" t="s">
        <v>253</v>
      </c>
      <c r="D5" s="172" t="s">
        <v>455</v>
      </c>
      <c r="E5" s="145" t="str">
        <f>IFERROR(INDEX(Database[], MATCH(Encounter06[[#This Row],[Character/Creature]], Database[Character/Creature], 0), MATCH(Encounter06[#Headers], Database[#Headers], 0)), "")</f>
        <v>(empty)</v>
      </c>
      <c r="F5" s="158">
        <f ca="1">IFERROR(INDEX(Database[], MATCH(Encounter06[[#This Row],[Character/Creature]], Database[Character/Creature], 0), MATCH(Encounter06[#Headers], Database[#Headers], 0)) + RANDBETWEEN(1,20), "")</f>
        <v>12</v>
      </c>
      <c r="G5" s="173">
        <f>IFERROR(INDEX(Database[], MATCH(Encounter06[[#This Row],[Character/Creature]], Database[Character/Creature], 0), MATCH(Encounter06[#Headers], Database[#Headers], 0)), "")</f>
        <v>0</v>
      </c>
      <c r="H5" s="173">
        <f>IFERROR(INDEX(Database[], MATCH(Encounter06[[#This Row],[Character/Creature]], Database[Character/Creature], 0), MATCH(Encounter06[#Headers], Database[#Headers], 0)), "")</f>
        <v>0</v>
      </c>
      <c r="I5" s="145">
        <f>IFERROR(INDEX(Database[], MATCH(Encounter06[[#This Row],[Character/Creature]], Database[Character/Creature], 0), MATCH(Encounter06[#Headers], Database[#Headers], 0)), "")</f>
        <v>0</v>
      </c>
      <c r="J5" s="190"/>
      <c r="K5" s="171">
        <f>IFERROR(INDEX(Database[], MATCH(Encounter06[[#This Row],[Character/Creature]], Database[Character/Creature], 0), MATCH(Encounter06[#Headers], Database[#Headers], 0)), "")</f>
        <v>0</v>
      </c>
      <c r="L5" s="136">
        <f>IFERROR(INDEX(Database[], MATCH(Encounter06[[#This Row],[Character/Creature]], Database[Character/Creature], 0), MATCH(Encounter06[#Headers], Database[#Headers], 0)), "")</f>
        <v>0</v>
      </c>
      <c r="M5" s="145">
        <f>IFERROR(INDEX(Database[], MATCH(Encounter06[[#This Row],[Character/Creature]], Database[Character/Creature], 0), MATCH(Encounter06[#Headers], Database[#Headers], 0)), "")</f>
        <v>1</v>
      </c>
      <c r="N5" s="189"/>
      <c r="O5" s="145">
        <f>IFERROR(INDEX(Database[], MATCH(Encounter06[[#This Row],[Character/Creature]], Database[Character/Creature], 0), MATCH(Encounter06[#Headers], Database[#Headers], 0)), "")</f>
        <v>0</v>
      </c>
      <c r="P5" s="146">
        <f>IFERROR(Encounter06[[#This Row],[Base HP]]+Encounter06[Temp HP]-Encounter06[[#This Row],[Dmg Taken]], "")</f>
        <v>1</v>
      </c>
      <c r="Q5" s="136">
        <f>IFERROR(INDEX(Database[], MATCH(Encounter06[[#This Row],[Character/Creature]], Database[Character/Creature], 0), MATCH(Encounter06[#Headers], Database[#Headers], 0)), "")</f>
        <v>3</v>
      </c>
      <c r="R5" s="145">
        <f>INDEX(Encounter_Diff[], MATCH(Encounter06[[#This Row],[Lvl]], Encounter_Diff[Player Level], 0), MATCH(Encounter06[#Headers], Encounter_Diff[#Headers], 0))</f>
        <v>75</v>
      </c>
      <c r="S5" s="145">
        <f>INDEX(Encounter_Diff[], MATCH(Encounter06[[#This Row],[Lvl]], Encounter_Diff[Player Level], 0), MATCH(Encounter06[#Headers], Encounter_Diff[#Headers], 0))</f>
        <v>150</v>
      </c>
      <c r="T5" s="145">
        <f>INDEX(Encounter_Diff[], MATCH(Encounter06[[#This Row],[Lvl]], Encounter_Diff[Player Level], 0), MATCH(Encounter06[#Headers], Encounter_Diff[#Headers], 0))</f>
        <v>225</v>
      </c>
      <c r="U5" s="145">
        <f>INDEX(Encounter_Diff[], MATCH(Encounter06[[#This Row],[Lvl]], Encounter_Diff[Player Level], 0), MATCH(Encounter06[#Headers], Encounter_Diff[#Headers], 0))</f>
        <v>400</v>
      </c>
      <c r="V5" s="149">
        <f>IFERROR(INDEX(Database[], MATCH(Encounter06[[#This Row],[Character/Creature]], Database[Character/Creature], 0), MATCH(Encounter06[#Headers], Database[#Headers], 0)), "")</f>
        <v>0.5</v>
      </c>
      <c r="W5" s="157">
        <f>IF(ISBLANK(Encounter06[Party]), INDEX(ChallengeRating[XP], MATCH(Encounter06[CR], ChallengeRating[Challenge Rating], 0)), 0)</f>
        <v>0</v>
      </c>
      <c r="Y5" s="247" t="s">
        <v>120</v>
      </c>
      <c r="Z5" s="100" t="str">
        <f>IF(encMobCount=0,"None", IF(encMobCount=1,"Single", IF(encMobCount=2,"Pair", IF(encMobCount&lt;=6,"Group", IF(encMobCount&lt;=10,"Gang", IF(encMobCount&lt;=14,"Mob", "Horde"))))))</f>
        <v>Group</v>
      </c>
      <c r="AA5" s="1">
        <f>COUNTBLANK(Encounter06[Party])-encMobCountMod</f>
        <v>3</v>
      </c>
      <c r="AB5" s="15" t="s">
        <v>36</v>
      </c>
      <c r="AC5" s="201">
        <f t="array" ref="AC5">SUM(IF(NOT(ISBLANK(Encounter06[Party])), Encounter06[Easy]))</f>
        <v>300</v>
      </c>
    </row>
    <row r="6" spans="1:29" x14ac:dyDescent="0.2">
      <c r="A6" s="150"/>
      <c r="B6" s="158">
        <f ca="1">IFERROR(INDEX(Database[], MATCH(Encounter06[[#This Row],[Character/Creature]], Database[Character/Creature], 0), MATCH(Encounter06[#Headers], Database[#Headers], 0)) + RANDBETWEEN(1,20), "")</f>
        <v>19</v>
      </c>
      <c r="C6" s="145" t="s">
        <v>253</v>
      </c>
      <c r="D6" s="172" t="s">
        <v>455</v>
      </c>
      <c r="E6" s="145" t="str">
        <f>IFERROR(INDEX(Database[], MATCH(Encounter06[[#This Row],[Character/Creature]], Database[Character/Creature], 0), MATCH(Encounter06[#Headers], Database[#Headers], 0)), "")</f>
        <v>(empty)</v>
      </c>
      <c r="F6" s="158">
        <f ca="1">IFERROR(INDEX(Database[], MATCH(Encounter06[[#This Row],[Character/Creature]], Database[Character/Creature], 0), MATCH(Encounter06[#Headers], Database[#Headers], 0)) + RANDBETWEEN(1,20), "")</f>
        <v>11</v>
      </c>
      <c r="G6" s="173">
        <f>IFERROR(INDEX(Database[], MATCH(Encounter06[[#This Row],[Character/Creature]], Database[Character/Creature], 0), MATCH(Encounter06[#Headers], Database[#Headers], 0)), "")</f>
        <v>0</v>
      </c>
      <c r="H6" s="173">
        <f>IFERROR(INDEX(Database[], MATCH(Encounter06[[#This Row],[Character/Creature]], Database[Character/Creature], 0), MATCH(Encounter06[#Headers], Database[#Headers], 0)), "")</f>
        <v>0</v>
      </c>
      <c r="I6" s="145">
        <f>IFERROR(INDEX(Database[], MATCH(Encounter06[[#This Row],[Character/Creature]], Database[Character/Creature], 0), MATCH(Encounter06[#Headers], Database[#Headers], 0)), "")</f>
        <v>0</v>
      </c>
      <c r="J6" s="190"/>
      <c r="K6" s="119">
        <f>IFERROR(INDEX(Database[], MATCH(Encounter06[[#This Row],[Character/Creature]], Database[Character/Creature], 0), MATCH(Encounter06[#Headers], Database[#Headers], 0)), "")</f>
        <v>0</v>
      </c>
      <c r="L6" s="145">
        <v>0</v>
      </c>
      <c r="M6" s="145">
        <f>IFERROR(INDEX(Database[], MATCH(Encounter06[[#This Row],[Character/Creature]], Database[Character/Creature], 0), MATCH(Encounter06[#Headers], Database[#Headers], 0)), "")</f>
        <v>1</v>
      </c>
      <c r="N6" s="189"/>
      <c r="O6" s="145">
        <v>0</v>
      </c>
      <c r="P6" s="146">
        <f>IFERROR(Encounter06[[#This Row],[Base HP]]+Encounter06[Temp HP]-Encounter06[[#This Row],[Dmg Taken]], "")</f>
        <v>1</v>
      </c>
      <c r="Q6" s="136">
        <f>IFERROR(INDEX(Database[], MATCH(Encounter06[[#This Row],[Character/Creature]], Database[Character/Creature], 0), MATCH(Encounter06[#Headers], Database[#Headers], 0)), "")</f>
        <v>3</v>
      </c>
      <c r="R6" s="145">
        <f>INDEX(Encounter_Diff[], MATCH(Encounter06[[#This Row],[Lvl]], Encounter_Diff[Player Level], 0), MATCH(Encounter06[#Headers], Encounter_Diff[#Headers], 0))</f>
        <v>75</v>
      </c>
      <c r="S6" s="145">
        <f>INDEX(Encounter_Diff[], MATCH(Encounter06[[#This Row],[Lvl]], Encounter_Diff[Player Level], 0), MATCH(Encounter06[#Headers], Encounter_Diff[#Headers], 0))</f>
        <v>150</v>
      </c>
      <c r="T6" s="145">
        <f>INDEX(Encounter_Diff[], MATCH(Encounter06[[#This Row],[Lvl]], Encounter_Diff[Player Level], 0), MATCH(Encounter06[#Headers], Encounter_Diff[#Headers], 0))</f>
        <v>225</v>
      </c>
      <c r="U6" s="145">
        <f>INDEX(Encounter_Diff[], MATCH(Encounter06[[#This Row],[Lvl]], Encounter_Diff[Player Level], 0), MATCH(Encounter06[#Headers], Encounter_Diff[#Headers], 0))</f>
        <v>400</v>
      </c>
      <c r="V6" s="149">
        <f>IFERROR(INDEX(Database[], MATCH(Encounter06[[#This Row],[Character/Creature]], Database[Character/Creature], 0), MATCH(Encounter06[#Headers], Database[#Headers], 0)), "")</f>
        <v>0.5</v>
      </c>
      <c r="W6" s="157">
        <f>IF(ISBLANK(Encounter06[Party]), INDEX(ChallengeRating[XP], MATCH(Encounter06[CR], ChallengeRating[Challenge Rating], 0)), 0)</f>
        <v>0</v>
      </c>
      <c r="Y6" s="247"/>
      <c r="Z6" s="100" t="s">
        <v>348</v>
      </c>
      <c r="AA6" s="1">
        <v>0</v>
      </c>
      <c r="AB6" s="15" t="s">
        <v>37</v>
      </c>
      <c r="AC6" s="250">
        <f t="array" ref="AC6">SUM(IF(NOT(ISBLANK(Encounter06[Party])), Encounter06[Medium]))</f>
        <v>600</v>
      </c>
    </row>
    <row r="7" spans="1:29" x14ac:dyDescent="0.3">
      <c r="B7" s="158">
        <f ca="1">IFERROR(INDEX(Database[], MATCH(Encounter06[[#This Row],[Character/Creature]], Database[Character/Creature], 0), MATCH(Encounter06[#Headers], Database[#Headers], 0)) + RANDBETWEEN(1,20), "")</f>
        <v>12</v>
      </c>
      <c r="C7" s="145" t="s">
        <v>253</v>
      </c>
      <c r="D7" s="172" t="s">
        <v>455</v>
      </c>
      <c r="E7" s="145" t="str">
        <f>IFERROR(INDEX(Database[], MATCH(Encounter06[[#This Row],[Character/Creature]], Database[Character/Creature], 0), MATCH(Encounter06[#Headers], Database[#Headers], 0)), "")</f>
        <v>(empty)</v>
      </c>
      <c r="F7" s="158">
        <f ca="1">IFERROR(INDEX(Database[], MATCH(Encounter06[[#This Row],[Character/Creature]], Database[Character/Creature], 0), MATCH(Encounter06[#Headers], Database[#Headers], 0)) + RANDBETWEEN(1,20), "")</f>
        <v>18</v>
      </c>
      <c r="G7" s="173">
        <f>IFERROR(INDEX(Database[], MATCH(Encounter06[[#This Row],[Character/Creature]], Database[Character/Creature], 0), MATCH(Encounter06[#Headers], Database[#Headers], 0)), "")</f>
        <v>0</v>
      </c>
      <c r="H7" s="173">
        <f>IFERROR(INDEX(Database[], MATCH(Encounter06[[#This Row],[Character/Creature]], Database[Character/Creature], 0), MATCH(Encounter06[#Headers], Database[#Headers], 0)), "")</f>
        <v>0</v>
      </c>
      <c r="I7" s="145">
        <f>IFERROR(INDEX(Database[], MATCH(Encounter06[[#This Row],[Character/Creature]], Database[Character/Creature], 0), MATCH(Encounter06[#Headers], Database[#Headers], 0)), "")</f>
        <v>0</v>
      </c>
      <c r="J7" s="190"/>
      <c r="K7" s="119">
        <f>IFERROR(INDEX(Database[], MATCH(Encounter06[[#This Row],[Character/Creature]], Database[Character/Creature], 0), MATCH(Encounter06[#Headers], Database[#Headers], 0)), "")</f>
        <v>0</v>
      </c>
      <c r="L7" s="141">
        <v>0</v>
      </c>
      <c r="M7" s="145">
        <f>IFERROR(INDEX(Database[], MATCH(Encounter06[[#This Row],[Character/Creature]], Database[Character/Creature], 0), MATCH(Encounter06[#Headers], Database[#Headers], 0)), "")</f>
        <v>1</v>
      </c>
      <c r="N7" s="189"/>
      <c r="O7" s="145">
        <v>0</v>
      </c>
      <c r="P7" s="146">
        <f>IFERROR(Encounter06[[#This Row],[Base HP]]+Encounter06[Temp HP]-Encounter06[[#This Row],[Dmg Taken]], "")</f>
        <v>1</v>
      </c>
      <c r="Q7" s="136">
        <f>IFERROR(INDEX(Database[], MATCH(Encounter06[[#This Row],[Character/Creature]], Database[Character/Creature], 0), MATCH(Encounter06[#Headers], Database[#Headers], 0)), "")</f>
        <v>3</v>
      </c>
      <c r="R7" s="145">
        <f>INDEX(Encounter_Diff[], MATCH(Encounter06[[#This Row],[Lvl]], Encounter_Diff[Player Level], 0), MATCH(Encounter06[#Headers], Encounter_Diff[#Headers], 0))</f>
        <v>75</v>
      </c>
      <c r="S7" s="145">
        <f>INDEX(Encounter_Diff[], MATCH(Encounter06[[#This Row],[Lvl]], Encounter_Diff[Player Level], 0), MATCH(Encounter06[#Headers], Encounter_Diff[#Headers], 0))</f>
        <v>150</v>
      </c>
      <c r="T7" s="145">
        <f>INDEX(Encounter_Diff[], MATCH(Encounter06[[#This Row],[Lvl]], Encounter_Diff[Player Level], 0), MATCH(Encounter06[#Headers], Encounter_Diff[#Headers], 0))</f>
        <v>225</v>
      </c>
      <c r="U7" s="145">
        <f>INDEX(Encounter_Diff[], MATCH(Encounter06[[#This Row],[Lvl]], Encounter_Diff[Player Level], 0), MATCH(Encounter06[#Headers], Encounter_Diff[#Headers], 0))</f>
        <v>400</v>
      </c>
      <c r="V7" s="149">
        <f>IFERROR(INDEX(Database[], MATCH(Encounter06[[#This Row],[Character/Creature]], Database[Character/Creature], 0), MATCH(Encounter06[#Headers], Database[#Headers], 0)), "")</f>
        <v>0.5</v>
      </c>
      <c r="W7" s="157">
        <f>IF(ISBLANK(Encounter06[Party]), INDEX(ChallengeRating[XP], MATCH(Encounter06[CR], ChallengeRating[Challenge Rating], 0)), 0)</f>
        <v>0</v>
      </c>
      <c r="Y7" s="247" t="s">
        <v>119</v>
      </c>
      <c r="Z7" s="100" t="str">
        <f>IF(encPartyCount&lt;=2,"Small", IF(encPartyCount&lt;=5,"Med", IF(encPartyCount&lt;=8, "Large", "TOO BIG!")))</f>
        <v>Med</v>
      </c>
      <c r="AA7" s="1">
        <f>COUNTA(Encounter06[Party])+encPartyCountMod</f>
        <v>4</v>
      </c>
      <c r="AB7" s="15" t="s">
        <v>38</v>
      </c>
      <c r="AC7" s="19">
        <f t="array" ref="AC7">SUM(IF(NOT(ISBLANK(Encounter06[Party])), Encounter06[Hard]))</f>
        <v>900</v>
      </c>
    </row>
    <row r="8" spans="1:29" ht="21" thickBot="1" x14ac:dyDescent="0.35">
      <c r="B8" s="158">
        <f ca="1">IFERROR(INDEX(Database[], MATCH(Encounter06[[#This Row],[Character/Creature]], Database[Character/Creature], 0), MATCH(Encounter06[#Headers], Database[#Headers], 0)) + RANDBETWEEN(1,20), "")</f>
        <v>1</v>
      </c>
      <c r="C8" s="145" t="s">
        <v>253</v>
      </c>
      <c r="D8" s="172" t="s">
        <v>455</v>
      </c>
      <c r="E8" s="145" t="str">
        <f>IFERROR(INDEX(Database[], MATCH(Encounter06[[#This Row],[Character/Creature]], Database[Character/Creature], 0), MATCH(Encounter06[#Headers], Database[#Headers], 0)), "")</f>
        <v>(empty)</v>
      </c>
      <c r="F8" s="158">
        <f ca="1">IFERROR(INDEX(Database[], MATCH(Encounter06[[#This Row],[Character/Creature]], Database[Character/Creature], 0), MATCH(Encounter06[#Headers], Database[#Headers], 0)) + RANDBETWEEN(1,20), "")</f>
        <v>18</v>
      </c>
      <c r="G8" s="173">
        <f>IFERROR(INDEX(Database[], MATCH(Encounter06[[#This Row],[Character/Creature]], Database[Character/Creature], 0), MATCH(Encounter06[#Headers], Database[#Headers], 0)), "")</f>
        <v>0</v>
      </c>
      <c r="H8" s="173">
        <f>IFERROR(INDEX(Database[], MATCH(Encounter06[[#This Row],[Character/Creature]], Database[Character/Creature], 0), MATCH(Encounter06[#Headers], Database[#Headers], 0)), "")</f>
        <v>0</v>
      </c>
      <c r="I8" s="145">
        <f>IFERROR(INDEX(Database[], MATCH(Encounter06[[#This Row],[Character/Creature]], Database[Character/Creature], 0), MATCH(Encounter06[#Headers], Database[#Headers], 0)), "")</f>
        <v>0</v>
      </c>
      <c r="J8" s="190"/>
      <c r="K8" s="119">
        <f>IFERROR(INDEX(Database[], MATCH(Encounter06[[#This Row],[Character/Creature]], Database[Character/Creature], 0), MATCH(Encounter06[#Headers], Database[#Headers], 0)), "")</f>
        <v>0</v>
      </c>
      <c r="L8" s="141">
        <f>IFERROR(INDEX(Database[], MATCH(Encounter06[[#This Row],[Character/Creature]], Database[Character/Creature], 0), MATCH(Encounter06[#Headers], Database[#Headers], 0)), "")</f>
        <v>0</v>
      </c>
      <c r="M8" s="145">
        <f>IFERROR(INDEX(Database[], MATCH(Encounter06[[#This Row],[Character/Creature]], Database[Character/Creature], 0), MATCH(Encounter06[#Headers], Database[#Headers], 0)), "")</f>
        <v>1</v>
      </c>
      <c r="N8" s="189"/>
      <c r="O8" s="145">
        <f>IFERROR(INDEX(Database[], MATCH(Encounter06[[#This Row],[Character/Creature]], Database[Character/Creature], 0), MATCH(Encounter06[#Headers], Database[#Headers], 0)), "")</f>
        <v>0</v>
      </c>
      <c r="P8" s="146">
        <f>IFERROR(Encounter06[[#This Row],[Base HP]]+Encounter06[Temp HP]-Encounter06[[#This Row],[Dmg Taken]], "")</f>
        <v>1</v>
      </c>
      <c r="Q8" s="136">
        <f>IFERROR(INDEX(Database[], MATCH(Encounter06[[#This Row],[Character/Creature]], Database[Character/Creature], 0), MATCH(Encounter06[#Headers], Database[#Headers], 0)), "")</f>
        <v>3</v>
      </c>
      <c r="R8" s="145">
        <f>INDEX(Encounter_Diff[], MATCH(Encounter06[[#This Row],[Lvl]], Encounter_Diff[Player Level], 0), MATCH(Encounter06[#Headers], Encounter_Diff[#Headers], 0))</f>
        <v>75</v>
      </c>
      <c r="S8" s="145">
        <f>INDEX(Encounter_Diff[], MATCH(Encounter06[[#This Row],[Lvl]], Encounter_Diff[Player Level], 0), MATCH(Encounter06[#Headers], Encounter_Diff[#Headers], 0))</f>
        <v>150</v>
      </c>
      <c r="T8" s="145">
        <f>INDEX(Encounter_Diff[], MATCH(Encounter06[[#This Row],[Lvl]], Encounter_Diff[Player Level], 0), MATCH(Encounter06[#Headers], Encounter_Diff[#Headers], 0))</f>
        <v>225</v>
      </c>
      <c r="U8" s="145">
        <f>INDEX(Encounter_Diff[], MATCH(Encounter06[[#This Row],[Lvl]], Encounter_Diff[Player Level], 0), MATCH(Encounter06[#Headers], Encounter_Diff[#Headers], 0))</f>
        <v>400</v>
      </c>
      <c r="V8" s="149">
        <f>IFERROR(INDEX(Database[], MATCH(Encounter06[[#This Row],[Character/Creature]], Database[Character/Creature], 0), MATCH(Encounter06[#Headers], Database[#Headers], 0)), "")</f>
        <v>0.5</v>
      </c>
      <c r="W8" s="157">
        <f>IF(ISBLANK(Encounter06[Party]), INDEX(ChallengeRating[XP], MATCH(Encounter06[CR], ChallengeRating[Challenge Rating], 0)), 0)</f>
        <v>0</v>
      </c>
      <c r="Y8" s="247"/>
      <c r="Z8" s="100" t="s">
        <v>348</v>
      </c>
      <c r="AA8" s="1">
        <v>0</v>
      </c>
      <c r="AB8" s="16" t="s">
        <v>40</v>
      </c>
      <c r="AC8" s="17">
        <f t="array" ref="AC8">SUM(IF(NOT(ISBLANK(Encounter06[Party])), Encounter06[Deadly]))</f>
        <v>1600</v>
      </c>
    </row>
    <row r="9" spans="1:29" x14ac:dyDescent="0.3">
      <c r="B9" s="158">
        <f ca="1">IFERROR(INDEX(Database[], MATCH(Encounter06[[#This Row],[Character/Creature]], Database[Character/Creature], 0), MATCH(Encounter06[#Headers], Database[#Headers], 0)) + RANDBETWEEN(1,20), "")</f>
        <v>22</v>
      </c>
      <c r="C9" s="145"/>
      <c r="D9" s="172" t="s">
        <v>14</v>
      </c>
      <c r="E9" s="145">
        <f>IFERROR(INDEX(Database[], MATCH(Encounter06[[#This Row],[Character/Creature]], Database[Character/Creature], 0), MATCH(Encounter06[#Headers], Database[#Headers], 0)), "")</f>
        <v>0</v>
      </c>
      <c r="F9" s="158">
        <f ca="1">IFERROR(INDEX(Database[], MATCH(Encounter06[[#This Row],[Character/Creature]], Database[Character/Creature], 0), MATCH(Encounter06[#Headers], Database[#Headers], 0)) + RANDBETWEEN(1,20), "")</f>
        <v>14</v>
      </c>
      <c r="G9" s="173">
        <f>IFERROR(INDEX(Database[], MATCH(Encounter06[[#This Row],[Character/Creature]], Database[Character/Creature], 0), MATCH(Encounter06[#Headers], Database[#Headers], 0)), "")</f>
        <v>10</v>
      </c>
      <c r="H9" s="173">
        <f>IFERROR(INDEX(Database[], MATCH(Encounter06[[#This Row],[Character/Creature]], Database[Character/Creature], 0), MATCH(Encounter06[#Headers], Database[#Headers], 0)), "")</f>
        <v>16</v>
      </c>
      <c r="I9" s="145">
        <f>IFERROR(INDEX(Database[], MATCH(Encounter06[[#This Row],[Character/Creature]], Database[Character/Creature], 0), MATCH(Encounter06[#Headers], Database[#Headers], 0)), "")</f>
        <v>0</v>
      </c>
      <c r="J9" s="190"/>
      <c r="K9" s="119" t="str">
        <f>IFERROR(INDEX(Database[], MATCH(Encounter06[[#This Row],[Character/Creature]], Database[Character/Creature], 0), MATCH(Encounter06[#Headers], Database[#Headers], 0)), "")</f>
        <v xml:space="preserve"> </v>
      </c>
      <c r="L9" s="145">
        <f>IFERROR(INDEX(Database[], MATCH(Encounter06[[#This Row],[Character/Creature]], Database[Character/Creature], 0), MATCH(Encounter06[#Headers], Database[#Headers], 0)), "")</f>
        <v>0</v>
      </c>
      <c r="M9" s="145">
        <f>IFERROR(INDEX(Database[], MATCH(Encounter06[[#This Row],[Character/Creature]], Database[Character/Creature], 0), MATCH(Encounter06[#Headers], Database[#Headers], 0)), "")</f>
        <v>27</v>
      </c>
      <c r="N9" s="189"/>
      <c r="O9" s="145">
        <f>IFERROR(INDEX(Database[], MATCH(Encounter06[[#This Row],[Character/Creature]], Database[Character/Creature], 0), MATCH(Encounter06[#Headers], Database[#Headers], 0)), "")</f>
        <v>0</v>
      </c>
      <c r="P9" s="146">
        <f>IFERROR(Encounter06[[#This Row],[Base HP]]+Encounter06[Temp HP]-Encounter06[[#This Row],[Dmg Taken]], "")</f>
        <v>27</v>
      </c>
      <c r="Q9" s="136">
        <f>IFERROR(INDEX(Database[], MATCH(Encounter06[[#This Row],[Character/Creature]], Database[Character/Creature], 0), MATCH(Encounter06[#Headers], Database[#Headers], 0)), "")</f>
        <v>3</v>
      </c>
      <c r="R9" s="145">
        <f>INDEX(Encounter_Diff[], MATCH(Encounter06[[#This Row],[Lvl]], Encounter_Diff[Player Level], 0), MATCH(Encounter06[#Headers], Encounter_Diff[#Headers], 0))</f>
        <v>75</v>
      </c>
      <c r="S9" s="145">
        <f>INDEX(Encounter_Diff[], MATCH(Encounter06[[#This Row],[Lvl]], Encounter_Diff[Player Level], 0), MATCH(Encounter06[#Headers], Encounter_Diff[#Headers], 0))</f>
        <v>150</v>
      </c>
      <c r="T9" s="145">
        <f>INDEX(Encounter_Diff[], MATCH(Encounter06[[#This Row],[Lvl]], Encounter_Diff[Player Level], 0), MATCH(Encounter06[#Headers], Encounter_Diff[#Headers], 0))</f>
        <v>225</v>
      </c>
      <c r="U9" s="145">
        <f>INDEX(Encounter_Diff[], MATCH(Encounter06[[#This Row],[Lvl]], Encounter_Diff[Player Level], 0), MATCH(Encounter06[#Headers], Encounter_Diff[#Headers], 0))</f>
        <v>400</v>
      </c>
      <c r="V9" s="149">
        <f>IFERROR(INDEX(Database[], MATCH(Encounter06[[#This Row],[Character/Creature]], Database[Character/Creature], 0), MATCH(Encounter06[#Headers], Database[#Headers], 0)), "")</f>
        <v>1</v>
      </c>
      <c r="W9" s="157">
        <f>IF(ISBLANK(Encounter06[Party]), INDEX(ChallengeRating[XP], MATCH(Encounter06[CR], ChallengeRating[Challenge Rating], 0)), 0)</f>
        <v>200</v>
      </c>
      <c r="Y9" s="202" t="s">
        <v>31</v>
      </c>
      <c r="Z9" s="243">
        <f>SUM(Encounter06[XP])</f>
        <v>450</v>
      </c>
      <c r="AA9" s="244"/>
    </row>
    <row r="10" spans="1:29" ht="21" thickBot="1" x14ac:dyDescent="0.35">
      <c r="B10" s="158">
        <f ca="1">IFERROR(INDEX(Database[], MATCH(Encounter06[[#This Row],[Character/Creature]], Database[Character/Creature], 0), MATCH(Encounter06[#Headers], Database[#Headers], 0)) + RANDBETWEEN(1,20), "")</f>
        <v>18</v>
      </c>
      <c r="C10" s="145"/>
      <c r="D10" s="172" t="s">
        <v>14</v>
      </c>
      <c r="E10" s="145">
        <f>IFERROR(INDEX(Database[], MATCH(Encounter06[[#This Row],[Character/Creature]], Database[Character/Creature], 0), MATCH(Encounter06[#Headers], Database[#Headers], 0)), "")</f>
        <v>0</v>
      </c>
      <c r="F10" s="158">
        <f ca="1">IFERROR(INDEX(Database[], MATCH(Encounter06[[#This Row],[Character/Creature]], Database[Character/Creature], 0), MATCH(Encounter06[#Headers], Database[#Headers], 0)) + RANDBETWEEN(1,20), "")</f>
        <v>15</v>
      </c>
      <c r="G10" s="173">
        <f>IFERROR(INDEX(Database[], MATCH(Encounter06[[#This Row],[Character/Creature]], Database[Character/Creature], 0), MATCH(Encounter06[#Headers], Database[#Headers], 0)), "")</f>
        <v>10</v>
      </c>
      <c r="H10" s="173">
        <f>IFERROR(INDEX(Database[], MATCH(Encounter06[[#This Row],[Character/Creature]], Database[Character/Creature], 0), MATCH(Encounter06[#Headers], Database[#Headers], 0)), "")</f>
        <v>16</v>
      </c>
      <c r="I10" s="145">
        <f>IFERROR(INDEX(Database[], MATCH(Encounter06[[#This Row],[Character/Creature]], Database[Character/Creature], 0), MATCH(Encounter06[#Headers], Database[#Headers], 0)), "")</f>
        <v>0</v>
      </c>
      <c r="J10" s="190"/>
      <c r="K10" s="119" t="str">
        <f>IFERROR(INDEX(Database[], MATCH(Encounter06[[#This Row],[Character/Creature]], Database[Character/Creature], 0), MATCH(Encounter06[#Headers], Database[#Headers], 0)), "")</f>
        <v xml:space="preserve"> </v>
      </c>
      <c r="L10" s="145">
        <f>IFERROR(INDEX(Database[], MATCH(Encounter06[[#This Row],[Character/Creature]], Database[Character/Creature], 0), MATCH(Encounter06[#Headers], Database[#Headers], 0)), "")</f>
        <v>0</v>
      </c>
      <c r="M10" s="145">
        <f>IFERROR(INDEX(Database[], MATCH(Encounter06[[#This Row],[Character/Creature]], Database[Character/Creature], 0), MATCH(Encounter06[#Headers], Database[#Headers], 0)), "")</f>
        <v>27</v>
      </c>
      <c r="N10" s="189"/>
      <c r="O10" s="145">
        <f>IFERROR(INDEX(Database[], MATCH(Encounter06[[#This Row],[Character/Creature]], Database[Character/Creature], 0), MATCH(Encounter06[#Headers], Database[#Headers], 0)), "")</f>
        <v>0</v>
      </c>
      <c r="P10" s="146">
        <f>IFERROR(Encounter06[[#This Row],[Base HP]]+Encounter06[Temp HP]-Encounter06[[#This Row],[Dmg Taken]], "")</f>
        <v>27</v>
      </c>
      <c r="Q10" s="136">
        <f>IFERROR(INDEX(Database[], MATCH(Encounter06[[#This Row],[Character/Creature]], Database[Character/Creature], 0), MATCH(Encounter06[#Headers], Database[#Headers], 0)), "")</f>
        <v>3</v>
      </c>
      <c r="R10" s="145">
        <f>INDEX(Encounter_Diff[], MATCH(Encounter06[[#This Row],[Lvl]], Encounter_Diff[Player Level], 0), MATCH(Encounter06[#Headers], Encounter_Diff[#Headers], 0))</f>
        <v>75</v>
      </c>
      <c r="S10" s="145">
        <f>INDEX(Encounter_Diff[], MATCH(Encounter06[[#This Row],[Lvl]], Encounter_Diff[Player Level], 0), MATCH(Encounter06[#Headers], Encounter_Diff[#Headers], 0))</f>
        <v>150</v>
      </c>
      <c r="T10" s="145">
        <f>INDEX(Encounter_Diff[], MATCH(Encounter06[[#This Row],[Lvl]], Encounter_Diff[Player Level], 0), MATCH(Encounter06[#Headers], Encounter_Diff[#Headers], 0))</f>
        <v>225</v>
      </c>
      <c r="U10" s="145">
        <f>INDEX(Encounter_Diff[], MATCH(Encounter06[[#This Row],[Lvl]], Encounter_Diff[Player Level], 0), MATCH(Encounter06[#Headers], Encounter_Diff[#Headers], 0))</f>
        <v>400</v>
      </c>
      <c r="V10" s="149">
        <f>IFERROR(INDEX(Database[], MATCH(Encounter06[[#This Row],[Character/Creature]], Database[Character/Creature], 0), MATCH(Encounter06[#Headers], Database[#Headers], 0)), "")</f>
        <v>1</v>
      </c>
      <c r="W10" s="157">
        <f>IF(ISBLANK(Encounter06[Party]), INDEX(ChallengeRating[XP], MATCH(Encounter06[CR], ChallengeRating[Challenge Rating], 0)), 0)</f>
        <v>200</v>
      </c>
      <c r="Y10" s="200" t="s">
        <v>32</v>
      </c>
      <c r="Z10" s="245">
        <f>encTotalXP/encPartyCount</f>
        <v>112.5</v>
      </c>
      <c r="AA10" s="246"/>
    </row>
    <row r="11" spans="1:29" ht="21" thickBot="1" x14ac:dyDescent="0.35">
      <c r="B11" s="158">
        <f ca="1">IFERROR(INDEX(Database[], MATCH(Encounter06[[#This Row],[Character/Creature]], Database[Character/Creature], 0), MATCH(Encounter06[#Headers], Database[#Headers], 0)) + RANDBETWEEN(1,20), "")</f>
        <v>6</v>
      </c>
      <c r="C11" s="145"/>
      <c r="D11" s="172" t="s">
        <v>15</v>
      </c>
      <c r="E11" s="145">
        <f>IFERROR(INDEX(Database[], MATCH(Encounter06[[#This Row],[Character/Creature]], Database[Character/Creature], 0), MATCH(Encounter06[#Headers], Database[#Headers], 0)), "")</f>
        <v>0</v>
      </c>
      <c r="F11" s="158">
        <f ca="1">IFERROR(INDEX(Database[], MATCH(Encounter06[[#This Row],[Character/Creature]], Database[Character/Creature], 0), MATCH(Encounter06[#Headers], Database[#Headers], 0)) + RANDBETWEEN(1,20), "")</f>
        <v>15</v>
      </c>
      <c r="G11" s="173">
        <f>IFERROR(INDEX(Database[], MATCH(Encounter06[[#This Row],[Character/Creature]], Database[Character/Creature], 0), MATCH(Encounter06[#Headers], Database[#Headers], 0)), "")</f>
        <v>9</v>
      </c>
      <c r="H11" s="173">
        <f>IFERROR(INDEX(Database[], MATCH(Encounter06[[#This Row],[Character/Creature]], Database[Character/Creature], 0), MATCH(Encounter06[#Headers], Database[#Headers], 0)), "")</f>
        <v>15</v>
      </c>
      <c r="I11" s="145">
        <f>IFERROR(INDEX(Database[], MATCH(Encounter06[[#This Row],[Character/Creature]], Database[Character/Creature], 0), MATCH(Encounter06[#Headers], Database[#Headers], 0)), "")</f>
        <v>0</v>
      </c>
      <c r="J11" s="190"/>
      <c r="K11" s="119" t="str">
        <f>IFERROR(INDEX(Database[], MATCH(Encounter06[[#This Row],[Character/Creature]], Database[Character/Creature], 0), MATCH(Encounter06[#Headers], Database[#Headers], 0)), "")</f>
        <v xml:space="preserve"> </v>
      </c>
      <c r="L11" s="145">
        <f>IFERROR(INDEX(Database[], MATCH(Encounter06[[#This Row],[Character/Creature]], Database[Character/Creature], 0), MATCH(Encounter06[#Headers], Database[#Headers], 0)), "")</f>
        <v>0</v>
      </c>
      <c r="M11" s="145">
        <f>IFERROR(INDEX(Database[], MATCH(Encounter06[[#This Row],[Character/Creature]], Database[Character/Creature], 0), MATCH(Encounter06[#Headers], Database[#Headers], 0)), "")</f>
        <v>7</v>
      </c>
      <c r="N11" s="189"/>
      <c r="O11" s="145">
        <f>IFERROR(INDEX(Database[], MATCH(Encounter06[[#This Row],[Character/Creature]], Database[Character/Creature], 0), MATCH(Encounter06[#Headers], Database[#Headers], 0)), "")</f>
        <v>0</v>
      </c>
      <c r="P11" s="146">
        <f>IFERROR(Encounter06[[#This Row],[Base HP]]+Encounter06[Temp HP]-Encounter06[[#This Row],[Dmg Taken]], "")</f>
        <v>7</v>
      </c>
      <c r="Q11" s="136">
        <f>IFERROR(INDEX(Database[], MATCH(Encounter06[[#This Row],[Character/Creature]], Database[Character/Creature], 0), MATCH(Encounter06[#Headers], Database[#Headers], 0)), "")</f>
        <v>1</v>
      </c>
      <c r="R11" s="145">
        <f>INDEX(Encounter_Diff[], MATCH(Encounter06[[#This Row],[Lvl]], Encounter_Diff[Player Level], 0), MATCH(Encounter06[#Headers], Encounter_Diff[#Headers], 0))</f>
        <v>25</v>
      </c>
      <c r="S11" s="145">
        <f>INDEX(Encounter_Diff[], MATCH(Encounter06[[#This Row],[Lvl]], Encounter_Diff[Player Level], 0), MATCH(Encounter06[#Headers], Encounter_Diff[#Headers], 0))</f>
        <v>50</v>
      </c>
      <c r="T11" s="145">
        <f>INDEX(Encounter_Diff[], MATCH(Encounter06[[#This Row],[Lvl]], Encounter_Diff[Player Level], 0), MATCH(Encounter06[#Headers], Encounter_Diff[#Headers], 0))</f>
        <v>75</v>
      </c>
      <c r="U11" s="145">
        <f>INDEX(Encounter_Diff[], MATCH(Encounter06[[#This Row],[Lvl]], Encounter_Diff[Player Level], 0), MATCH(Encounter06[#Headers], Encounter_Diff[#Headers], 0))</f>
        <v>100</v>
      </c>
      <c r="V11" s="149">
        <f>IFERROR(INDEX(Database[], MATCH(Encounter06[[#This Row],[Character/Creature]], Database[Character/Creature], 0), MATCH(Encounter06[#Headers], Database[#Headers], 0)), "")</f>
        <v>0.25</v>
      </c>
      <c r="W11" s="157">
        <f>IF(ISBLANK(Encounter06[Party]), INDEX(ChallengeRating[XP], MATCH(Encounter06[CR], ChallengeRating[Challenge Rating], 0)), 0)</f>
        <v>50</v>
      </c>
    </row>
    <row r="12" spans="1:29" ht="21" thickBot="1" x14ac:dyDescent="0.35">
      <c r="Y12" s="238" t="s">
        <v>240</v>
      </c>
      <c r="Z12" s="239"/>
      <c r="AA12" s="240"/>
    </row>
    <row r="13" spans="1:29" ht="30" x14ac:dyDescent="0.3">
      <c r="Y13" s="235" t="s">
        <v>235</v>
      </c>
      <c r="Z13" s="101" t="s">
        <v>242</v>
      </c>
      <c r="AA13" s="153">
        <f t="array" ref="AA13">AVERAGE(IF(ISBLANK(Encounter06[Party]), Encounter06[Pass Perc]))</f>
        <v>9.6666666666666661</v>
      </c>
    </row>
    <row r="14" spans="1:29" ht="30" x14ac:dyDescent="0.3">
      <c r="Y14" s="236"/>
      <c r="Z14" s="114" t="s">
        <v>243</v>
      </c>
      <c r="AA14" s="153"/>
    </row>
    <row r="15" spans="1:29" ht="21" thickBot="1" x14ac:dyDescent="0.35">
      <c r="Y15" s="237"/>
      <c r="Z15" s="122" t="s">
        <v>235</v>
      </c>
      <c r="AA15" s="154">
        <f t="array" aca="1" ref="AA15" ca="1">AVERAGE(IF(NOT(ISBLANK(Encounter06[Party])), Encounter06[Stealth]))</f>
        <v>14.75</v>
      </c>
    </row>
    <row r="16" spans="1:29" x14ac:dyDescent="0.3">
      <c r="Y16" s="235" t="s">
        <v>239</v>
      </c>
      <c r="Z16" s="120" t="s">
        <v>239</v>
      </c>
      <c r="AA16" s="155">
        <f t="array" aca="1" ref="AA16" ca="1">AVERAGE(IF(ISBLANK(Encounter06[Party]), Encounter06[Stealth]))</f>
        <v>14.666666666666666</v>
      </c>
    </row>
    <row r="17" spans="25:27" ht="30" x14ac:dyDescent="0.3">
      <c r="Y17" s="236"/>
      <c r="Z17" s="123" t="s">
        <v>237</v>
      </c>
      <c r="AA17" s="151">
        <f t="array" ref="AA17">AVERAGE(IF(NOT(ISBLANK(Encounter06[Party])), Encounter06[Pass Perc]))</f>
        <v>0</v>
      </c>
    </row>
    <row r="18" spans="25:27" ht="30.75" thickBot="1" x14ac:dyDescent="0.35">
      <c r="Y18" s="237"/>
      <c r="Z18" s="124" t="s">
        <v>238</v>
      </c>
      <c r="AA18" s="152"/>
    </row>
    <row r="19" spans="25:27" x14ac:dyDescent="0.3">
      <c r="Y19" s="235" t="s">
        <v>241</v>
      </c>
      <c r="Z19" s="121" t="s">
        <v>111</v>
      </c>
      <c r="AA19" s="155"/>
    </row>
    <row r="20" spans="25:27" ht="21" thickBot="1" x14ac:dyDescent="0.35">
      <c r="Y20" s="237"/>
      <c r="Z20" s="125" t="s">
        <v>236</v>
      </c>
      <c r="AA20" s="156"/>
    </row>
  </sheetData>
  <mergeCells count="17">
    <mergeCell ref="Z10:AA10"/>
    <mergeCell ref="Y12:AA12"/>
    <mergeCell ref="Y13:Y15"/>
    <mergeCell ref="Y16:Y18"/>
    <mergeCell ref="Y19:Y20"/>
    <mergeCell ref="Y3:AA3"/>
    <mergeCell ref="AB3:AC3"/>
    <mergeCell ref="Z4:AA4"/>
    <mergeCell ref="Y5:Y6"/>
    <mergeCell ref="Y7:Y8"/>
    <mergeCell ref="Z9:AA9"/>
    <mergeCell ref="B2:P2"/>
    <mergeCell ref="Q2:V2"/>
    <mergeCell ref="B3:E3"/>
    <mergeCell ref="F3:K3"/>
    <mergeCell ref="L3:P3"/>
    <mergeCell ref="Q3:W3"/>
  </mergeCells>
  <conditionalFormatting sqref="Q2 W2">
    <cfRule type="expression" dxfId="169" priority="5">
      <formula>$W$2&gt;0</formula>
    </cfRule>
  </conditionalFormatting>
  <conditionalFormatting sqref="K5:M11 O5:W11 B5:I11">
    <cfRule type="expression" dxfId="168" priority="6">
      <formula>ROUND($P5,0)&lt;1</formula>
    </cfRule>
    <cfRule type="expression" dxfId="167" priority="7">
      <formula>AND( NOT( OR( ISBLANK(#REF!), #REF!="")), NOT( OR( ISBLANK($D5), $D5="", $D5 = 0)))</formula>
    </cfRule>
    <cfRule type="expression" dxfId="166" priority="8">
      <formula>$E5="NPC"</formula>
    </cfRule>
    <cfRule type="expression" dxfId="165" priority="9">
      <formula>AND( NOT( OR( ISBLANK($C5), $C5="")), NOT( OR( ISBLANK($D5), $D5="", $D5 = 0)))</formula>
    </cfRule>
  </conditionalFormatting>
  <conditionalFormatting sqref="D10">
    <cfRule type="expression" dxfId="164" priority="1">
      <formula>ROUND($P10,0)&lt;1</formula>
    </cfRule>
    <cfRule type="expression" dxfId="163" priority="2">
      <formula>AND( NOT( OR( ISBLANK(#REF!), #REF!="")), NOT( OR( ISBLANK($D10), $D10="", $D10 = 0)))</formula>
    </cfRule>
    <cfRule type="expression" dxfId="162" priority="3">
      <formula>$E10="NPC"</formula>
    </cfRule>
    <cfRule type="expression" dxfId="161" priority="4">
      <formula>AND( NOT( OR( ISBLANK($C10), $C10="")), NOT( OR( ISBLANK($D10), $D10="", $D10 = 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encStart">
              <controlPr defaultSize="0" print="0" autoFill="0" autoPict="0" macro="[0]!encounterStart">
                <anchor moveWithCells="1" sizeWithCells="1">
                  <from>
                    <xdr:col>1</xdr:col>
                    <xdr:colOff>95250</xdr:colOff>
                    <xdr:row>1</xdr:row>
                    <xdr:rowOff>76200</xdr:rowOff>
                  </from>
                  <to>
                    <xdr:col>2</xdr:col>
                    <xdr:colOff>228600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encClear">
              <controlPr defaultSize="0" print="0" autoFill="0" autoPict="0" macro="[0]!encounterClear">
                <anchor moveWithCells="1" sizeWithCells="1">
                  <from>
                    <xdr:col>3</xdr:col>
                    <xdr:colOff>466725</xdr:colOff>
                    <xdr:row>1</xdr:row>
                    <xdr:rowOff>76200</xdr:rowOff>
                  </from>
                  <to>
                    <xdr:col>3</xdr:col>
                    <xdr:colOff>1104900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encSave">
              <controlPr defaultSize="0" print="0" autoFill="0" autoPict="0" macro="[0]!dataSaveAll">
                <anchor moveWithCells="1" sizeWithCells="1">
                  <from>
                    <xdr:col>13</xdr:col>
                    <xdr:colOff>295275</xdr:colOff>
                    <xdr:row>1</xdr:row>
                    <xdr:rowOff>76200</xdr:rowOff>
                  </from>
                  <to>
                    <xdr:col>14</xdr:col>
                    <xdr:colOff>447675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encNew">
              <controlPr defaultSize="0" print="0" autoFill="0" autoPict="0" macro="[0]!encounterNew">
                <anchor moveWithCells="1" sizeWithCells="1">
                  <from>
                    <xdr:col>12</xdr:col>
                    <xdr:colOff>209550</xdr:colOff>
                    <xdr:row>1</xdr:row>
                    <xdr:rowOff>76200</xdr:rowOff>
                  </from>
                  <to>
                    <xdr:col>13</xdr:col>
                    <xdr:colOff>247650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encEnd">
              <controlPr defaultSize="0" print="0" autoFill="0" autoPict="0" macro="[0]!encounterEnd">
                <anchor moveWithCells="1" sizeWithCells="1">
                  <from>
                    <xdr:col>14</xdr:col>
                    <xdr:colOff>495300</xdr:colOff>
                    <xdr:row>1</xdr:row>
                    <xdr:rowOff>76200</xdr:rowOff>
                  </from>
                  <to>
                    <xdr:col>15</xdr:col>
                    <xdr:colOff>533400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encReload">
              <controlPr defaultSize="0" print="0" autoFill="0" autoPict="0" macro="[0]!encounterReloadAll">
                <anchor moveWithCells="1" sizeWithCells="1">
                  <from>
                    <xdr:col>2</xdr:col>
                    <xdr:colOff>266700</xdr:colOff>
                    <xdr:row>1</xdr:row>
                    <xdr:rowOff>76200</xdr:rowOff>
                  </from>
                  <to>
                    <xdr:col>3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3E9995-6DF9-493B-ABCD-4D5BFD05B074}">
          <x14:formula1>
            <xm:f>Database!$E$4:$E$171</xm:f>
          </x14:formula1>
          <xm:sqref>D5:D11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B5171-D14A-4ACE-9F20-9C5D8A13B553}">
  <sheetPr codeName="Sheet6"/>
  <dimension ref="A1:AC20"/>
  <sheetViews>
    <sheetView tabSelected="1" zoomScaleNormal="100" workbookViewId="0">
      <selection activeCell="D9" sqref="D9"/>
    </sheetView>
  </sheetViews>
  <sheetFormatPr defaultColWidth="11" defaultRowHeight="20.25" x14ac:dyDescent="0.3"/>
  <cols>
    <col min="1" max="1" width="4.77734375" style="2" customWidth="1"/>
    <col min="2" max="2" width="5.88671875" style="10" customWidth="1"/>
    <col min="3" max="3" width="5.6640625" style="10" customWidth="1"/>
    <col min="4" max="4" width="20.88671875" style="10" customWidth="1"/>
    <col min="5" max="5" width="14.77734375" style="10" customWidth="1"/>
    <col min="6" max="9" width="7" style="10" customWidth="1"/>
    <col min="10" max="10" width="7.109375" style="10" customWidth="1"/>
    <col min="11" max="11" width="23.5546875" style="10" customWidth="1"/>
    <col min="12" max="12" width="7.21875" style="22" customWidth="1"/>
    <col min="13" max="13" width="7.21875" style="10" customWidth="1"/>
    <col min="14" max="14" width="6.109375" style="10" customWidth="1"/>
    <col min="15" max="15" width="7.21875" style="22" customWidth="1"/>
    <col min="16" max="16" width="7.21875" style="10" customWidth="1"/>
    <col min="17" max="17" width="4.33203125" style="10" customWidth="1"/>
    <col min="18" max="21" width="4.33203125" style="10" hidden="1" customWidth="1"/>
    <col min="22" max="22" width="4.33203125" style="10" customWidth="1"/>
    <col min="23" max="23" width="6.5546875" style="10" customWidth="1"/>
    <col min="24" max="24" width="4.44140625" style="10" customWidth="1"/>
    <col min="25" max="25" width="10.21875" style="10" customWidth="1"/>
    <col min="26" max="26" width="12.33203125" style="10" customWidth="1"/>
    <col min="27" max="27" width="7.109375" style="10" customWidth="1"/>
    <col min="28" max="28" width="14.77734375" style="10" customWidth="1"/>
    <col min="29" max="29" width="11.77734375" style="10" customWidth="1"/>
    <col min="30" max="16384" width="11" style="10"/>
  </cols>
  <sheetData>
    <row r="1" spans="1:29" ht="21" thickBot="1" x14ac:dyDescent="0.35">
      <c r="B1" s="9"/>
      <c r="C1" s="9"/>
      <c r="D1" s="9"/>
      <c r="E1" s="9"/>
      <c r="R1" s="9"/>
      <c r="S1" s="9"/>
      <c r="T1" s="9"/>
      <c r="U1" s="9"/>
      <c r="V1" s="9"/>
      <c r="W1" s="9"/>
    </row>
    <row r="2" spans="1:29" s="2" customFormat="1" ht="32.25" thickBot="1" x14ac:dyDescent="0.35">
      <c r="A2" s="3"/>
      <c r="B2" s="203" t="s">
        <v>244</v>
      </c>
      <c r="C2" s="204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6"/>
      <c r="Q2" s="248" t="s">
        <v>234</v>
      </c>
      <c r="R2" s="249"/>
      <c r="S2" s="249"/>
      <c r="T2" s="249"/>
      <c r="U2" s="249"/>
      <c r="V2" s="249"/>
      <c r="W2" s="191">
        <v>0</v>
      </c>
    </row>
    <row r="3" spans="1:29" s="4" customFormat="1" ht="21" customHeight="1" thickBot="1" x14ac:dyDescent="0.35">
      <c r="B3" s="209" t="s">
        <v>252</v>
      </c>
      <c r="C3" s="210"/>
      <c r="D3" s="210"/>
      <c r="E3" s="211"/>
      <c r="F3" s="212" t="s">
        <v>7</v>
      </c>
      <c r="G3" s="210"/>
      <c r="H3" s="210"/>
      <c r="I3" s="210"/>
      <c r="J3" s="210"/>
      <c r="K3" s="211"/>
      <c r="L3" s="212" t="s">
        <v>8</v>
      </c>
      <c r="M3" s="210"/>
      <c r="N3" s="210"/>
      <c r="O3" s="210"/>
      <c r="P3" s="211"/>
      <c r="Q3" s="212" t="s">
        <v>20</v>
      </c>
      <c r="R3" s="210"/>
      <c r="S3" s="210"/>
      <c r="T3" s="210"/>
      <c r="U3" s="210"/>
      <c r="V3" s="210"/>
      <c r="W3" s="213"/>
      <c r="Y3" s="238" t="s">
        <v>39</v>
      </c>
      <c r="Z3" s="239"/>
      <c r="AA3" s="240"/>
      <c r="AB3" s="238" t="s">
        <v>41</v>
      </c>
      <c r="AC3" s="240"/>
    </row>
    <row r="4" spans="1:29" s="8" customFormat="1" ht="31.5" x14ac:dyDescent="0.2">
      <c r="B4" s="197" t="s">
        <v>245</v>
      </c>
      <c r="C4" s="194" t="s">
        <v>236</v>
      </c>
      <c r="D4" s="194" t="s">
        <v>260</v>
      </c>
      <c r="E4" s="196" t="s">
        <v>5</v>
      </c>
      <c r="F4" s="197" t="s">
        <v>2</v>
      </c>
      <c r="G4" s="197" t="s">
        <v>246</v>
      </c>
      <c r="H4" s="197" t="s">
        <v>247</v>
      </c>
      <c r="I4" s="197" t="s">
        <v>83</v>
      </c>
      <c r="J4" s="188" t="s">
        <v>378</v>
      </c>
      <c r="K4" s="196" t="s">
        <v>255</v>
      </c>
      <c r="L4" s="197" t="s">
        <v>56</v>
      </c>
      <c r="M4" s="197" t="s">
        <v>266</v>
      </c>
      <c r="N4" s="187" t="s">
        <v>379</v>
      </c>
      <c r="O4" s="21" t="s">
        <v>259</v>
      </c>
      <c r="P4" s="198" t="s">
        <v>251</v>
      </c>
      <c r="Q4" s="8" t="s">
        <v>258</v>
      </c>
      <c r="R4" s="186" t="s">
        <v>36</v>
      </c>
      <c r="S4" s="186" t="s">
        <v>37</v>
      </c>
      <c r="T4" s="186" t="s">
        <v>38</v>
      </c>
      <c r="U4" s="186" t="s">
        <v>40</v>
      </c>
      <c r="V4" s="8" t="s">
        <v>248</v>
      </c>
      <c r="W4" s="195" t="s">
        <v>19</v>
      </c>
      <c r="Y4" s="199" t="s">
        <v>35</v>
      </c>
      <c r="Z4" s="241" t="str">
        <f>IF(encCalc&lt;encEasy,"Trivial",LOOKUP(encCalc,AC5:AC8,AB5:AB8))</f>
        <v>Hard</v>
      </c>
      <c r="AA4" s="242"/>
      <c r="AB4" s="199" t="s">
        <v>42</v>
      </c>
      <c r="AC4" s="201">
        <f>encTotalXP* INDEX(Encounter_Mod[], MATCH(encMobSize, Encounter_Mod[Type], 0), MATCH(encPartySize, Encounter_Mod[#Headers], 0))</f>
        <v>1250</v>
      </c>
    </row>
    <row r="5" spans="1:29" x14ac:dyDescent="0.2">
      <c r="A5" s="150"/>
      <c r="B5" s="158">
        <f ca="1">IFERROR(INDEX(Database[], MATCH(Encounter08[[#This Row],[Character/Creature]], Database[Character/Creature], 0), MATCH(Encounter08[#Headers], Database[#Headers], 0)) + RANDBETWEEN(1,20), "")</f>
        <v>18</v>
      </c>
      <c r="C5" s="145" t="s">
        <v>253</v>
      </c>
      <c r="D5" s="172" t="s">
        <v>455</v>
      </c>
      <c r="E5" s="145" t="str">
        <f>IFERROR(INDEX(Database[], MATCH(Encounter08[[#This Row],[Character/Creature]], Database[Character/Creature], 0), MATCH(Encounter08[#Headers], Database[#Headers], 0)), "")</f>
        <v>(empty)</v>
      </c>
      <c r="F5" s="158">
        <f ca="1">IFERROR(INDEX(Database[], MATCH(Encounter08[[#This Row],[Character/Creature]], Database[Character/Creature], 0), MATCH(Encounter08[#Headers], Database[#Headers], 0)) + RANDBETWEEN(1,20), "")</f>
        <v>15</v>
      </c>
      <c r="G5" s="173">
        <f>IFERROR(INDEX(Database[], MATCH(Encounter08[[#This Row],[Character/Creature]], Database[Character/Creature], 0), MATCH(Encounter08[#Headers], Database[#Headers], 0)), "")</f>
        <v>0</v>
      </c>
      <c r="H5" s="173">
        <f>IFERROR(INDEX(Database[], MATCH(Encounter08[[#This Row],[Character/Creature]], Database[Character/Creature], 0), MATCH(Encounter08[#Headers], Database[#Headers], 0)), "")</f>
        <v>0</v>
      </c>
      <c r="I5" s="145">
        <f>IFERROR(INDEX(Database[], MATCH(Encounter08[[#This Row],[Character/Creature]], Database[Character/Creature], 0), MATCH(Encounter08[#Headers], Database[#Headers], 0)), "")</f>
        <v>0</v>
      </c>
      <c r="J5" s="190"/>
      <c r="K5" s="171">
        <f>IFERROR(INDEX(Database[], MATCH(Encounter08[[#This Row],[Character/Creature]], Database[Character/Creature], 0), MATCH(Encounter08[#Headers], Database[#Headers], 0)), "")</f>
        <v>0</v>
      </c>
      <c r="L5" s="136">
        <f>IFERROR(INDEX(Database[], MATCH(Encounter08[[#This Row],[Character/Creature]], Database[Character/Creature], 0), MATCH(Encounter08[#Headers], Database[#Headers], 0)), "")</f>
        <v>0</v>
      </c>
      <c r="M5" s="145">
        <f>IFERROR(INDEX(Database[], MATCH(Encounter08[[#This Row],[Character/Creature]], Database[Character/Creature], 0), MATCH(Encounter08[#Headers], Database[#Headers], 0)), "")</f>
        <v>1</v>
      </c>
      <c r="N5" s="189"/>
      <c r="O5" s="145">
        <f>IFERROR(INDEX(Database[], MATCH(Encounter08[[#This Row],[Character/Creature]], Database[Character/Creature], 0), MATCH(Encounter08[#Headers], Database[#Headers], 0)), "")</f>
        <v>0</v>
      </c>
      <c r="P5" s="146">
        <f>IFERROR(Encounter08[[#This Row],[Base HP]]+Encounter08[Temp HP]-Encounter08[[#This Row],[Dmg Taken]], "")</f>
        <v>1</v>
      </c>
      <c r="Q5" s="136">
        <f>IFERROR(INDEX(Database[], MATCH(Encounter08[[#This Row],[Character/Creature]], Database[Character/Creature], 0), MATCH(Encounter08[#Headers], Database[#Headers], 0)), "")</f>
        <v>3</v>
      </c>
      <c r="R5" s="145">
        <f>INDEX(Encounter_Diff[], MATCH(Encounter08[[#This Row],[Lvl]], Encounter_Diff[Player Level], 0), MATCH(Encounter08[#Headers], Encounter_Diff[#Headers], 0))</f>
        <v>75</v>
      </c>
      <c r="S5" s="145">
        <f>INDEX(Encounter_Diff[], MATCH(Encounter08[[#This Row],[Lvl]], Encounter_Diff[Player Level], 0), MATCH(Encounter08[#Headers], Encounter_Diff[#Headers], 0))</f>
        <v>150</v>
      </c>
      <c r="T5" s="145">
        <f>INDEX(Encounter_Diff[], MATCH(Encounter08[[#This Row],[Lvl]], Encounter_Diff[Player Level], 0), MATCH(Encounter08[#Headers], Encounter_Diff[#Headers], 0))</f>
        <v>225</v>
      </c>
      <c r="U5" s="145">
        <f>INDEX(Encounter_Diff[], MATCH(Encounter08[[#This Row],[Lvl]], Encounter_Diff[Player Level], 0), MATCH(Encounter08[#Headers], Encounter_Diff[#Headers], 0))</f>
        <v>400</v>
      </c>
      <c r="V5" s="149">
        <f>IFERROR(INDEX(Database[], MATCH(Encounter08[[#This Row],[Character/Creature]], Database[Character/Creature], 0), MATCH(Encounter08[#Headers], Database[#Headers], 0)), "")</f>
        <v>0.5</v>
      </c>
      <c r="W5" s="157">
        <f>IF(ISBLANK(Encounter08[Party]), INDEX(ChallengeRating[XP], MATCH(Encounter08[CR], ChallengeRating[Challenge Rating], 0)), 0)</f>
        <v>0</v>
      </c>
      <c r="Y5" s="247" t="s">
        <v>120</v>
      </c>
      <c r="Z5" s="100" t="str">
        <f>IF(encMobCount=0,"None", IF(encMobCount=1,"Single", IF(encMobCount=2,"Pair", IF(encMobCount&lt;=6,"Group", IF(encMobCount&lt;=10,"Gang", IF(encMobCount&lt;=14,"Mob", "Horde"))))))</f>
        <v>Gang</v>
      </c>
      <c r="AA5" s="1">
        <f>COUNTBLANK(Encounter08[Party])-encMobCountMod</f>
        <v>7</v>
      </c>
      <c r="AB5" s="15" t="s">
        <v>36</v>
      </c>
      <c r="AC5" s="201">
        <f t="array" ref="AC5">SUM(IF(NOT(ISBLANK(Encounter08[Party])), Encounter08[Easy]))</f>
        <v>300</v>
      </c>
    </row>
    <row r="6" spans="1:29" x14ac:dyDescent="0.2">
      <c r="A6" s="150"/>
      <c r="B6" s="158">
        <f ca="1">IFERROR(INDEX(Database[], MATCH(Encounter08[[#This Row],[Character/Creature]], Database[Character/Creature], 0), MATCH(Encounter08[#Headers], Database[#Headers], 0)) + RANDBETWEEN(1,20), "")</f>
        <v>9</v>
      </c>
      <c r="C6" s="145" t="s">
        <v>253</v>
      </c>
      <c r="D6" s="172" t="s">
        <v>455</v>
      </c>
      <c r="E6" s="145" t="str">
        <f>IFERROR(INDEX(Database[], MATCH(Encounter08[[#This Row],[Character/Creature]], Database[Character/Creature], 0), MATCH(Encounter08[#Headers], Database[#Headers], 0)), "")</f>
        <v>(empty)</v>
      </c>
      <c r="F6" s="158">
        <f ca="1">IFERROR(INDEX(Database[], MATCH(Encounter08[[#This Row],[Character/Creature]], Database[Character/Creature], 0), MATCH(Encounter08[#Headers], Database[#Headers], 0)) + RANDBETWEEN(1,20), "")</f>
        <v>8</v>
      </c>
      <c r="G6" s="173">
        <f>IFERROR(INDEX(Database[], MATCH(Encounter08[[#This Row],[Character/Creature]], Database[Character/Creature], 0), MATCH(Encounter08[#Headers], Database[#Headers], 0)), "")</f>
        <v>0</v>
      </c>
      <c r="H6" s="173">
        <f>IFERROR(INDEX(Database[], MATCH(Encounter08[[#This Row],[Character/Creature]], Database[Character/Creature], 0), MATCH(Encounter08[#Headers], Database[#Headers], 0)), "")</f>
        <v>0</v>
      </c>
      <c r="I6" s="145">
        <f>IFERROR(INDEX(Database[], MATCH(Encounter08[[#This Row],[Character/Creature]], Database[Character/Creature], 0), MATCH(Encounter08[#Headers], Database[#Headers], 0)), "")</f>
        <v>0</v>
      </c>
      <c r="J6" s="190"/>
      <c r="K6" s="119">
        <f>IFERROR(INDEX(Database[], MATCH(Encounter08[[#This Row],[Character/Creature]], Database[Character/Creature], 0), MATCH(Encounter08[#Headers], Database[#Headers], 0)), "")</f>
        <v>0</v>
      </c>
      <c r="L6" s="145">
        <v>0</v>
      </c>
      <c r="M6" s="145">
        <f>IFERROR(INDEX(Database[], MATCH(Encounter08[[#This Row],[Character/Creature]], Database[Character/Creature], 0), MATCH(Encounter08[#Headers], Database[#Headers], 0)), "")</f>
        <v>1</v>
      </c>
      <c r="N6" s="189"/>
      <c r="O6" s="145">
        <v>0</v>
      </c>
      <c r="P6" s="146">
        <f>IFERROR(Encounter08[[#This Row],[Base HP]]+Encounter08[Temp HP]-Encounter08[[#This Row],[Dmg Taken]], "")</f>
        <v>1</v>
      </c>
      <c r="Q6" s="136">
        <f>IFERROR(INDEX(Database[], MATCH(Encounter08[[#This Row],[Character/Creature]], Database[Character/Creature], 0), MATCH(Encounter08[#Headers], Database[#Headers], 0)), "")</f>
        <v>3</v>
      </c>
      <c r="R6" s="145">
        <f>INDEX(Encounter_Diff[], MATCH(Encounter08[[#This Row],[Lvl]], Encounter_Diff[Player Level], 0), MATCH(Encounter08[#Headers], Encounter_Diff[#Headers], 0))</f>
        <v>75</v>
      </c>
      <c r="S6" s="145">
        <f>INDEX(Encounter_Diff[], MATCH(Encounter08[[#This Row],[Lvl]], Encounter_Diff[Player Level], 0), MATCH(Encounter08[#Headers], Encounter_Diff[#Headers], 0))</f>
        <v>150</v>
      </c>
      <c r="T6" s="145">
        <f>INDEX(Encounter_Diff[], MATCH(Encounter08[[#This Row],[Lvl]], Encounter_Diff[Player Level], 0), MATCH(Encounter08[#Headers], Encounter_Diff[#Headers], 0))</f>
        <v>225</v>
      </c>
      <c r="U6" s="145">
        <f>INDEX(Encounter_Diff[], MATCH(Encounter08[[#This Row],[Lvl]], Encounter_Diff[Player Level], 0), MATCH(Encounter08[#Headers], Encounter_Diff[#Headers], 0))</f>
        <v>400</v>
      </c>
      <c r="V6" s="149">
        <f>IFERROR(INDEX(Database[], MATCH(Encounter08[[#This Row],[Character/Creature]], Database[Character/Creature], 0), MATCH(Encounter08[#Headers], Database[#Headers], 0)), "")</f>
        <v>0.5</v>
      </c>
      <c r="W6" s="157">
        <f>IF(ISBLANK(Encounter08[Party]), INDEX(ChallengeRating[XP], MATCH(Encounter08[CR], ChallengeRating[Challenge Rating], 0)), 0)</f>
        <v>0</v>
      </c>
      <c r="Y6" s="247"/>
      <c r="Z6" s="100" t="s">
        <v>348</v>
      </c>
      <c r="AA6" s="1">
        <v>0</v>
      </c>
      <c r="AB6" s="15" t="s">
        <v>37</v>
      </c>
      <c r="AC6" s="18">
        <f t="array" ref="AC6">SUM(IF(NOT(ISBLANK(Encounter08[Party])), Encounter08[Medium]))</f>
        <v>600</v>
      </c>
    </row>
    <row r="7" spans="1:29" x14ac:dyDescent="0.3">
      <c r="B7" s="158">
        <f ca="1">IFERROR(INDEX(Database[], MATCH(Encounter08[[#This Row],[Character/Creature]], Database[Character/Creature], 0), MATCH(Encounter08[#Headers], Database[#Headers], 0)) + RANDBETWEEN(1,20), "")</f>
        <v>1</v>
      </c>
      <c r="C7" s="145" t="s">
        <v>253</v>
      </c>
      <c r="D7" s="172" t="s">
        <v>455</v>
      </c>
      <c r="E7" s="145" t="str">
        <f>IFERROR(INDEX(Database[], MATCH(Encounter08[[#This Row],[Character/Creature]], Database[Character/Creature], 0), MATCH(Encounter08[#Headers], Database[#Headers], 0)), "")</f>
        <v>(empty)</v>
      </c>
      <c r="F7" s="158">
        <f ca="1">IFERROR(INDEX(Database[], MATCH(Encounter08[[#This Row],[Character/Creature]], Database[Character/Creature], 0), MATCH(Encounter08[#Headers], Database[#Headers], 0)) + RANDBETWEEN(1,20), "")</f>
        <v>18</v>
      </c>
      <c r="G7" s="173">
        <f>IFERROR(INDEX(Database[], MATCH(Encounter08[[#This Row],[Character/Creature]], Database[Character/Creature], 0), MATCH(Encounter08[#Headers], Database[#Headers], 0)), "")</f>
        <v>0</v>
      </c>
      <c r="H7" s="173">
        <f>IFERROR(INDEX(Database[], MATCH(Encounter08[[#This Row],[Character/Creature]], Database[Character/Creature], 0), MATCH(Encounter08[#Headers], Database[#Headers], 0)), "")</f>
        <v>0</v>
      </c>
      <c r="I7" s="145">
        <f>IFERROR(INDEX(Database[], MATCH(Encounter08[[#This Row],[Character/Creature]], Database[Character/Creature], 0), MATCH(Encounter08[#Headers], Database[#Headers], 0)), "")</f>
        <v>0</v>
      </c>
      <c r="J7" s="190"/>
      <c r="K7" s="119">
        <f>IFERROR(INDEX(Database[], MATCH(Encounter08[[#This Row],[Character/Creature]], Database[Character/Creature], 0), MATCH(Encounter08[#Headers], Database[#Headers], 0)), "")</f>
        <v>0</v>
      </c>
      <c r="L7" s="141">
        <v>0</v>
      </c>
      <c r="M7" s="145">
        <f>IFERROR(INDEX(Database[], MATCH(Encounter08[[#This Row],[Character/Creature]], Database[Character/Creature], 0), MATCH(Encounter08[#Headers], Database[#Headers], 0)), "")</f>
        <v>1</v>
      </c>
      <c r="N7" s="189"/>
      <c r="O7" s="145">
        <v>0</v>
      </c>
      <c r="P7" s="146">
        <f>IFERROR(Encounter08[[#This Row],[Base HP]]+Encounter08[Temp HP]-Encounter08[[#This Row],[Dmg Taken]], "")</f>
        <v>1</v>
      </c>
      <c r="Q7" s="136">
        <f>IFERROR(INDEX(Database[], MATCH(Encounter08[[#This Row],[Character/Creature]], Database[Character/Creature], 0), MATCH(Encounter08[#Headers], Database[#Headers], 0)), "")</f>
        <v>3</v>
      </c>
      <c r="R7" s="145">
        <f>INDEX(Encounter_Diff[], MATCH(Encounter08[[#This Row],[Lvl]], Encounter_Diff[Player Level], 0), MATCH(Encounter08[#Headers], Encounter_Diff[#Headers], 0))</f>
        <v>75</v>
      </c>
      <c r="S7" s="145">
        <f>INDEX(Encounter_Diff[], MATCH(Encounter08[[#This Row],[Lvl]], Encounter_Diff[Player Level], 0), MATCH(Encounter08[#Headers], Encounter_Diff[#Headers], 0))</f>
        <v>150</v>
      </c>
      <c r="T7" s="145">
        <f>INDEX(Encounter_Diff[], MATCH(Encounter08[[#This Row],[Lvl]], Encounter_Diff[Player Level], 0), MATCH(Encounter08[#Headers], Encounter_Diff[#Headers], 0))</f>
        <v>225</v>
      </c>
      <c r="U7" s="145">
        <f>INDEX(Encounter_Diff[], MATCH(Encounter08[[#This Row],[Lvl]], Encounter_Diff[Player Level], 0), MATCH(Encounter08[#Headers], Encounter_Diff[#Headers], 0))</f>
        <v>400</v>
      </c>
      <c r="V7" s="149">
        <f>IFERROR(INDEX(Database[], MATCH(Encounter08[[#This Row],[Character/Creature]], Database[Character/Creature], 0), MATCH(Encounter08[#Headers], Database[#Headers], 0)), "")</f>
        <v>0.5</v>
      </c>
      <c r="W7" s="157">
        <f>IF(ISBLANK(Encounter08[Party]), INDEX(ChallengeRating[XP], MATCH(Encounter08[CR], ChallengeRating[Challenge Rating], 0)), 0)</f>
        <v>0</v>
      </c>
      <c r="Y7" s="247" t="s">
        <v>119</v>
      </c>
      <c r="Z7" s="100" t="str">
        <f>IF(encPartyCount&lt;=2,"Small", IF(encPartyCount&lt;=5,"Med", IF(encPartyCount&lt;=8, "Large", "TOO BIG!")))</f>
        <v>Med</v>
      </c>
      <c r="AA7" s="1">
        <f>COUNTA(Encounter08[Party])+encPartyCountMod</f>
        <v>4</v>
      </c>
      <c r="AB7" s="15" t="s">
        <v>38</v>
      </c>
      <c r="AC7" s="19">
        <f t="array" ref="AC7">SUM(IF(NOT(ISBLANK(Encounter08[Party])), Encounter08[Hard]))</f>
        <v>900</v>
      </c>
    </row>
    <row r="8" spans="1:29" ht="21" thickBot="1" x14ac:dyDescent="0.35">
      <c r="B8" s="158">
        <f ca="1">IFERROR(INDEX(Database[], MATCH(Encounter08[[#This Row],[Character/Creature]], Database[Character/Creature], 0), MATCH(Encounter08[#Headers], Database[#Headers], 0)) + RANDBETWEEN(1,20), "")</f>
        <v>18</v>
      </c>
      <c r="C8" s="145" t="s">
        <v>253</v>
      </c>
      <c r="D8" s="172" t="s">
        <v>455</v>
      </c>
      <c r="E8" s="145" t="str">
        <f>IFERROR(INDEX(Database[], MATCH(Encounter08[[#This Row],[Character/Creature]], Database[Character/Creature], 0), MATCH(Encounter08[#Headers], Database[#Headers], 0)), "")</f>
        <v>(empty)</v>
      </c>
      <c r="F8" s="158">
        <f ca="1">IFERROR(INDEX(Database[], MATCH(Encounter08[[#This Row],[Character/Creature]], Database[Character/Creature], 0), MATCH(Encounter08[#Headers], Database[#Headers], 0)) + RANDBETWEEN(1,20), "")</f>
        <v>8</v>
      </c>
      <c r="G8" s="173">
        <f>IFERROR(INDEX(Database[], MATCH(Encounter08[[#This Row],[Character/Creature]], Database[Character/Creature], 0), MATCH(Encounter08[#Headers], Database[#Headers], 0)), "")</f>
        <v>0</v>
      </c>
      <c r="H8" s="173">
        <f>IFERROR(INDEX(Database[], MATCH(Encounter08[[#This Row],[Character/Creature]], Database[Character/Creature], 0), MATCH(Encounter08[#Headers], Database[#Headers], 0)), "")</f>
        <v>0</v>
      </c>
      <c r="I8" s="145">
        <f>IFERROR(INDEX(Database[], MATCH(Encounter08[[#This Row],[Character/Creature]], Database[Character/Creature], 0), MATCH(Encounter08[#Headers], Database[#Headers], 0)), "")</f>
        <v>0</v>
      </c>
      <c r="J8" s="190"/>
      <c r="K8" s="119">
        <f>IFERROR(INDEX(Database[], MATCH(Encounter08[[#This Row],[Character/Creature]], Database[Character/Creature], 0), MATCH(Encounter08[#Headers], Database[#Headers], 0)), "")</f>
        <v>0</v>
      </c>
      <c r="L8" s="141">
        <f>IFERROR(INDEX(Database[], MATCH(Encounter08[[#This Row],[Character/Creature]], Database[Character/Creature], 0), MATCH(Encounter08[#Headers], Database[#Headers], 0)), "")</f>
        <v>0</v>
      </c>
      <c r="M8" s="145">
        <f>IFERROR(INDEX(Database[], MATCH(Encounter08[[#This Row],[Character/Creature]], Database[Character/Creature], 0), MATCH(Encounter08[#Headers], Database[#Headers], 0)), "")</f>
        <v>1</v>
      </c>
      <c r="N8" s="189"/>
      <c r="O8" s="145">
        <f>IFERROR(INDEX(Database[], MATCH(Encounter08[[#This Row],[Character/Creature]], Database[Character/Creature], 0), MATCH(Encounter08[#Headers], Database[#Headers], 0)), "")</f>
        <v>0</v>
      </c>
      <c r="P8" s="146">
        <f>IFERROR(Encounter08[[#This Row],[Base HP]]+Encounter08[Temp HP]-Encounter08[[#This Row],[Dmg Taken]], "")</f>
        <v>1</v>
      </c>
      <c r="Q8" s="136">
        <f>IFERROR(INDEX(Database[], MATCH(Encounter08[[#This Row],[Character/Creature]], Database[Character/Creature], 0), MATCH(Encounter08[#Headers], Database[#Headers], 0)), "")</f>
        <v>3</v>
      </c>
      <c r="R8" s="145">
        <f>INDEX(Encounter_Diff[], MATCH(Encounter08[[#This Row],[Lvl]], Encounter_Diff[Player Level], 0), MATCH(Encounter08[#Headers], Encounter_Diff[#Headers], 0))</f>
        <v>75</v>
      </c>
      <c r="S8" s="145">
        <f>INDEX(Encounter_Diff[], MATCH(Encounter08[[#This Row],[Lvl]], Encounter_Diff[Player Level], 0), MATCH(Encounter08[#Headers], Encounter_Diff[#Headers], 0))</f>
        <v>150</v>
      </c>
      <c r="T8" s="145">
        <f>INDEX(Encounter_Diff[], MATCH(Encounter08[[#This Row],[Lvl]], Encounter_Diff[Player Level], 0), MATCH(Encounter08[#Headers], Encounter_Diff[#Headers], 0))</f>
        <v>225</v>
      </c>
      <c r="U8" s="145">
        <f>INDEX(Encounter_Diff[], MATCH(Encounter08[[#This Row],[Lvl]], Encounter_Diff[Player Level], 0), MATCH(Encounter08[#Headers], Encounter_Diff[#Headers], 0))</f>
        <v>400</v>
      </c>
      <c r="V8" s="149">
        <f>IFERROR(INDEX(Database[], MATCH(Encounter08[[#This Row],[Character/Creature]], Database[Character/Creature], 0), MATCH(Encounter08[#Headers], Database[#Headers], 0)), "")</f>
        <v>0.5</v>
      </c>
      <c r="W8" s="157">
        <f>IF(ISBLANK(Encounter08[Party]), INDEX(ChallengeRating[XP], MATCH(Encounter08[CR], ChallengeRating[Challenge Rating], 0)), 0)</f>
        <v>0</v>
      </c>
      <c r="Y8" s="247"/>
      <c r="Z8" s="100" t="s">
        <v>348</v>
      </c>
      <c r="AA8" s="1">
        <v>0</v>
      </c>
      <c r="AB8" s="16" t="s">
        <v>40</v>
      </c>
      <c r="AC8" s="17">
        <f t="array" ref="AC8">SUM(IF(NOT(ISBLANK(Encounter08[Party])), Encounter08[Deadly]))</f>
        <v>1600</v>
      </c>
    </row>
    <row r="9" spans="1:29" x14ac:dyDescent="0.3">
      <c r="B9" s="158">
        <f ca="1">IFERROR(INDEX(Database[], MATCH(Encounter08[[#This Row],[Character/Creature]], Database[Character/Creature], 0), MATCH(Encounter08[#Headers], Database[#Headers], 0)) + RANDBETWEEN(1,20), "")</f>
        <v>11</v>
      </c>
      <c r="C9" s="145"/>
      <c r="D9" s="172" t="s">
        <v>95</v>
      </c>
      <c r="E9" s="145">
        <f>IFERROR(INDEX(Database[], MATCH(Encounter08[[#This Row],[Character/Creature]], Database[Character/Creature], 0), MATCH(Encounter08[#Headers], Database[#Headers], 0)), "")</f>
        <v>0</v>
      </c>
      <c r="F9" s="158">
        <f ca="1">IFERROR(INDEX(Database[], MATCH(Encounter08[[#This Row],[Character/Creature]], Database[Character/Creature], 0), MATCH(Encounter08[#Headers], Database[#Headers], 0)) + RANDBETWEEN(1,20), "")</f>
        <v>14</v>
      </c>
      <c r="G9" s="173">
        <f>IFERROR(INDEX(Database[], MATCH(Encounter08[[#This Row],[Character/Creature]], Database[Character/Creature], 0), MATCH(Encounter08[#Headers], Database[#Headers], 0)), "")</f>
        <v>9</v>
      </c>
      <c r="H9" s="173">
        <f>IFERROR(INDEX(Database[], MATCH(Encounter08[[#This Row],[Character/Creature]], Database[Character/Creature], 0), MATCH(Encounter08[#Headers], Database[#Headers], 0)), "")</f>
        <v>17</v>
      </c>
      <c r="I9" s="145">
        <f>IFERROR(INDEX(Database[], MATCH(Encounter08[[#This Row],[Character/Creature]], Database[Character/Creature], 0), MATCH(Encounter08[#Headers], Database[#Headers], 0)), "")</f>
        <v>0</v>
      </c>
      <c r="J9" s="190"/>
      <c r="K9" s="119" t="str">
        <f>IFERROR(INDEX(Database[], MATCH(Encounter08[[#This Row],[Character/Creature]], Database[Character/Creature], 0), MATCH(Encounter08[#Headers], Database[#Headers], 0)), "")</f>
        <v xml:space="preserve"> </v>
      </c>
      <c r="L9" s="145">
        <f>IFERROR(INDEX(Database[], MATCH(Encounter08[[#This Row],[Character/Creature]], Database[Character/Creature], 0), MATCH(Encounter08[#Headers], Database[#Headers], 0)), "")</f>
        <v>0</v>
      </c>
      <c r="M9" s="145">
        <f>IFERROR(INDEX(Database[], MATCH(Encounter08[[#This Row],[Character/Creature]], Database[Character/Creature], 0), MATCH(Encounter08[#Headers], Database[#Headers], 0)), "")</f>
        <v>21</v>
      </c>
      <c r="N9" s="189"/>
      <c r="O9" s="145">
        <f>IFERROR(INDEX(Database[], MATCH(Encounter08[[#This Row],[Character/Creature]], Database[Character/Creature], 0), MATCH(Encounter08[#Headers], Database[#Headers], 0)), "")</f>
        <v>0</v>
      </c>
      <c r="P9" s="146">
        <f>IFERROR(Encounter08[[#This Row],[Base HP]]+Encounter08[Temp HP]-Encounter08[[#This Row],[Dmg Taken]], "")</f>
        <v>21</v>
      </c>
      <c r="Q9" s="136">
        <f>IFERROR(INDEX(Database[], MATCH(Encounter08[[#This Row],[Character/Creature]], Database[Character/Creature], 0), MATCH(Encounter08[#Headers], Database[#Headers], 0)), "")</f>
        <v>3</v>
      </c>
      <c r="R9" s="145">
        <f>INDEX(Encounter_Diff[], MATCH(Encounter08[[#This Row],[Lvl]], Encounter_Diff[Player Level], 0), MATCH(Encounter08[#Headers], Encounter_Diff[#Headers], 0))</f>
        <v>75</v>
      </c>
      <c r="S9" s="145">
        <f>INDEX(Encounter_Diff[], MATCH(Encounter08[[#This Row],[Lvl]], Encounter_Diff[Player Level], 0), MATCH(Encounter08[#Headers], Encounter_Diff[#Headers], 0))</f>
        <v>150</v>
      </c>
      <c r="T9" s="145">
        <f>INDEX(Encounter_Diff[], MATCH(Encounter08[[#This Row],[Lvl]], Encounter_Diff[Player Level], 0), MATCH(Encounter08[#Headers], Encounter_Diff[#Headers], 0))</f>
        <v>225</v>
      </c>
      <c r="U9" s="145">
        <f>INDEX(Encounter_Diff[], MATCH(Encounter08[[#This Row],[Lvl]], Encounter_Diff[Player Level], 0), MATCH(Encounter08[#Headers], Encounter_Diff[#Headers], 0))</f>
        <v>400</v>
      </c>
      <c r="V9" s="149">
        <f>IFERROR(INDEX(Database[], MATCH(Encounter08[[#This Row],[Character/Creature]], Database[Character/Creature], 0), MATCH(Encounter08[#Headers], Database[#Headers], 0)), "")</f>
        <v>1</v>
      </c>
      <c r="W9" s="157">
        <f>IF(ISBLANK(Encounter08[Party]), INDEX(ChallengeRating[XP], MATCH(Encounter08[CR], ChallengeRating[Challenge Rating], 0)), 0)</f>
        <v>200</v>
      </c>
      <c r="Y9" s="202" t="s">
        <v>31</v>
      </c>
      <c r="Z9" s="243">
        <f>SUM(Encounter08[XP])</f>
        <v>500</v>
      </c>
      <c r="AA9" s="244"/>
    </row>
    <row r="10" spans="1:29" ht="21" thickBot="1" x14ac:dyDescent="0.35">
      <c r="B10" s="158">
        <f ca="1">IFERROR(INDEX(Database[], MATCH(Encounter08[[#This Row],[Character/Creature]], Database[Character/Creature], 0), MATCH(Encounter08[#Headers], Database[#Headers], 0)) + RANDBETWEEN(1,20), "")</f>
        <v>20</v>
      </c>
      <c r="C10" s="145"/>
      <c r="D10" s="172" t="s">
        <v>15</v>
      </c>
      <c r="E10" s="145">
        <f>IFERROR(INDEX(Database[], MATCH(Encounter08[[#This Row],[Character/Creature]], Database[Character/Creature], 0), MATCH(Encounter08[#Headers], Database[#Headers], 0)), "")</f>
        <v>0</v>
      </c>
      <c r="F10" s="158">
        <f ca="1">IFERROR(INDEX(Database[], MATCH(Encounter08[[#This Row],[Character/Creature]], Database[Character/Creature], 0), MATCH(Encounter08[#Headers], Database[#Headers], 0)) + RANDBETWEEN(1,20), "")</f>
        <v>18</v>
      </c>
      <c r="G10" s="173">
        <f>IFERROR(INDEX(Database[], MATCH(Encounter08[[#This Row],[Character/Creature]], Database[Character/Creature], 0), MATCH(Encounter08[#Headers], Database[#Headers], 0)), "")</f>
        <v>9</v>
      </c>
      <c r="H10" s="173">
        <f>IFERROR(INDEX(Database[], MATCH(Encounter08[[#This Row],[Character/Creature]], Database[Character/Creature], 0), MATCH(Encounter08[#Headers], Database[#Headers], 0)), "")</f>
        <v>15</v>
      </c>
      <c r="I10" s="145">
        <f>IFERROR(INDEX(Database[], MATCH(Encounter08[[#This Row],[Character/Creature]], Database[Character/Creature], 0), MATCH(Encounter08[#Headers], Database[#Headers], 0)), "")</f>
        <v>0</v>
      </c>
      <c r="J10" s="190"/>
      <c r="K10" s="119" t="str">
        <f>IFERROR(INDEX(Database[], MATCH(Encounter08[[#This Row],[Character/Creature]], Database[Character/Creature], 0), MATCH(Encounter08[#Headers], Database[#Headers], 0)), "")</f>
        <v xml:space="preserve"> </v>
      </c>
      <c r="L10" s="145">
        <f>IFERROR(INDEX(Database[], MATCH(Encounter08[[#This Row],[Character/Creature]], Database[Character/Creature], 0), MATCH(Encounter08[#Headers], Database[#Headers], 0)), "")</f>
        <v>0</v>
      </c>
      <c r="M10" s="145">
        <f>IFERROR(INDEX(Database[], MATCH(Encounter08[[#This Row],[Character/Creature]], Database[Character/Creature], 0), MATCH(Encounter08[#Headers], Database[#Headers], 0)), "")</f>
        <v>7</v>
      </c>
      <c r="N10" s="189"/>
      <c r="O10" s="145">
        <f>IFERROR(INDEX(Database[], MATCH(Encounter08[[#This Row],[Character/Creature]], Database[Character/Creature], 0), MATCH(Encounter08[#Headers], Database[#Headers], 0)), "")</f>
        <v>0</v>
      </c>
      <c r="P10" s="146">
        <f>IFERROR(Encounter08[[#This Row],[Base HP]]+Encounter08[Temp HP]-Encounter08[[#This Row],[Dmg Taken]], "")</f>
        <v>7</v>
      </c>
      <c r="Q10" s="136">
        <f>IFERROR(INDEX(Database[], MATCH(Encounter08[[#This Row],[Character/Creature]], Database[Character/Creature], 0), MATCH(Encounter08[#Headers], Database[#Headers], 0)), "")</f>
        <v>1</v>
      </c>
      <c r="R10" s="145">
        <f>INDEX(Encounter_Diff[], MATCH(Encounter08[[#This Row],[Lvl]], Encounter_Diff[Player Level], 0), MATCH(Encounter08[#Headers], Encounter_Diff[#Headers], 0))</f>
        <v>25</v>
      </c>
      <c r="S10" s="145">
        <f>INDEX(Encounter_Diff[], MATCH(Encounter08[[#This Row],[Lvl]], Encounter_Diff[Player Level], 0), MATCH(Encounter08[#Headers], Encounter_Diff[#Headers], 0))</f>
        <v>50</v>
      </c>
      <c r="T10" s="145">
        <f>INDEX(Encounter_Diff[], MATCH(Encounter08[[#This Row],[Lvl]], Encounter_Diff[Player Level], 0), MATCH(Encounter08[#Headers], Encounter_Diff[#Headers], 0))</f>
        <v>75</v>
      </c>
      <c r="U10" s="145">
        <f>INDEX(Encounter_Diff[], MATCH(Encounter08[[#This Row],[Lvl]], Encounter_Diff[Player Level], 0), MATCH(Encounter08[#Headers], Encounter_Diff[#Headers], 0))</f>
        <v>100</v>
      </c>
      <c r="V10" s="149">
        <f>IFERROR(INDEX(Database[], MATCH(Encounter08[[#This Row],[Character/Creature]], Database[Character/Creature], 0), MATCH(Encounter08[#Headers], Database[#Headers], 0)), "")</f>
        <v>0.25</v>
      </c>
      <c r="W10" s="157">
        <f>IF(ISBLANK(Encounter08[Party]), INDEX(ChallengeRating[XP], MATCH(Encounter08[CR], ChallengeRating[Challenge Rating], 0)), 0)</f>
        <v>50</v>
      </c>
      <c r="Y10" s="200" t="s">
        <v>32</v>
      </c>
      <c r="Z10" s="245">
        <f>encTotalXP/encPartyCount</f>
        <v>125</v>
      </c>
      <c r="AA10" s="246"/>
    </row>
    <row r="11" spans="1:29" ht="21" thickBot="1" x14ac:dyDescent="0.35">
      <c r="B11" s="158">
        <f ca="1">IFERROR(INDEX(Database[], MATCH(Encounter08[[#This Row],[Character/Creature]], Database[Character/Creature], 0), MATCH(Encounter08[#Headers], Database[#Headers], 0)) + RANDBETWEEN(1,20), "")</f>
        <v>15</v>
      </c>
      <c r="C11" s="145"/>
      <c r="D11" s="172" t="s">
        <v>15</v>
      </c>
      <c r="E11" s="145">
        <f>IFERROR(INDEX(Database[], MATCH(Encounter08[[#This Row],[Character/Creature]], Database[Character/Creature], 0), MATCH(Encounter08[#Headers], Database[#Headers], 0)), "")</f>
        <v>0</v>
      </c>
      <c r="F11" s="158">
        <f ca="1">IFERROR(INDEX(Database[], MATCH(Encounter08[[#This Row],[Character/Creature]], Database[Character/Creature], 0), MATCH(Encounter08[#Headers], Database[#Headers], 0)) + RANDBETWEEN(1,20), "")</f>
        <v>22</v>
      </c>
      <c r="G11" s="173">
        <f>IFERROR(INDEX(Database[], MATCH(Encounter08[[#This Row],[Character/Creature]], Database[Character/Creature], 0), MATCH(Encounter08[#Headers], Database[#Headers], 0)), "")</f>
        <v>9</v>
      </c>
      <c r="H11" s="173">
        <f>IFERROR(INDEX(Database[], MATCH(Encounter08[[#This Row],[Character/Creature]], Database[Character/Creature], 0), MATCH(Encounter08[#Headers], Database[#Headers], 0)), "")</f>
        <v>15</v>
      </c>
      <c r="I11" s="145">
        <f>IFERROR(INDEX(Database[], MATCH(Encounter08[[#This Row],[Character/Creature]], Database[Character/Creature], 0), MATCH(Encounter08[#Headers], Database[#Headers], 0)), "")</f>
        <v>0</v>
      </c>
      <c r="J11" s="190"/>
      <c r="K11" s="119" t="str">
        <f>IFERROR(INDEX(Database[], MATCH(Encounter08[[#This Row],[Character/Creature]], Database[Character/Creature], 0), MATCH(Encounter08[#Headers], Database[#Headers], 0)), "")</f>
        <v xml:space="preserve"> </v>
      </c>
      <c r="L11" s="145">
        <f>IFERROR(INDEX(Database[], MATCH(Encounter08[[#This Row],[Character/Creature]], Database[Character/Creature], 0), MATCH(Encounter08[#Headers], Database[#Headers], 0)), "")</f>
        <v>0</v>
      </c>
      <c r="M11" s="145">
        <f>IFERROR(INDEX(Database[], MATCH(Encounter08[[#This Row],[Character/Creature]], Database[Character/Creature], 0), MATCH(Encounter08[#Headers], Database[#Headers], 0)), "")</f>
        <v>7</v>
      </c>
      <c r="N11" s="189"/>
      <c r="O11" s="145">
        <f>IFERROR(INDEX(Database[], MATCH(Encounter08[[#This Row],[Character/Creature]], Database[Character/Creature], 0), MATCH(Encounter08[#Headers], Database[#Headers], 0)), "")</f>
        <v>0</v>
      </c>
      <c r="P11" s="146">
        <f>IFERROR(Encounter08[[#This Row],[Base HP]]+Encounter08[Temp HP]-Encounter08[[#This Row],[Dmg Taken]], "")</f>
        <v>7</v>
      </c>
      <c r="Q11" s="136">
        <f>IFERROR(INDEX(Database[], MATCH(Encounter08[[#This Row],[Character/Creature]], Database[Character/Creature], 0), MATCH(Encounter08[#Headers], Database[#Headers], 0)), "")</f>
        <v>1</v>
      </c>
      <c r="R11" s="145">
        <f>INDEX(Encounter_Diff[], MATCH(Encounter08[[#This Row],[Lvl]], Encounter_Diff[Player Level], 0), MATCH(Encounter08[#Headers], Encounter_Diff[#Headers], 0))</f>
        <v>25</v>
      </c>
      <c r="S11" s="145">
        <f>INDEX(Encounter_Diff[], MATCH(Encounter08[[#This Row],[Lvl]], Encounter_Diff[Player Level], 0), MATCH(Encounter08[#Headers], Encounter_Diff[#Headers], 0))</f>
        <v>50</v>
      </c>
      <c r="T11" s="145">
        <f>INDEX(Encounter_Diff[], MATCH(Encounter08[[#This Row],[Lvl]], Encounter_Diff[Player Level], 0), MATCH(Encounter08[#Headers], Encounter_Diff[#Headers], 0))</f>
        <v>75</v>
      </c>
      <c r="U11" s="145">
        <f>INDEX(Encounter_Diff[], MATCH(Encounter08[[#This Row],[Lvl]], Encounter_Diff[Player Level], 0), MATCH(Encounter08[#Headers], Encounter_Diff[#Headers], 0))</f>
        <v>100</v>
      </c>
      <c r="V11" s="149">
        <f>IFERROR(INDEX(Database[], MATCH(Encounter08[[#This Row],[Character/Creature]], Database[Character/Creature], 0), MATCH(Encounter08[#Headers], Database[#Headers], 0)), "")</f>
        <v>0.25</v>
      </c>
      <c r="W11" s="157">
        <f>IF(ISBLANK(Encounter08[Party]), INDEX(ChallengeRating[XP], MATCH(Encounter08[CR], ChallengeRating[Challenge Rating], 0)), 0)</f>
        <v>50</v>
      </c>
    </row>
    <row r="12" spans="1:29" ht="21" thickBot="1" x14ac:dyDescent="0.35">
      <c r="B12" s="158">
        <f ca="1">IFERROR(INDEX(Database[], MATCH(Encounter08[[#This Row],[Character/Creature]], Database[Character/Creature], 0), MATCH(Encounter08[#Headers], Database[#Headers], 0)) + RANDBETWEEN(1,20), "")</f>
        <v>16</v>
      </c>
      <c r="C12" s="145"/>
      <c r="D12" s="172" t="s">
        <v>15</v>
      </c>
      <c r="E12" s="145">
        <f>IFERROR(INDEX(Database[], MATCH(Encounter08[[#This Row],[Character/Creature]], Database[Character/Creature], 0), MATCH(Encounter08[#Headers], Database[#Headers], 0)), "")</f>
        <v>0</v>
      </c>
      <c r="F12" s="158">
        <f ca="1">IFERROR(INDEX(Database[], MATCH(Encounter08[[#This Row],[Character/Creature]], Database[Character/Creature], 0), MATCH(Encounter08[#Headers], Database[#Headers], 0)) + RANDBETWEEN(1,20), "")</f>
        <v>15</v>
      </c>
      <c r="G12" s="173">
        <f>IFERROR(INDEX(Database[], MATCH(Encounter08[[#This Row],[Character/Creature]], Database[Character/Creature], 0), MATCH(Encounter08[#Headers], Database[#Headers], 0)), "")</f>
        <v>9</v>
      </c>
      <c r="H12" s="173">
        <f>IFERROR(INDEX(Database[], MATCH(Encounter08[[#This Row],[Character/Creature]], Database[Character/Creature], 0), MATCH(Encounter08[#Headers], Database[#Headers], 0)), "")</f>
        <v>15</v>
      </c>
      <c r="I12" s="145">
        <f>IFERROR(INDEX(Database[], MATCH(Encounter08[[#This Row],[Character/Creature]], Database[Character/Creature], 0), MATCH(Encounter08[#Headers], Database[#Headers], 0)), "")</f>
        <v>0</v>
      </c>
      <c r="J12" s="190"/>
      <c r="K12" s="119" t="str">
        <f>IFERROR(INDEX(Database[], MATCH(Encounter08[[#This Row],[Character/Creature]], Database[Character/Creature], 0), MATCH(Encounter08[#Headers], Database[#Headers], 0)), "")</f>
        <v xml:space="preserve"> </v>
      </c>
      <c r="L12" s="145">
        <f>IFERROR(INDEX(Database[], MATCH(Encounter08[[#This Row],[Character/Creature]], Database[Character/Creature], 0), MATCH(Encounter08[#Headers], Database[#Headers], 0)), "")</f>
        <v>0</v>
      </c>
      <c r="M12" s="145">
        <f>IFERROR(INDEX(Database[], MATCH(Encounter08[[#This Row],[Character/Creature]], Database[Character/Creature], 0), MATCH(Encounter08[#Headers], Database[#Headers], 0)), "")</f>
        <v>7</v>
      </c>
      <c r="N12" s="189"/>
      <c r="O12" s="145">
        <f>IFERROR(INDEX(Database[], MATCH(Encounter08[[#This Row],[Character/Creature]], Database[Character/Creature], 0), MATCH(Encounter08[#Headers], Database[#Headers], 0)), "")</f>
        <v>0</v>
      </c>
      <c r="P12" s="146">
        <f>IFERROR(Encounter08[[#This Row],[Base HP]]+Encounter08[Temp HP]-Encounter08[[#This Row],[Dmg Taken]], "")</f>
        <v>7</v>
      </c>
      <c r="Q12" s="136">
        <f>IFERROR(INDEX(Database[], MATCH(Encounter08[[#This Row],[Character/Creature]], Database[Character/Creature], 0), MATCH(Encounter08[#Headers], Database[#Headers], 0)), "")</f>
        <v>1</v>
      </c>
      <c r="R12" s="145">
        <f>INDEX(Encounter_Diff[], MATCH(Encounter08[[#This Row],[Lvl]], Encounter_Diff[Player Level], 0), MATCH(Encounter08[#Headers], Encounter_Diff[#Headers], 0))</f>
        <v>25</v>
      </c>
      <c r="S12" s="145">
        <f>INDEX(Encounter_Diff[], MATCH(Encounter08[[#This Row],[Lvl]], Encounter_Diff[Player Level], 0), MATCH(Encounter08[#Headers], Encounter_Diff[#Headers], 0))</f>
        <v>50</v>
      </c>
      <c r="T12" s="145">
        <f>INDEX(Encounter_Diff[], MATCH(Encounter08[[#This Row],[Lvl]], Encounter_Diff[Player Level], 0), MATCH(Encounter08[#Headers], Encounter_Diff[#Headers], 0))</f>
        <v>75</v>
      </c>
      <c r="U12" s="145">
        <f>INDEX(Encounter_Diff[], MATCH(Encounter08[[#This Row],[Lvl]], Encounter_Diff[Player Level], 0), MATCH(Encounter08[#Headers], Encounter_Diff[#Headers], 0))</f>
        <v>100</v>
      </c>
      <c r="V12" s="149">
        <f>IFERROR(INDEX(Database[], MATCH(Encounter08[[#This Row],[Character/Creature]], Database[Character/Creature], 0), MATCH(Encounter08[#Headers], Database[#Headers], 0)), "")</f>
        <v>0.25</v>
      </c>
      <c r="W12" s="157">
        <f>IF(ISBLANK(Encounter08[Party]), INDEX(ChallengeRating[XP], MATCH(Encounter08[CR], ChallengeRating[Challenge Rating], 0)), 0)</f>
        <v>50</v>
      </c>
      <c r="Y12" s="238" t="s">
        <v>240</v>
      </c>
      <c r="Z12" s="239"/>
      <c r="AA12" s="240"/>
    </row>
    <row r="13" spans="1:29" ht="30" x14ac:dyDescent="0.3">
      <c r="B13" s="158">
        <f ca="1">IFERROR(INDEX(Database[], MATCH(Encounter08[[#This Row],[Character/Creature]], Database[Character/Creature], 0), MATCH(Encounter08[#Headers], Database[#Headers], 0)) + RANDBETWEEN(1,20), "")</f>
        <v>22</v>
      </c>
      <c r="C13" s="145"/>
      <c r="D13" s="172" t="s">
        <v>15</v>
      </c>
      <c r="E13" s="145">
        <f>IFERROR(INDEX(Database[], MATCH(Encounter08[[#This Row],[Character/Creature]], Database[Character/Creature], 0), MATCH(Encounter08[#Headers], Database[#Headers], 0)), "")</f>
        <v>0</v>
      </c>
      <c r="F13" s="158">
        <f ca="1">IFERROR(INDEX(Database[], MATCH(Encounter08[[#This Row],[Character/Creature]], Database[Character/Creature], 0), MATCH(Encounter08[#Headers], Database[#Headers], 0)) + RANDBETWEEN(1,20), "")</f>
        <v>7</v>
      </c>
      <c r="G13" s="173">
        <f>IFERROR(INDEX(Database[], MATCH(Encounter08[[#This Row],[Character/Creature]], Database[Character/Creature], 0), MATCH(Encounter08[#Headers], Database[#Headers], 0)), "")</f>
        <v>9</v>
      </c>
      <c r="H13" s="173">
        <f>IFERROR(INDEX(Database[], MATCH(Encounter08[[#This Row],[Character/Creature]], Database[Character/Creature], 0), MATCH(Encounter08[#Headers], Database[#Headers], 0)), "")</f>
        <v>15</v>
      </c>
      <c r="I13" s="145">
        <f>IFERROR(INDEX(Database[], MATCH(Encounter08[[#This Row],[Character/Creature]], Database[Character/Creature], 0), MATCH(Encounter08[#Headers], Database[#Headers], 0)), "")</f>
        <v>0</v>
      </c>
      <c r="J13" s="190"/>
      <c r="K13" s="119" t="str">
        <f>IFERROR(INDEX(Database[], MATCH(Encounter08[[#This Row],[Character/Creature]], Database[Character/Creature], 0), MATCH(Encounter08[#Headers], Database[#Headers], 0)), "")</f>
        <v xml:space="preserve"> </v>
      </c>
      <c r="L13" s="145">
        <f>IFERROR(INDEX(Database[], MATCH(Encounter08[[#This Row],[Character/Creature]], Database[Character/Creature], 0), MATCH(Encounter08[#Headers], Database[#Headers], 0)), "")</f>
        <v>0</v>
      </c>
      <c r="M13" s="145">
        <f>IFERROR(INDEX(Database[], MATCH(Encounter08[[#This Row],[Character/Creature]], Database[Character/Creature], 0), MATCH(Encounter08[#Headers], Database[#Headers], 0)), "")</f>
        <v>7</v>
      </c>
      <c r="N13" s="189"/>
      <c r="O13" s="145">
        <f>IFERROR(INDEX(Database[], MATCH(Encounter08[[#This Row],[Character/Creature]], Database[Character/Creature], 0), MATCH(Encounter08[#Headers], Database[#Headers], 0)), "")</f>
        <v>0</v>
      </c>
      <c r="P13" s="146">
        <f>IFERROR(Encounter08[[#This Row],[Base HP]]+Encounter08[Temp HP]-Encounter08[[#This Row],[Dmg Taken]], "")</f>
        <v>7</v>
      </c>
      <c r="Q13" s="136">
        <f>IFERROR(INDEX(Database[], MATCH(Encounter08[[#This Row],[Character/Creature]], Database[Character/Creature], 0), MATCH(Encounter08[#Headers], Database[#Headers], 0)), "")</f>
        <v>1</v>
      </c>
      <c r="R13" s="145">
        <f>INDEX(Encounter_Diff[], MATCH(Encounter08[[#This Row],[Lvl]], Encounter_Diff[Player Level], 0), MATCH(Encounter08[#Headers], Encounter_Diff[#Headers], 0))</f>
        <v>25</v>
      </c>
      <c r="S13" s="145">
        <f>INDEX(Encounter_Diff[], MATCH(Encounter08[[#This Row],[Lvl]], Encounter_Diff[Player Level], 0), MATCH(Encounter08[#Headers], Encounter_Diff[#Headers], 0))</f>
        <v>50</v>
      </c>
      <c r="T13" s="145">
        <f>INDEX(Encounter_Diff[], MATCH(Encounter08[[#This Row],[Lvl]], Encounter_Diff[Player Level], 0), MATCH(Encounter08[#Headers], Encounter_Diff[#Headers], 0))</f>
        <v>75</v>
      </c>
      <c r="U13" s="145">
        <f>INDEX(Encounter_Diff[], MATCH(Encounter08[[#This Row],[Lvl]], Encounter_Diff[Player Level], 0), MATCH(Encounter08[#Headers], Encounter_Diff[#Headers], 0))</f>
        <v>100</v>
      </c>
      <c r="V13" s="149">
        <f>IFERROR(INDEX(Database[], MATCH(Encounter08[[#This Row],[Character/Creature]], Database[Character/Creature], 0), MATCH(Encounter08[#Headers], Database[#Headers], 0)), "")</f>
        <v>0.25</v>
      </c>
      <c r="W13" s="157">
        <f>IF(ISBLANK(Encounter08[Party]), INDEX(ChallengeRating[XP], MATCH(Encounter08[CR], ChallengeRating[Challenge Rating], 0)), 0)</f>
        <v>50</v>
      </c>
      <c r="Y13" s="235" t="s">
        <v>235</v>
      </c>
      <c r="Z13" s="101" t="s">
        <v>242</v>
      </c>
      <c r="AA13" s="153">
        <f t="array" ref="AA13">AVERAGE(IF(ISBLANK(Encounter08[Party]), Encounter08[Pass Perc]))</f>
        <v>9</v>
      </c>
    </row>
    <row r="14" spans="1:29" ht="30" x14ac:dyDescent="0.3">
      <c r="B14" s="158">
        <f ca="1">IFERROR(INDEX(Database[], MATCH(Encounter08[[#This Row],[Character/Creature]], Database[Character/Creature], 0), MATCH(Encounter08[#Headers], Database[#Headers], 0)) + RANDBETWEEN(1,20), "")</f>
        <v>4</v>
      </c>
      <c r="C14" s="145"/>
      <c r="D14" s="172" t="s">
        <v>15</v>
      </c>
      <c r="E14" s="145">
        <f>IFERROR(INDEX(Database[], MATCH(Encounter08[[#This Row],[Character/Creature]], Database[Character/Creature], 0), MATCH(Encounter08[#Headers], Database[#Headers], 0)), "")</f>
        <v>0</v>
      </c>
      <c r="F14" s="158">
        <f ca="1">IFERROR(INDEX(Database[], MATCH(Encounter08[[#This Row],[Character/Creature]], Database[Character/Creature], 0), MATCH(Encounter08[#Headers], Database[#Headers], 0)) + RANDBETWEEN(1,20), "")</f>
        <v>18</v>
      </c>
      <c r="G14" s="173">
        <f>IFERROR(INDEX(Database[], MATCH(Encounter08[[#This Row],[Character/Creature]], Database[Character/Creature], 0), MATCH(Encounter08[#Headers], Database[#Headers], 0)), "")</f>
        <v>9</v>
      </c>
      <c r="H14" s="173">
        <f>IFERROR(INDEX(Database[], MATCH(Encounter08[[#This Row],[Character/Creature]], Database[Character/Creature], 0), MATCH(Encounter08[#Headers], Database[#Headers], 0)), "")</f>
        <v>15</v>
      </c>
      <c r="I14" s="145">
        <f>IFERROR(INDEX(Database[], MATCH(Encounter08[[#This Row],[Character/Creature]], Database[Character/Creature], 0), MATCH(Encounter08[#Headers], Database[#Headers], 0)), "")</f>
        <v>0</v>
      </c>
      <c r="J14" s="190"/>
      <c r="K14" s="119" t="str">
        <f>IFERROR(INDEX(Database[], MATCH(Encounter08[[#This Row],[Character/Creature]], Database[Character/Creature], 0), MATCH(Encounter08[#Headers], Database[#Headers], 0)), "")</f>
        <v xml:space="preserve"> </v>
      </c>
      <c r="L14" s="145">
        <f>IFERROR(INDEX(Database[], MATCH(Encounter08[[#This Row],[Character/Creature]], Database[Character/Creature], 0), MATCH(Encounter08[#Headers], Database[#Headers], 0)), "")</f>
        <v>0</v>
      </c>
      <c r="M14" s="145">
        <f>IFERROR(INDEX(Database[], MATCH(Encounter08[[#This Row],[Character/Creature]], Database[Character/Creature], 0), MATCH(Encounter08[#Headers], Database[#Headers], 0)), "")</f>
        <v>7</v>
      </c>
      <c r="N14" s="189"/>
      <c r="O14" s="145">
        <f>IFERROR(INDEX(Database[], MATCH(Encounter08[[#This Row],[Character/Creature]], Database[Character/Creature], 0), MATCH(Encounter08[#Headers], Database[#Headers], 0)), "")</f>
        <v>0</v>
      </c>
      <c r="P14" s="146">
        <f>IFERROR(Encounter08[[#This Row],[Base HP]]+Encounter08[Temp HP]-Encounter08[[#This Row],[Dmg Taken]], "")</f>
        <v>7</v>
      </c>
      <c r="Q14" s="136">
        <f>IFERROR(INDEX(Database[], MATCH(Encounter08[[#This Row],[Character/Creature]], Database[Character/Creature], 0), MATCH(Encounter08[#Headers], Database[#Headers], 0)), "")</f>
        <v>1</v>
      </c>
      <c r="R14" s="145">
        <f>INDEX(Encounter_Diff[], MATCH(Encounter08[[#This Row],[Lvl]], Encounter_Diff[Player Level], 0), MATCH(Encounter08[#Headers], Encounter_Diff[#Headers], 0))</f>
        <v>25</v>
      </c>
      <c r="S14" s="145">
        <f>INDEX(Encounter_Diff[], MATCH(Encounter08[[#This Row],[Lvl]], Encounter_Diff[Player Level], 0), MATCH(Encounter08[#Headers], Encounter_Diff[#Headers], 0))</f>
        <v>50</v>
      </c>
      <c r="T14" s="145">
        <f>INDEX(Encounter_Diff[], MATCH(Encounter08[[#This Row],[Lvl]], Encounter_Diff[Player Level], 0), MATCH(Encounter08[#Headers], Encounter_Diff[#Headers], 0))</f>
        <v>75</v>
      </c>
      <c r="U14" s="145">
        <f>INDEX(Encounter_Diff[], MATCH(Encounter08[[#This Row],[Lvl]], Encounter_Diff[Player Level], 0), MATCH(Encounter08[#Headers], Encounter_Diff[#Headers], 0))</f>
        <v>100</v>
      </c>
      <c r="V14" s="149">
        <f>IFERROR(INDEX(Database[], MATCH(Encounter08[[#This Row],[Character/Creature]], Database[Character/Creature], 0), MATCH(Encounter08[#Headers], Database[#Headers], 0)), "")</f>
        <v>0.25</v>
      </c>
      <c r="W14" s="157">
        <f>IF(ISBLANK(Encounter08[Party]), INDEX(ChallengeRating[XP], MATCH(Encounter08[CR], ChallengeRating[Challenge Rating], 0)), 0)</f>
        <v>50</v>
      </c>
      <c r="Y14" s="236"/>
      <c r="Z14" s="114" t="s">
        <v>243</v>
      </c>
      <c r="AA14" s="153"/>
    </row>
    <row r="15" spans="1:29" ht="21" thickBot="1" x14ac:dyDescent="0.35">
      <c r="B15" s="158">
        <f ca="1">IFERROR(INDEX(Database[], MATCH(Encounter08[[#This Row],[Character/Creature]], Database[Character/Creature], 0), MATCH(Encounter08[#Headers], Database[#Headers], 0)) + RANDBETWEEN(1,20), "")</f>
        <v>4</v>
      </c>
      <c r="C15" s="145"/>
      <c r="D15" s="172" t="s">
        <v>15</v>
      </c>
      <c r="E15" s="145">
        <f>IFERROR(INDEX(Database[], MATCH(Encounter08[[#This Row],[Character/Creature]], Database[Character/Creature], 0), MATCH(Encounter08[#Headers], Database[#Headers], 0)), "")</f>
        <v>0</v>
      </c>
      <c r="F15" s="158">
        <f ca="1">IFERROR(INDEX(Database[], MATCH(Encounter08[[#This Row],[Character/Creature]], Database[Character/Creature], 0), MATCH(Encounter08[#Headers], Database[#Headers], 0)) + RANDBETWEEN(1,20), "")</f>
        <v>20</v>
      </c>
      <c r="G15" s="173">
        <f>IFERROR(INDEX(Database[], MATCH(Encounter08[[#This Row],[Character/Creature]], Database[Character/Creature], 0), MATCH(Encounter08[#Headers], Database[#Headers], 0)), "")</f>
        <v>9</v>
      </c>
      <c r="H15" s="173">
        <f>IFERROR(INDEX(Database[], MATCH(Encounter08[[#This Row],[Character/Creature]], Database[Character/Creature], 0), MATCH(Encounter08[#Headers], Database[#Headers], 0)), "")</f>
        <v>15</v>
      </c>
      <c r="I15" s="145">
        <f>IFERROR(INDEX(Database[], MATCH(Encounter08[[#This Row],[Character/Creature]], Database[Character/Creature], 0), MATCH(Encounter08[#Headers], Database[#Headers], 0)), "")</f>
        <v>0</v>
      </c>
      <c r="J15" s="190"/>
      <c r="K15" s="119" t="str">
        <f>IFERROR(INDEX(Database[], MATCH(Encounter08[[#This Row],[Character/Creature]], Database[Character/Creature], 0), MATCH(Encounter08[#Headers], Database[#Headers], 0)), "")</f>
        <v xml:space="preserve"> </v>
      </c>
      <c r="L15" s="145">
        <f>IFERROR(INDEX(Database[], MATCH(Encounter08[[#This Row],[Character/Creature]], Database[Character/Creature], 0), MATCH(Encounter08[#Headers], Database[#Headers], 0)), "")</f>
        <v>0</v>
      </c>
      <c r="M15" s="145">
        <f>IFERROR(INDEX(Database[], MATCH(Encounter08[[#This Row],[Character/Creature]], Database[Character/Creature], 0), MATCH(Encounter08[#Headers], Database[#Headers], 0)), "")</f>
        <v>7</v>
      </c>
      <c r="N15" s="189"/>
      <c r="O15" s="145">
        <f>IFERROR(INDEX(Database[], MATCH(Encounter08[[#This Row],[Character/Creature]], Database[Character/Creature], 0), MATCH(Encounter08[#Headers], Database[#Headers], 0)), "")</f>
        <v>0</v>
      </c>
      <c r="P15" s="146">
        <f>IFERROR(Encounter08[[#This Row],[Base HP]]+Encounter08[Temp HP]-Encounter08[[#This Row],[Dmg Taken]], "")</f>
        <v>7</v>
      </c>
      <c r="Q15" s="136">
        <f>IFERROR(INDEX(Database[], MATCH(Encounter08[[#This Row],[Character/Creature]], Database[Character/Creature], 0), MATCH(Encounter08[#Headers], Database[#Headers], 0)), "")</f>
        <v>1</v>
      </c>
      <c r="R15" s="145">
        <f>INDEX(Encounter_Diff[], MATCH(Encounter08[[#This Row],[Lvl]], Encounter_Diff[Player Level], 0), MATCH(Encounter08[#Headers], Encounter_Diff[#Headers], 0))</f>
        <v>25</v>
      </c>
      <c r="S15" s="145">
        <f>INDEX(Encounter_Diff[], MATCH(Encounter08[[#This Row],[Lvl]], Encounter_Diff[Player Level], 0), MATCH(Encounter08[#Headers], Encounter_Diff[#Headers], 0))</f>
        <v>50</v>
      </c>
      <c r="T15" s="145">
        <f>INDEX(Encounter_Diff[], MATCH(Encounter08[[#This Row],[Lvl]], Encounter_Diff[Player Level], 0), MATCH(Encounter08[#Headers], Encounter_Diff[#Headers], 0))</f>
        <v>75</v>
      </c>
      <c r="U15" s="145">
        <f>INDEX(Encounter_Diff[], MATCH(Encounter08[[#This Row],[Lvl]], Encounter_Diff[Player Level], 0), MATCH(Encounter08[#Headers], Encounter_Diff[#Headers], 0))</f>
        <v>100</v>
      </c>
      <c r="V15" s="149">
        <f>IFERROR(INDEX(Database[], MATCH(Encounter08[[#This Row],[Character/Creature]], Database[Character/Creature], 0), MATCH(Encounter08[#Headers], Database[#Headers], 0)), "")</f>
        <v>0.25</v>
      </c>
      <c r="W15" s="157">
        <f>IF(ISBLANK(Encounter08[Party]), INDEX(ChallengeRating[XP], MATCH(Encounter08[CR], ChallengeRating[Challenge Rating], 0)), 0)</f>
        <v>50</v>
      </c>
      <c r="Y15" s="237"/>
      <c r="Z15" s="122" t="s">
        <v>235</v>
      </c>
      <c r="AA15" s="154">
        <f t="array" aca="1" ref="AA15" ca="1">AVERAGE(IF(NOT(ISBLANK(Encounter08[Party])), Encounter08[Stealth]))</f>
        <v>12.25</v>
      </c>
    </row>
    <row r="16" spans="1:29" x14ac:dyDescent="0.3">
      <c r="Y16" s="235" t="s">
        <v>239</v>
      </c>
      <c r="Z16" s="120" t="s">
        <v>239</v>
      </c>
      <c r="AA16" s="155">
        <f t="array" aca="1" ref="AA16" ca="1">AVERAGE(IF(ISBLANK(Encounter08[Party]), Encounter08[Stealth]))</f>
        <v>16.285714285714285</v>
      </c>
    </row>
    <row r="17" spans="25:27" ht="30" x14ac:dyDescent="0.3">
      <c r="Y17" s="236"/>
      <c r="Z17" s="123" t="s">
        <v>237</v>
      </c>
      <c r="AA17" s="151">
        <f t="array" ref="AA17">AVERAGE(IF(NOT(ISBLANK(Encounter08[Party])), Encounter08[Pass Perc]))</f>
        <v>0</v>
      </c>
    </row>
    <row r="18" spans="25:27" ht="30.75" thickBot="1" x14ac:dyDescent="0.35">
      <c r="Y18" s="237"/>
      <c r="Z18" s="124" t="s">
        <v>238</v>
      </c>
      <c r="AA18" s="152"/>
    </row>
    <row r="19" spans="25:27" x14ac:dyDescent="0.3">
      <c r="Y19" s="235" t="s">
        <v>241</v>
      </c>
      <c r="Z19" s="121" t="s">
        <v>111</v>
      </c>
      <c r="AA19" s="155"/>
    </row>
    <row r="20" spans="25:27" ht="21" thickBot="1" x14ac:dyDescent="0.35">
      <c r="Y20" s="237"/>
      <c r="Z20" s="125" t="s">
        <v>236</v>
      </c>
      <c r="AA20" s="156"/>
    </row>
  </sheetData>
  <mergeCells count="17">
    <mergeCell ref="Z10:AA10"/>
    <mergeCell ref="Y12:AA12"/>
    <mergeCell ref="Y13:Y15"/>
    <mergeCell ref="Y16:Y18"/>
    <mergeCell ref="Y19:Y20"/>
    <mergeCell ref="Y3:AA3"/>
    <mergeCell ref="AB3:AC3"/>
    <mergeCell ref="Z4:AA4"/>
    <mergeCell ref="Y5:Y6"/>
    <mergeCell ref="Y7:Y8"/>
    <mergeCell ref="Z9:AA9"/>
    <mergeCell ref="B2:P2"/>
    <mergeCell ref="Q2:V2"/>
    <mergeCell ref="B3:E3"/>
    <mergeCell ref="F3:K3"/>
    <mergeCell ref="L3:P3"/>
    <mergeCell ref="Q3:W3"/>
  </mergeCells>
  <conditionalFormatting sqref="Q2 W2">
    <cfRule type="expression" dxfId="160" priority="1">
      <formula>$W$2&gt;0</formula>
    </cfRule>
  </conditionalFormatting>
  <conditionalFormatting sqref="K5:M15 O5:W15 B5:I15">
    <cfRule type="expression" dxfId="159" priority="2">
      <formula>ROUND($P5,0)&lt;1</formula>
    </cfRule>
    <cfRule type="expression" dxfId="158" priority="3">
      <formula>AND( NOT( OR( ISBLANK(#REF!), #REF!="")), NOT( OR( ISBLANK($D5), $D5="", $D5 = 0)))</formula>
    </cfRule>
    <cfRule type="expression" dxfId="157" priority="4">
      <formula>$E5="NPC"</formula>
    </cfRule>
    <cfRule type="expression" dxfId="156" priority="5">
      <formula>AND( NOT( OR( ISBLANK($C5), $C5="")), NOT( OR( ISBLANK($D5), $D5="", $D5 = 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encStart">
              <controlPr defaultSize="0" print="0" autoFill="0" autoPict="0" macro="[0]!encounterStart">
                <anchor moveWithCells="1" sizeWithCells="1">
                  <from>
                    <xdr:col>1</xdr:col>
                    <xdr:colOff>95250</xdr:colOff>
                    <xdr:row>1</xdr:row>
                    <xdr:rowOff>76200</xdr:rowOff>
                  </from>
                  <to>
                    <xdr:col>2</xdr:col>
                    <xdr:colOff>228600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encClear">
              <controlPr defaultSize="0" print="0" autoFill="0" autoPict="0" macro="[0]!encounterClear">
                <anchor moveWithCells="1" sizeWithCells="1">
                  <from>
                    <xdr:col>3</xdr:col>
                    <xdr:colOff>466725</xdr:colOff>
                    <xdr:row>1</xdr:row>
                    <xdr:rowOff>76200</xdr:rowOff>
                  </from>
                  <to>
                    <xdr:col>3</xdr:col>
                    <xdr:colOff>1104900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encSave">
              <controlPr defaultSize="0" print="0" autoFill="0" autoPict="0" macro="[0]!dataSaveAll">
                <anchor moveWithCells="1" sizeWithCells="1">
                  <from>
                    <xdr:col>13</xdr:col>
                    <xdr:colOff>295275</xdr:colOff>
                    <xdr:row>1</xdr:row>
                    <xdr:rowOff>76200</xdr:rowOff>
                  </from>
                  <to>
                    <xdr:col>14</xdr:col>
                    <xdr:colOff>447675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encNew">
              <controlPr defaultSize="0" print="0" autoFill="0" autoPict="0" macro="[0]!encounterNew">
                <anchor moveWithCells="1" sizeWithCells="1">
                  <from>
                    <xdr:col>12</xdr:col>
                    <xdr:colOff>209550</xdr:colOff>
                    <xdr:row>1</xdr:row>
                    <xdr:rowOff>76200</xdr:rowOff>
                  </from>
                  <to>
                    <xdr:col>13</xdr:col>
                    <xdr:colOff>247650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encEnd">
              <controlPr defaultSize="0" print="0" autoFill="0" autoPict="0" macro="[0]!encounterEnd">
                <anchor moveWithCells="1" sizeWithCells="1">
                  <from>
                    <xdr:col>14</xdr:col>
                    <xdr:colOff>495300</xdr:colOff>
                    <xdr:row>1</xdr:row>
                    <xdr:rowOff>76200</xdr:rowOff>
                  </from>
                  <to>
                    <xdr:col>15</xdr:col>
                    <xdr:colOff>533400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encReload">
              <controlPr defaultSize="0" print="0" autoFill="0" autoPict="0" macro="[0]!encounterReloadAll">
                <anchor moveWithCells="1" sizeWithCells="1">
                  <from>
                    <xdr:col>2</xdr:col>
                    <xdr:colOff>266700</xdr:colOff>
                    <xdr:row>1</xdr:row>
                    <xdr:rowOff>76200</xdr:rowOff>
                  </from>
                  <to>
                    <xdr:col>3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274DA6-C1DD-4A31-978A-C76AEEC8A61F}">
          <x14:formula1>
            <xm:f>Database!$E$4:$E$171</xm:f>
          </x14:formula1>
          <xm:sqref>D5:D15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58D17-287E-40AA-9711-2C561067BDDC}">
  <sheetPr codeName="Sheet7"/>
  <dimension ref="A1:AC20"/>
  <sheetViews>
    <sheetView zoomScaleNormal="100" workbookViewId="0">
      <selection activeCell="H16" sqref="H16"/>
    </sheetView>
  </sheetViews>
  <sheetFormatPr defaultColWidth="11" defaultRowHeight="20.25" x14ac:dyDescent="0.3"/>
  <cols>
    <col min="1" max="1" width="4.77734375" style="2" customWidth="1"/>
    <col min="2" max="2" width="5.88671875" style="10" customWidth="1"/>
    <col min="3" max="3" width="5.6640625" style="10" customWidth="1"/>
    <col min="4" max="4" width="20.88671875" style="10" customWidth="1"/>
    <col min="5" max="5" width="14.77734375" style="10" customWidth="1"/>
    <col min="6" max="9" width="7" style="10" customWidth="1"/>
    <col min="10" max="10" width="7.109375" style="10" customWidth="1"/>
    <col min="11" max="11" width="23.5546875" style="10" customWidth="1"/>
    <col min="12" max="12" width="7.21875" style="22" customWidth="1"/>
    <col min="13" max="13" width="7.21875" style="10" customWidth="1"/>
    <col min="14" max="14" width="6.109375" style="10" customWidth="1"/>
    <col min="15" max="15" width="7.21875" style="22" customWidth="1"/>
    <col min="16" max="16" width="7.21875" style="10" customWidth="1"/>
    <col min="17" max="17" width="4.33203125" style="10" customWidth="1"/>
    <col min="18" max="21" width="4.33203125" style="10" hidden="1" customWidth="1"/>
    <col min="22" max="22" width="4.33203125" style="10" customWidth="1"/>
    <col min="23" max="23" width="6.5546875" style="10" customWidth="1"/>
    <col min="24" max="24" width="4.44140625" style="10" customWidth="1"/>
    <col min="25" max="25" width="10.21875" style="10" customWidth="1"/>
    <col min="26" max="26" width="12.33203125" style="10" customWidth="1"/>
    <col min="27" max="27" width="7.109375" style="10" customWidth="1"/>
    <col min="28" max="28" width="14.77734375" style="10" customWidth="1"/>
    <col min="29" max="29" width="11.77734375" style="10" customWidth="1"/>
    <col min="30" max="16384" width="11" style="10"/>
  </cols>
  <sheetData>
    <row r="1" spans="1:29" ht="21" thickBot="1" x14ac:dyDescent="0.35">
      <c r="B1" s="9"/>
      <c r="C1" s="9"/>
      <c r="D1" s="9"/>
      <c r="E1" s="9"/>
      <c r="R1" s="9"/>
      <c r="S1" s="9"/>
      <c r="T1" s="9"/>
      <c r="U1" s="9"/>
      <c r="V1" s="9"/>
      <c r="W1" s="9"/>
    </row>
    <row r="2" spans="1:29" s="2" customFormat="1" ht="32.25" thickBot="1" x14ac:dyDescent="0.35">
      <c r="A2" s="3"/>
      <c r="B2" s="203" t="s">
        <v>244</v>
      </c>
      <c r="C2" s="204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6"/>
      <c r="Q2" s="248" t="s">
        <v>234</v>
      </c>
      <c r="R2" s="249"/>
      <c r="S2" s="249"/>
      <c r="T2" s="249"/>
      <c r="U2" s="249"/>
      <c r="V2" s="249"/>
      <c r="W2" s="191">
        <v>0</v>
      </c>
    </row>
    <row r="3" spans="1:29" s="4" customFormat="1" ht="21" customHeight="1" thickBot="1" x14ac:dyDescent="0.35">
      <c r="B3" s="209" t="s">
        <v>252</v>
      </c>
      <c r="C3" s="210"/>
      <c r="D3" s="210"/>
      <c r="E3" s="211"/>
      <c r="F3" s="212" t="s">
        <v>7</v>
      </c>
      <c r="G3" s="210"/>
      <c r="H3" s="210"/>
      <c r="I3" s="210"/>
      <c r="J3" s="210"/>
      <c r="K3" s="211"/>
      <c r="L3" s="212" t="s">
        <v>8</v>
      </c>
      <c r="M3" s="210"/>
      <c r="N3" s="210"/>
      <c r="O3" s="210"/>
      <c r="P3" s="211"/>
      <c r="Q3" s="212" t="s">
        <v>20</v>
      </c>
      <c r="R3" s="210"/>
      <c r="S3" s="210"/>
      <c r="T3" s="210"/>
      <c r="U3" s="210"/>
      <c r="V3" s="210"/>
      <c r="W3" s="213"/>
      <c r="Y3" s="238" t="s">
        <v>39</v>
      </c>
      <c r="Z3" s="239"/>
      <c r="AA3" s="240"/>
      <c r="AB3" s="238" t="s">
        <v>41</v>
      </c>
      <c r="AC3" s="240"/>
    </row>
    <row r="4" spans="1:29" s="8" customFormat="1" ht="31.5" x14ac:dyDescent="0.2">
      <c r="B4" s="197" t="s">
        <v>245</v>
      </c>
      <c r="C4" s="194" t="s">
        <v>236</v>
      </c>
      <c r="D4" s="194" t="s">
        <v>260</v>
      </c>
      <c r="E4" s="196" t="s">
        <v>5</v>
      </c>
      <c r="F4" s="197" t="s">
        <v>2</v>
      </c>
      <c r="G4" s="197" t="s">
        <v>246</v>
      </c>
      <c r="H4" s="197" t="s">
        <v>247</v>
      </c>
      <c r="I4" s="197" t="s">
        <v>83</v>
      </c>
      <c r="J4" s="188" t="s">
        <v>378</v>
      </c>
      <c r="K4" s="196" t="s">
        <v>255</v>
      </c>
      <c r="L4" s="197" t="s">
        <v>56</v>
      </c>
      <c r="M4" s="197" t="s">
        <v>266</v>
      </c>
      <c r="N4" s="187" t="s">
        <v>379</v>
      </c>
      <c r="O4" s="21" t="s">
        <v>259</v>
      </c>
      <c r="P4" s="198" t="s">
        <v>251</v>
      </c>
      <c r="Q4" s="8" t="s">
        <v>258</v>
      </c>
      <c r="R4" s="186" t="s">
        <v>36</v>
      </c>
      <c r="S4" s="186" t="s">
        <v>37</v>
      </c>
      <c r="T4" s="186" t="s">
        <v>38</v>
      </c>
      <c r="U4" s="186" t="s">
        <v>40</v>
      </c>
      <c r="V4" s="8" t="s">
        <v>248</v>
      </c>
      <c r="W4" s="195" t="s">
        <v>19</v>
      </c>
      <c r="Y4" s="199" t="s">
        <v>35</v>
      </c>
      <c r="Z4" s="241" t="str">
        <f>IF(encCalc&lt;encEasy,"Trivial",LOOKUP(encCalc,AC5:AC8,AB5:AB8))</f>
        <v>Medium</v>
      </c>
      <c r="AA4" s="242"/>
      <c r="AB4" s="199" t="s">
        <v>42</v>
      </c>
      <c r="AC4" s="201">
        <f>encTotalXP* INDEX(Encounter_Mod[], MATCH(encMobSize, Encounter_Mod[Type], 0), MATCH(encPartySize, Encounter_Mod[#Headers], 0))</f>
        <v>800</v>
      </c>
    </row>
    <row r="5" spans="1:29" x14ac:dyDescent="0.2">
      <c r="A5" s="150"/>
      <c r="B5" s="158">
        <f ca="1">IFERROR(INDEX(Database[], MATCH(Encounter011[[#This Row],[Character/Creature]], Database[Character/Creature], 0), MATCH(Encounter011[#Headers], Database[#Headers], 0)) + RANDBETWEEN(1,20), "")</f>
        <v>12</v>
      </c>
      <c r="C5" s="145" t="s">
        <v>253</v>
      </c>
      <c r="D5" s="172" t="s">
        <v>455</v>
      </c>
      <c r="E5" s="145" t="str">
        <f>IFERROR(INDEX(Database[], MATCH(Encounter011[[#This Row],[Character/Creature]], Database[Character/Creature], 0), MATCH(Encounter011[#Headers], Database[#Headers], 0)), "")</f>
        <v>(empty)</v>
      </c>
      <c r="F5" s="158">
        <f ca="1">IFERROR(INDEX(Database[], MATCH(Encounter011[[#This Row],[Character/Creature]], Database[Character/Creature], 0), MATCH(Encounter011[#Headers], Database[#Headers], 0)) + RANDBETWEEN(1,20), "")</f>
        <v>16</v>
      </c>
      <c r="G5" s="173">
        <f>IFERROR(INDEX(Database[], MATCH(Encounter011[[#This Row],[Character/Creature]], Database[Character/Creature], 0), MATCH(Encounter011[#Headers], Database[#Headers], 0)), "")</f>
        <v>0</v>
      </c>
      <c r="H5" s="173">
        <f>IFERROR(INDEX(Database[], MATCH(Encounter011[[#This Row],[Character/Creature]], Database[Character/Creature], 0), MATCH(Encounter011[#Headers], Database[#Headers], 0)), "")</f>
        <v>0</v>
      </c>
      <c r="I5" s="145">
        <f>IFERROR(INDEX(Database[], MATCH(Encounter011[[#This Row],[Character/Creature]], Database[Character/Creature], 0), MATCH(Encounter011[#Headers], Database[#Headers], 0)), "")</f>
        <v>0</v>
      </c>
      <c r="J5" s="190"/>
      <c r="K5" s="171">
        <f>IFERROR(INDEX(Database[], MATCH(Encounter011[[#This Row],[Character/Creature]], Database[Character/Creature], 0), MATCH(Encounter011[#Headers], Database[#Headers], 0)), "")</f>
        <v>0</v>
      </c>
      <c r="L5" s="136">
        <f>IFERROR(INDEX(Database[], MATCH(Encounter011[[#This Row],[Character/Creature]], Database[Character/Creature], 0), MATCH(Encounter011[#Headers], Database[#Headers], 0)), "")</f>
        <v>0</v>
      </c>
      <c r="M5" s="145">
        <f>IFERROR(INDEX(Database[], MATCH(Encounter011[[#This Row],[Character/Creature]], Database[Character/Creature], 0), MATCH(Encounter011[#Headers], Database[#Headers], 0)), "")</f>
        <v>1</v>
      </c>
      <c r="N5" s="189"/>
      <c r="O5" s="145">
        <f>IFERROR(INDEX(Database[], MATCH(Encounter011[[#This Row],[Character/Creature]], Database[Character/Creature], 0), MATCH(Encounter011[#Headers], Database[#Headers], 0)), "")</f>
        <v>0</v>
      </c>
      <c r="P5" s="146">
        <f>IFERROR(Encounter011[[#This Row],[Base HP]]+Encounter011[Temp HP]-Encounter011[[#This Row],[Dmg Taken]], "")</f>
        <v>1</v>
      </c>
      <c r="Q5" s="136">
        <f>IFERROR(INDEX(Database[], MATCH(Encounter011[[#This Row],[Character/Creature]], Database[Character/Creature], 0), MATCH(Encounter011[#Headers], Database[#Headers], 0)), "")</f>
        <v>3</v>
      </c>
      <c r="R5" s="145">
        <f>INDEX(Encounter_Diff[], MATCH(Encounter011[[#This Row],[Lvl]], Encounter_Diff[Player Level], 0), MATCH(Encounter011[#Headers], Encounter_Diff[#Headers], 0))</f>
        <v>75</v>
      </c>
      <c r="S5" s="145">
        <f>INDEX(Encounter_Diff[], MATCH(Encounter011[[#This Row],[Lvl]], Encounter_Diff[Player Level], 0), MATCH(Encounter011[#Headers], Encounter_Diff[#Headers], 0))</f>
        <v>150</v>
      </c>
      <c r="T5" s="145">
        <f>INDEX(Encounter_Diff[], MATCH(Encounter011[[#This Row],[Lvl]], Encounter_Diff[Player Level], 0), MATCH(Encounter011[#Headers], Encounter_Diff[#Headers], 0))</f>
        <v>225</v>
      </c>
      <c r="U5" s="145">
        <f>INDEX(Encounter_Diff[], MATCH(Encounter011[[#This Row],[Lvl]], Encounter_Diff[Player Level], 0), MATCH(Encounter011[#Headers], Encounter_Diff[#Headers], 0))</f>
        <v>400</v>
      </c>
      <c r="V5" s="149">
        <f>IFERROR(INDEX(Database[], MATCH(Encounter011[[#This Row],[Character/Creature]], Database[Character/Creature], 0), MATCH(Encounter011[#Headers], Database[#Headers], 0)), "")</f>
        <v>0.5</v>
      </c>
      <c r="W5" s="157">
        <f>IF(ISBLANK(Encounter011[Party]), INDEX(ChallengeRating[XP], MATCH(Encounter011[CR], ChallengeRating[Challenge Rating], 0)), 0)</f>
        <v>0</v>
      </c>
      <c r="Y5" s="247" t="s">
        <v>120</v>
      </c>
      <c r="Z5" s="100" t="str">
        <f>IF(encMobCount=0,"None", IF(encMobCount=1,"Single", IF(encMobCount=2,"Pair", IF(encMobCount&lt;=6,"Group", IF(encMobCount&lt;=10,"Gang", IF(encMobCount&lt;=14,"Mob", "Horde"))))))</f>
        <v>Group</v>
      </c>
      <c r="AA5" s="1">
        <f>COUNTBLANK(Encounter011[Party])-encMobCountMod</f>
        <v>4</v>
      </c>
      <c r="AB5" s="15" t="s">
        <v>36</v>
      </c>
      <c r="AC5" s="201">
        <f t="array" ref="AC5">SUM(IF(NOT(ISBLANK(Encounter011[Party])), Encounter011[Easy]))</f>
        <v>300</v>
      </c>
    </row>
    <row r="6" spans="1:29" x14ac:dyDescent="0.2">
      <c r="A6" s="150"/>
      <c r="B6" s="158">
        <f ca="1">IFERROR(INDEX(Database[], MATCH(Encounter011[[#This Row],[Character/Creature]], Database[Character/Creature], 0), MATCH(Encounter011[#Headers], Database[#Headers], 0)) + RANDBETWEEN(1,20), "")</f>
        <v>6</v>
      </c>
      <c r="C6" s="145" t="s">
        <v>253</v>
      </c>
      <c r="D6" s="172" t="s">
        <v>455</v>
      </c>
      <c r="E6" s="145" t="str">
        <f>IFERROR(INDEX(Database[], MATCH(Encounter011[[#This Row],[Character/Creature]], Database[Character/Creature], 0), MATCH(Encounter011[#Headers], Database[#Headers], 0)), "")</f>
        <v>(empty)</v>
      </c>
      <c r="F6" s="158">
        <f ca="1">IFERROR(INDEX(Database[], MATCH(Encounter011[[#This Row],[Character/Creature]], Database[Character/Creature], 0), MATCH(Encounter011[#Headers], Database[#Headers], 0)) + RANDBETWEEN(1,20), "")</f>
        <v>16</v>
      </c>
      <c r="G6" s="173">
        <f>IFERROR(INDEX(Database[], MATCH(Encounter011[[#This Row],[Character/Creature]], Database[Character/Creature], 0), MATCH(Encounter011[#Headers], Database[#Headers], 0)), "")</f>
        <v>0</v>
      </c>
      <c r="H6" s="173">
        <f>IFERROR(INDEX(Database[], MATCH(Encounter011[[#This Row],[Character/Creature]], Database[Character/Creature], 0), MATCH(Encounter011[#Headers], Database[#Headers], 0)), "")</f>
        <v>0</v>
      </c>
      <c r="I6" s="145">
        <f>IFERROR(INDEX(Database[], MATCH(Encounter011[[#This Row],[Character/Creature]], Database[Character/Creature], 0), MATCH(Encounter011[#Headers], Database[#Headers], 0)), "")</f>
        <v>0</v>
      </c>
      <c r="J6" s="190"/>
      <c r="K6" s="119">
        <f>IFERROR(INDEX(Database[], MATCH(Encounter011[[#This Row],[Character/Creature]], Database[Character/Creature], 0), MATCH(Encounter011[#Headers], Database[#Headers], 0)), "")</f>
        <v>0</v>
      </c>
      <c r="L6" s="145">
        <v>0</v>
      </c>
      <c r="M6" s="145">
        <f>IFERROR(INDEX(Database[], MATCH(Encounter011[[#This Row],[Character/Creature]], Database[Character/Creature], 0), MATCH(Encounter011[#Headers], Database[#Headers], 0)), "")</f>
        <v>1</v>
      </c>
      <c r="N6" s="189"/>
      <c r="O6" s="145">
        <v>0</v>
      </c>
      <c r="P6" s="146">
        <f>IFERROR(Encounter011[[#This Row],[Base HP]]+Encounter011[Temp HP]-Encounter011[[#This Row],[Dmg Taken]], "")</f>
        <v>1</v>
      </c>
      <c r="Q6" s="136">
        <f>IFERROR(INDEX(Database[], MATCH(Encounter011[[#This Row],[Character/Creature]], Database[Character/Creature], 0), MATCH(Encounter011[#Headers], Database[#Headers], 0)), "")</f>
        <v>3</v>
      </c>
      <c r="R6" s="145">
        <f>INDEX(Encounter_Diff[], MATCH(Encounter011[[#This Row],[Lvl]], Encounter_Diff[Player Level], 0), MATCH(Encounter011[#Headers], Encounter_Diff[#Headers], 0))</f>
        <v>75</v>
      </c>
      <c r="S6" s="145">
        <f>INDEX(Encounter_Diff[], MATCH(Encounter011[[#This Row],[Lvl]], Encounter_Diff[Player Level], 0), MATCH(Encounter011[#Headers], Encounter_Diff[#Headers], 0))</f>
        <v>150</v>
      </c>
      <c r="T6" s="145">
        <f>INDEX(Encounter_Diff[], MATCH(Encounter011[[#This Row],[Lvl]], Encounter_Diff[Player Level], 0), MATCH(Encounter011[#Headers], Encounter_Diff[#Headers], 0))</f>
        <v>225</v>
      </c>
      <c r="U6" s="145">
        <f>INDEX(Encounter_Diff[], MATCH(Encounter011[[#This Row],[Lvl]], Encounter_Diff[Player Level], 0), MATCH(Encounter011[#Headers], Encounter_Diff[#Headers], 0))</f>
        <v>400</v>
      </c>
      <c r="V6" s="149">
        <f>IFERROR(INDEX(Database[], MATCH(Encounter011[[#This Row],[Character/Creature]], Database[Character/Creature], 0), MATCH(Encounter011[#Headers], Database[#Headers], 0)), "")</f>
        <v>0.5</v>
      </c>
      <c r="W6" s="157">
        <f>IF(ISBLANK(Encounter011[Party]), INDEX(ChallengeRating[XP], MATCH(Encounter011[CR], ChallengeRating[Challenge Rating], 0)), 0)</f>
        <v>0</v>
      </c>
      <c r="Y6" s="247"/>
      <c r="Z6" s="100" t="s">
        <v>348</v>
      </c>
      <c r="AA6" s="1">
        <v>0</v>
      </c>
      <c r="AB6" s="15" t="s">
        <v>37</v>
      </c>
      <c r="AC6" s="250">
        <f t="array" ref="AC6">SUM(IF(NOT(ISBLANK(Encounter011[Party])), Encounter011[Medium]))</f>
        <v>600</v>
      </c>
    </row>
    <row r="7" spans="1:29" x14ac:dyDescent="0.3">
      <c r="B7" s="158">
        <f ca="1">IFERROR(INDEX(Database[], MATCH(Encounter011[[#This Row],[Character/Creature]], Database[Character/Creature], 0), MATCH(Encounter011[#Headers], Database[#Headers], 0)) + RANDBETWEEN(1,20), "")</f>
        <v>5</v>
      </c>
      <c r="C7" s="145" t="s">
        <v>253</v>
      </c>
      <c r="D7" s="172" t="s">
        <v>455</v>
      </c>
      <c r="E7" s="145" t="str">
        <f>IFERROR(INDEX(Database[], MATCH(Encounter011[[#This Row],[Character/Creature]], Database[Character/Creature], 0), MATCH(Encounter011[#Headers], Database[#Headers], 0)), "")</f>
        <v>(empty)</v>
      </c>
      <c r="F7" s="158">
        <f ca="1">IFERROR(INDEX(Database[], MATCH(Encounter011[[#This Row],[Character/Creature]], Database[Character/Creature], 0), MATCH(Encounter011[#Headers], Database[#Headers], 0)) + RANDBETWEEN(1,20), "")</f>
        <v>2</v>
      </c>
      <c r="G7" s="173">
        <f>IFERROR(INDEX(Database[], MATCH(Encounter011[[#This Row],[Character/Creature]], Database[Character/Creature], 0), MATCH(Encounter011[#Headers], Database[#Headers], 0)), "")</f>
        <v>0</v>
      </c>
      <c r="H7" s="173">
        <f>IFERROR(INDEX(Database[], MATCH(Encounter011[[#This Row],[Character/Creature]], Database[Character/Creature], 0), MATCH(Encounter011[#Headers], Database[#Headers], 0)), "")</f>
        <v>0</v>
      </c>
      <c r="I7" s="145">
        <f>IFERROR(INDEX(Database[], MATCH(Encounter011[[#This Row],[Character/Creature]], Database[Character/Creature], 0), MATCH(Encounter011[#Headers], Database[#Headers], 0)), "")</f>
        <v>0</v>
      </c>
      <c r="J7" s="190"/>
      <c r="K7" s="119">
        <f>IFERROR(INDEX(Database[], MATCH(Encounter011[[#This Row],[Character/Creature]], Database[Character/Creature], 0), MATCH(Encounter011[#Headers], Database[#Headers], 0)), "")</f>
        <v>0</v>
      </c>
      <c r="L7" s="141">
        <v>0</v>
      </c>
      <c r="M7" s="145">
        <f>IFERROR(INDEX(Database[], MATCH(Encounter011[[#This Row],[Character/Creature]], Database[Character/Creature], 0), MATCH(Encounter011[#Headers], Database[#Headers], 0)), "")</f>
        <v>1</v>
      </c>
      <c r="N7" s="189"/>
      <c r="O7" s="145">
        <v>0</v>
      </c>
      <c r="P7" s="146">
        <f>IFERROR(Encounter011[[#This Row],[Base HP]]+Encounter011[Temp HP]-Encounter011[[#This Row],[Dmg Taken]], "")</f>
        <v>1</v>
      </c>
      <c r="Q7" s="136">
        <f>IFERROR(INDEX(Database[], MATCH(Encounter011[[#This Row],[Character/Creature]], Database[Character/Creature], 0), MATCH(Encounter011[#Headers], Database[#Headers], 0)), "")</f>
        <v>3</v>
      </c>
      <c r="R7" s="145">
        <f>INDEX(Encounter_Diff[], MATCH(Encounter011[[#This Row],[Lvl]], Encounter_Diff[Player Level], 0), MATCH(Encounter011[#Headers], Encounter_Diff[#Headers], 0))</f>
        <v>75</v>
      </c>
      <c r="S7" s="145">
        <f>INDEX(Encounter_Diff[], MATCH(Encounter011[[#This Row],[Lvl]], Encounter_Diff[Player Level], 0), MATCH(Encounter011[#Headers], Encounter_Diff[#Headers], 0))</f>
        <v>150</v>
      </c>
      <c r="T7" s="145">
        <f>INDEX(Encounter_Diff[], MATCH(Encounter011[[#This Row],[Lvl]], Encounter_Diff[Player Level], 0), MATCH(Encounter011[#Headers], Encounter_Diff[#Headers], 0))</f>
        <v>225</v>
      </c>
      <c r="U7" s="145">
        <f>INDEX(Encounter_Diff[], MATCH(Encounter011[[#This Row],[Lvl]], Encounter_Diff[Player Level], 0), MATCH(Encounter011[#Headers], Encounter_Diff[#Headers], 0))</f>
        <v>400</v>
      </c>
      <c r="V7" s="149">
        <f>IFERROR(INDEX(Database[], MATCH(Encounter011[[#This Row],[Character/Creature]], Database[Character/Creature], 0), MATCH(Encounter011[#Headers], Database[#Headers], 0)), "")</f>
        <v>0.5</v>
      </c>
      <c r="W7" s="157">
        <f>IF(ISBLANK(Encounter011[Party]), INDEX(ChallengeRating[XP], MATCH(Encounter011[CR], ChallengeRating[Challenge Rating], 0)), 0)</f>
        <v>0</v>
      </c>
      <c r="Y7" s="247" t="s">
        <v>119</v>
      </c>
      <c r="Z7" s="100" t="str">
        <f>IF(encPartyCount&lt;=2,"Small", IF(encPartyCount&lt;=5,"Med", IF(encPartyCount&lt;=8, "Large", "TOO BIG!")))</f>
        <v>Med</v>
      </c>
      <c r="AA7" s="1">
        <f>COUNTA(Encounter011[Party])+encPartyCountMod</f>
        <v>4</v>
      </c>
      <c r="AB7" s="15" t="s">
        <v>38</v>
      </c>
      <c r="AC7" s="251">
        <f t="array" ref="AC7">SUM(IF(NOT(ISBLANK(Encounter011[Party])), Encounter011[Hard]))</f>
        <v>900</v>
      </c>
    </row>
    <row r="8" spans="1:29" ht="21" thickBot="1" x14ac:dyDescent="0.35">
      <c r="B8" s="158">
        <f ca="1">IFERROR(INDEX(Database[], MATCH(Encounter011[[#This Row],[Character/Creature]], Database[Character/Creature], 0), MATCH(Encounter011[#Headers], Database[#Headers], 0)) + RANDBETWEEN(1,20), "")</f>
        <v>13</v>
      </c>
      <c r="C8" s="145" t="s">
        <v>253</v>
      </c>
      <c r="D8" s="172" t="s">
        <v>455</v>
      </c>
      <c r="E8" s="145" t="str">
        <f>IFERROR(INDEX(Database[], MATCH(Encounter011[[#This Row],[Character/Creature]], Database[Character/Creature], 0), MATCH(Encounter011[#Headers], Database[#Headers], 0)), "")</f>
        <v>(empty)</v>
      </c>
      <c r="F8" s="158">
        <f ca="1">IFERROR(INDEX(Database[], MATCH(Encounter011[[#This Row],[Character/Creature]], Database[Character/Creature], 0), MATCH(Encounter011[#Headers], Database[#Headers], 0)) + RANDBETWEEN(1,20), "")</f>
        <v>7</v>
      </c>
      <c r="G8" s="173">
        <f>IFERROR(INDEX(Database[], MATCH(Encounter011[[#This Row],[Character/Creature]], Database[Character/Creature], 0), MATCH(Encounter011[#Headers], Database[#Headers], 0)), "")</f>
        <v>0</v>
      </c>
      <c r="H8" s="173">
        <f>IFERROR(INDEX(Database[], MATCH(Encounter011[[#This Row],[Character/Creature]], Database[Character/Creature], 0), MATCH(Encounter011[#Headers], Database[#Headers], 0)), "")</f>
        <v>0</v>
      </c>
      <c r="I8" s="145">
        <f>IFERROR(INDEX(Database[], MATCH(Encounter011[[#This Row],[Character/Creature]], Database[Character/Creature], 0), MATCH(Encounter011[#Headers], Database[#Headers], 0)), "")</f>
        <v>0</v>
      </c>
      <c r="J8" s="190"/>
      <c r="K8" s="119">
        <f>IFERROR(INDEX(Database[], MATCH(Encounter011[[#This Row],[Character/Creature]], Database[Character/Creature], 0), MATCH(Encounter011[#Headers], Database[#Headers], 0)), "")</f>
        <v>0</v>
      </c>
      <c r="L8" s="141">
        <f>IFERROR(INDEX(Database[], MATCH(Encounter011[[#This Row],[Character/Creature]], Database[Character/Creature], 0), MATCH(Encounter011[#Headers], Database[#Headers], 0)), "")</f>
        <v>0</v>
      </c>
      <c r="M8" s="145">
        <f>IFERROR(INDEX(Database[], MATCH(Encounter011[[#This Row],[Character/Creature]], Database[Character/Creature], 0), MATCH(Encounter011[#Headers], Database[#Headers], 0)), "")</f>
        <v>1</v>
      </c>
      <c r="N8" s="189"/>
      <c r="O8" s="145">
        <f>IFERROR(INDEX(Database[], MATCH(Encounter011[[#This Row],[Character/Creature]], Database[Character/Creature], 0), MATCH(Encounter011[#Headers], Database[#Headers], 0)), "")</f>
        <v>0</v>
      </c>
      <c r="P8" s="146">
        <f>IFERROR(Encounter011[[#This Row],[Base HP]]+Encounter011[Temp HP]-Encounter011[[#This Row],[Dmg Taken]], "")</f>
        <v>1</v>
      </c>
      <c r="Q8" s="136">
        <f>IFERROR(INDEX(Database[], MATCH(Encounter011[[#This Row],[Character/Creature]], Database[Character/Creature], 0), MATCH(Encounter011[#Headers], Database[#Headers], 0)), "")</f>
        <v>3</v>
      </c>
      <c r="R8" s="145">
        <f>INDEX(Encounter_Diff[], MATCH(Encounter011[[#This Row],[Lvl]], Encounter_Diff[Player Level], 0), MATCH(Encounter011[#Headers], Encounter_Diff[#Headers], 0))</f>
        <v>75</v>
      </c>
      <c r="S8" s="145">
        <f>INDEX(Encounter_Diff[], MATCH(Encounter011[[#This Row],[Lvl]], Encounter_Diff[Player Level], 0), MATCH(Encounter011[#Headers], Encounter_Diff[#Headers], 0))</f>
        <v>150</v>
      </c>
      <c r="T8" s="145">
        <f>INDEX(Encounter_Diff[], MATCH(Encounter011[[#This Row],[Lvl]], Encounter_Diff[Player Level], 0), MATCH(Encounter011[#Headers], Encounter_Diff[#Headers], 0))</f>
        <v>225</v>
      </c>
      <c r="U8" s="145">
        <f>INDEX(Encounter_Diff[], MATCH(Encounter011[[#This Row],[Lvl]], Encounter_Diff[Player Level], 0), MATCH(Encounter011[#Headers], Encounter_Diff[#Headers], 0))</f>
        <v>400</v>
      </c>
      <c r="V8" s="149">
        <f>IFERROR(INDEX(Database[], MATCH(Encounter011[[#This Row],[Character/Creature]], Database[Character/Creature], 0), MATCH(Encounter011[#Headers], Database[#Headers], 0)), "")</f>
        <v>0.5</v>
      </c>
      <c r="W8" s="157">
        <f>IF(ISBLANK(Encounter011[Party]), INDEX(ChallengeRating[XP], MATCH(Encounter011[CR], ChallengeRating[Challenge Rating], 0)), 0)</f>
        <v>0</v>
      </c>
      <c r="Y8" s="247"/>
      <c r="Z8" s="100" t="s">
        <v>348</v>
      </c>
      <c r="AA8" s="1">
        <v>0</v>
      </c>
      <c r="AB8" s="16" t="s">
        <v>40</v>
      </c>
      <c r="AC8" s="252">
        <f t="array" ref="AC8">SUM(IF(NOT(ISBLANK(Encounter011[Party])), Encounter011[Deadly]))</f>
        <v>1600</v>
      </c>
    </row>
    <row r="9" spans="1:29" x14ac:dyDescent="0.3">
      <c r="B9" s="158">
        <f ca="1">IFERROR(INDEX(Database[], MATCH(Encounter011[[#This Row],[Character/Creature]], Database[Character/Creature], 0), MATCH(Encounter011[#Headers], Database[#Headers], 0)) + RANDBETWEEN(1,20), "")</f>
        <v>11</v>
      </c>
      <c r="C9" s="145"/>
      <c r="D9" s="172" t="s">
        <v>458</v>
      </c>
      <c r="E9" s="145">
        <f>IFERROR(INDEX(Database[], MATCH(Encounter011[[#This Row],[Character/Creature]], Database[Character/Creature], 0), MATCH(Encounter011[#Headers], Database[#Headers], 0)), "")</f>
        <v>0</v>
      </c>
      <c r="F9" s="158">
        <f ca="1">IFERROR(INDEX(Database[], MATCH(Encounter011[[#This Row],[Character/Creature]], Database[Character/Creature], 0), MATCH(Encounter011[#Headers], Database[#Headers], 0)) + RANDBETWEEN(1,20), "")</f>
        <v>14</v>
      </c>
      <c r="G9" s="173">
        <f>IFERROR(INDEX(Database[], MATCH(Encounter011[[#This Row],[Character/Creature]], Database[Character/Creature], 0), MATCH(Encounter011[#Headers], Database[#Headers], 0)), "")</f>
        <v>14</v>
      </c>
      <c r="H9" s="173">
        <f>IFERROR(INDEX(Database[], MATCH(Encounter011[[#This Row],[Character/Creature]], Database[Character/Creature], 0), MATCH(Encounter011[#Headers], Database[#Headers], 0)), "")</f>
        <v>13</v>
      </c>
      <c r="I9" s="145">
        <f>IFERROR(INDEX(Database[], MATCH(Encounter011[[#This Row],[Character/Creature]], Database[Character/Creature], 0), MATCH(Encounter011[#Headers], Database[#Headers], 0)), "")</f>
        <v>13</v>
      </c>
      <c r="J9" s="190"/>
      <c r="K9" s="119">
        <f>IFERROR(INDEX(Database[], MATCH(Encounter011[[#This Row],[Character/Creature]], Database[Character/Creature], 0), MATCH(Encounter011[#Headers], Database[#Headers], 0)), "")</f>
        <v>0</v>
      </c>
      <c r="L9" s="145">
        <f>IFERROR(INDEX(Database[], MATCH(Encounter011[[#This Row],[Character/Creature]], Database[Character/Creature], 0), MATCH(Encounter011[#Headers], Database[#Headers], 0)), "")</f>
        <v>0</v>
      </c>
      <c r="M9" s="145">
        <f>IFERROR(INDEX(Database[], MATCH(Encounter011[[#This Row],[Character/Creature]], Database[Character/Creature], 0), MATCH(Encounter011[#Headers], Database[#Headers], 0)), "")</f>
        <v>26</v>
      </c>
      <c r="N9" s="189"/>
      <c r="O9" s="145">
        <f>IFERROR(INDEX(Database[], MATCH(Encounter011[[#This Row],[Character/Creature]], Database[Character/Creature], 0), MATCH(Encounter011[#Headers], Database[#Headers], 0)), "")</f>
        <v>0</v>
      </c>
      <c r="P9" s="146">
        <f>IFERROR(Encounter011[[#This Row],[Base HP]]+Encounter011[Temp HP]-Encounter011[[#This Row],[Dmg Taken]], "")</f>
        <v>26</v>
      </c>
      <c r="Q9" s="136">
        <f>IFERROR(INDEX(Database[], MATCH(Encounter011[[#This Row],[Character/Creature]], Database[Character/Creature], 0), MATCH(Encounter011[#Headers], Database[#Headers], 0)), "")</f>
        <v>2</v>
      </c>
      <c r="R9" s="145">
        <f>INDEX(Encounter_Diff[], MATCH(Encounter011[[#This Row],[Lvl]], Encounter_Diff[Player Level], 0), MATCH(Encounter011[#Headers], Encounter_Diff[#Headers], 0))</f>
        <v>50</v>
      </c>
      <c r="S9" s="145">
        <f>INDEX(Encounter_Diff[], MATCH(Encounter011[[#This Row],[Lvl]], Encounter_Diff[Player Level], 0), MATCH(Encounter011[#Headers], Encounter_Diff[#Headers], 0))</f>
        <v>100</v>
      </c>
      <c r="T9" s="145">
        <f>INDEX(Encounter_Diff[], MATCH(Encounter011[[#This Row],[Lvl]], Encounter_Diff[Player Level], 0), MATCH(Encounter011[#Headers], Encounter_Diff[#Headers], 0))</f>
        <v>150</v>
      </c>
      <c r="U9" s="145">
        <f>INDEX(Encounter_Diff[], MATCH(Encounter011[[#This Row],[Lvl]], Encounter_Diff[Player Level], 0), MATCH(Encounter011[#Headers], Encounter_Diff[#Headers], 0))</f>
        <v>200</v>
      </c>
      <c r="V9" s="149">
        <f>IFERROR(INDEX(Database[], MATCH(Encounter011[[#This Row],[Character/Creature]], Database[Character/Creature], 0), MATCH(Encounter011[#Headers], Database[#Headers], 0)), "")</f>
        <v>0.5</v>
      </c>
      <c r="W9" s="157">
        <f>IF(ISBLANK(Encounter011[Party]), INDEX(ChallengeRating[XP], MATCH(Encounter011[CR], ChallengeRating[Challenge Rating], 0)), 0)</f>
        <v>100</v>
      </c>
      <c r="Y9" s="202" t="s">
        <v>31</v>
      </c>
      <c r="Z9" s="243">
        <f>SUM(Encounter011[XP])</f>
        <v>400</v>
      </c>
      <c r="AA9" s="244"/>
    </row>
    <row r="10" spans="1:29" ht="21" thickBot="1" x14ac:dyDescent="0.35">
      <c r="B10" s="158">
        <f ca="1">IFERROR(INDEX(Database[], MATCH(Encounter011[[#This Row],[Character/Creature]], Database[Character/Creature], 0), MATCH(Encounter011[#Headers], Database[#Headers], 0)) + RANDBETWEEN(1,20), "")</f>
        <v>11</v>
      </c>
      <c r="C10" s="145"/>
      <c r="D10" s="172" t="s">
        <v>458</v>
      </c>
      <c r="E10" s="145">
        <f>IFERROR(INDEX(Database[], MATCH(Encounter011[[#This Row],[Character/Creature]], Database[Character/Creature], 0), MATCH(Encounter011[#Headers], Database[#Headers], 0)), "")</f>
        <v>0</v>
      </c>
      <c r="F10" s="158">
        <f ca="1">IFERROR(INDEX(Database[], MATCH(Encounter011[[#This Row],[Character/Creature]], Database[Character/Creature], 0), MATCH(Encounter011[#Headers], Database[#Headers], 0)) + RANDBETWEEN(1,20), "")</f>
        <v>15</v>
      </c>
      <c r="G10" s="173">
        <f>IFERROR(INDEX(Database[], MATCH(Encounter011[[#This Row],[Character/Creature]], Database[Character/Creature], 0), MATCH(Encounter011[#Headers], Database[#Headers], 0)), "")</f>
        <v>14</v>
      </c>
      <c r="H10" s="173">
        <f>IFERROR(INDEX(Database[], MATCH(Encounter011[[#This Row],[Character/Creature]], Database[Character/Creature], 0), MATCH(Encounter011[#Headers], Database[#Headers], 0)), "")</f>
        <v>13</v>
      </c>
      <c r="I10" s="145">
        <f>IFERROR(INDEX(Database[], MATCH(Encounter011[[#This Row],[Character/Creature]], Database[Character/Creature], 0), MATCH(Encounter011[#Headers], Database[#Headers], 0)), "")</f>
        <v>13</v>
      </c>
      <c r="J10" s="190"/>
      <c r="K10" s="119">
        <f>IFERROR(INDEX(Database[], MATCH(Encounter011[[#This Row],[Character/Creature]], Database[Character/Creature], 0), MATCH(Encounter011[#Headers], Database[#Headers], 0)), "")</f>
        <v>0</v>
      </c>
      <c r="L10" s="145">
        <f>IFERROR(INDEX(Database[], MATCH(Encounter011[[#This Row],[Character/Creature]], Database[Character/Creature], 0), MATCH(Encounter011[#Headers], Database[#Headers], 0)), "")</f>
        <v>0</v>
      </c>
      <c r="M10" s="145">
        <f>IFERROR(INDEX(Database[], MATCH(Encounter011[[#This Row],[Character/Creature]], Database[Character/Creature], 0), MATCH(Encounter011[#Headers], Database[#Headers], 0)), "")</f>
        <v>26</v>
      </c>
      <c r="N10" s="189"/>
      <c r="O10" s="145">
        <f>IFERROR(INDEX(Database[], MATCH(Encounter011[[#This Row],[Character/Creature]], Database[Character/Creature], 0), MATCH(Encounter011[#Headers], Database[#Headers], 0)), "")</f>
        <v>0</v>
      </c>
      <c r="P10" s="146">
        <f>IFERROR(Encounter011[[#This Row],[Base HP]]+Encounter011[Temp HP]-Encounter011[[#This Row],[Dmg Taken]], "")</f>
        <v>26</v>
      </c>
      <c r="Q10" s="136">
        <f>IFERROR(INDEX(Database[], MATCH(Encounter011[[#This Row],[Character/Creature]], Database[Character/Creature], 0), MATCH(Encounter011[#Headers], Database[#Headers], 0)), "")</f>
        <v>2</v>
      </c>
      <c r="R10" s="145">
        <f>INDEX(Encounter_Diff[], MATCH(Encounter011[[#This Row],[Lvl]], Encounter_Diff[Player Level], 0), MATCH(Encounter011[#Headers], Encounter_Diff[#Headers], 0))</f>
        <v>50</v>
      </c>
      <c r="S10" s="145">
        <f>INDEX(Encounter_Diff[], MATCH(Encounter011[[#This Row],[Lvl]], Encounter_Diff[Player Level], 0), MATCH(Encounter011[#Headers], Encounter_Diff[#Headers], 0))</f>
        <v>100</v>
      </c>
      <c r="T10" s="145">
        <f>INDEX(Encounter_Diff[], MATCH(Encounter011[[#This Row],[Lvl]], Encounter_Diff[Player Level], 0), MATCH(Encounter011[#Headers], Encounter_Diff[#Headers], 0))</f>
        <v>150</v>
      </c>
      <c r="U10" s="145">
        <f>INDEX(Encounter_Diff[], MATCH(Encounter011[[#This Row],[Lvl]], Encounter_Diff[Player Level], 0), MATCH(Encounter011[#Headers], Encounter_Diff[#Headers], 0))</f>
        <v>200</v>
      </c>
      <c r="V10" s="149">
        <f>IFERROR(INDEX(Database[], MATCH(Encounter011[[#This Row],[Character/Creature]], Database[Character/Creature], 0), MATCH(Encounter011[#Headers], Database[#Headers], 0)), "")</f>
        <v>0.5</v>
      </c>
      <c r="W10" s="157">
        <f>IF(ISBLANK(Encounter011[Party]), INDEX(ChallengeRating[XP], MATCH(Encounter011[CR], ChallengeRating[Challenge Rating], 0)), 0)</f>
        <v>100</v>
      </c>
      <c r="Y10" s="200" t="s">
        <v>32</v>
      </c>
      <c r="Z10" s="245">
        <f>encTotalXP/encPartyCount</f>
        <v>100</v>
      </c>
      <c r="AA10" s="246"/>
    </row>
    <row r="11" spans="1:29" ht="21" thickBot="1" x14ac:dyDescent="0.35">
      <c r="B11" s="158">
        <f ca="1">IFERROR(INDEX(Database[], MATCH(Encounter011[[#This Row],[Character/Creature]], Database[Character/Creature], 0), MATCH(Encounter011[#Headers], Database[#Headers], 0)) + RANDBETWEEN(1,20), "")</f>
        <v>13</v>
      </c>
      <c r="C11" s="145"/>
      <c r="D11" s="172" t="s">
        <v>458</v>
      </c>
      <c r="E11" s="145">
        <f>IFERROR(INDEX(Database[], MATCH(Encounter011[[#This Row],[Character/Creature]], Database[Character/Creature], 0), MATCH(Encounter011[#Headers], Database[#Headers], 0)), "")</f>
        <v>0</v>
      </c>
      <c r="F11" s="158">
        <f ca="1">IFERROR(INDEX(Database[], MATCH(Encounter011[[#This Row],[Character/Creature]], Database[Character/Creature], 0), MATCH(Encounter011[#Headers], Database[#Headers], 0)) + RANDBETWEEN(1,20), "")</f>
        <v>18</v>
      </c>
      <c r="G11" s="173">
        <f>IFERROR(INDEX(Database[], MATCH(Encounter011[[#This Row],[Character/Creature]], Database[Character/Creature], 0), MATCH(Encounter011[#Headers], Database[#Headers], 0)), "")</f>
        <v>14</v>
      </c>
      <c r="H11" s="173">
        <f>IFERROR(INDEX(Database[], MATCH(Encounter011[[#This Row],[Character/Creature]], Database[Character/Creature], 0), MATCH(Encounter011[#Headers], Database[#Headers], 0)), "")</f>
        <v>13</v>
      </c>
      <c r="I11" s="145">
        <f>IFERROR(INDEX(Database[], MATCH(Encounter011[[#This Row],[Character/Creature]], Database[Character/Creature], 0), MATCH(Encounter011[#Headers], Database[#Headers], 0)), "")</f>
        <v>13</v>
      </c>
      <c r="J11" s="190"/>
      <c r="K11" s="119">
        <f>IFERROR(INDEX(Database[], MATCH(Encounter011[[#This Row],[Character/Creature]], Database[Character/Creature], 0), MATCH(Encounter011[#Headers], Database[#Headers], 0)), "")</f>
        <v>0</v>
      </c>
      <c r="L11" s="145">
        <f>IFERROR(INDEX(Database[], MATCH(Encounter011[[#This Row],[Character/Creature]], Database[Character/Creature], 0), MATCH(Encounter011[#Headers], Database[#Headers], 0)), "")</f>
        <v>0</v>
      </c>
      <c r="M11" s="145">
        <f>IFERROR(INDEX(Database[], MATCH(Encounter011[[#This Row],[Character/Creature]], Database[Character/Creature], 0), MATCH(Encounter011[#Headers], Database[#Headers], 0)), "")</f>
        <v>26</v>
      </c>
      <c r="N11" s="189"/>
      <c r="O11" s="145">
        <f>IFERROR(INDEX(Database[], MATCH(Encounter011[[#This Row],[Character/Creature]], Database[Character/Creature], 0), MATCH(Encounter011[#Headers], Database[#Headers], 0)), "")</f>
        <v>0</v>
      </c>
      <c r="P11" s="146">
        <f>IFERROR(Encounter011[[#This Row],[Base HP]]+Encounter011[Temp HP]-Encounter011[[#This Row],[Dmg Taken]], "")</f>
        <v>26</v>
      </c>
      <c r="Q11" s="136">
        <f>IFERROR(INDEX(Database[], MATCH(Encounter011[[#This Row],[Character/Creature]], Database[Character/Creature], 0), MATCH(Encounter011[#Headers], Database[#Headers], 0)), "")</f>
        <v>2</v>
      </c>
      <c r="R11" s="145">
        <f>INDEX(Encounter_Diff[], MATCH(Encounter011[[#This Row],[Lvl]], Encounter_Diff[Player Level], 0), MATCH(Encounter011[#Headers], Encounter_Diff[#Headers], 0))</f>
        <v>50</v>
      </c>
      <c r="S11" s="145">
        <f>INDEX(Encounter_Diff[], MATCH(Encounter011[[#This Row],[Lvl]], Encounter_Diff[Player Level], 0), MATCH(Encounter011[#Headers], Encounter_Diff[#Headers], 0))</f>
        <v>100</v>
      </c>
      <c r="T11" s="145">
        <f>INDEX(Encounter_Diff[], MATCH(Encounter011[[#This Row],[Lvl]], Encounter_Diff[Player Level], 0), MATCH(Encounter011[#Headers], Encounter_Diff[#Headers], 0))</f>
        <v>150</v>
      </c>
      <c r="U11" s="145">
        <f>INDEX(Encounter_Diff[], MATCH(Encounter011[[#This Row],[Lvl]], Encounter_Diff[Player Level], 0), MATCH(Encounter011[#Headers], Encounter_Diff[#Headers], 0))</f>
        <v>200</v>
      </c>
      <c r="V11" s="149">
        <f>IFERROR(INDEX(Database[], MATCH(Encounter011[[#This Row],[Character/Creature]], Database[Character/Creature], 0), MATCH(Encounter011[#Headers], Database[#Headers], 0)), "")</f>
        <v>0.5</v>
      </c>
      <c r="W11" s="157">
        <f>IF(ISBLANK(Encounter011[Party]), INDEX(ChallengeRating[XP], MATCH(Encounter011[CR], ChallengeRating[Challenge Rating], 0)), 0)</f>
        <v>100</v>
      </c>
    </row>
    <row r="12" spans="1:29" ht="21" thickBot="1" x14ac:dyDescent="0.35">
      <c r="B12" s="158">
        <f ca="1">IFERROR(INDEX(Database[], MATCH(Encounter011[[#This Row],[Character/Creature]], Database[Character/Creature], 0), MATCH(Encounter011[#Headers], Database[#Headers], 0)) + RANDBETWEEN(1,20), "")</f>
        <v>6</v>
      </c>
      <c r="C12" s="145"/>
      <c r="D12" s="172" t="s">
        <v>458</v>
      </c>
      <c r="E12" s="145">
        <f>IFERROR(INDEX(Database[], MATCH(Encounter011[[#This Row],[Character/Creature]], Database[Character/Creature], 0), MATCH(Encounter011[#Headers], Database[#Headers], 0)), "")</f>
        <v>0</v>
      </c>
      <c r="F12" s="158">
        <f ca="1">IFERROR(INDEX(Database[], MATCH(Encounter011[[#This Row],[Character/Creature]], Database[Character/Creature], 0), MATCH(Encounter011[#Headers], Database[#Headers], 0)) + RANDBETWEEN(1,20), "")</f>
        <v>11</v>
      </c>
      <c r="G12" s="173">
        <f>IFERROR(INDEX(Database[], MATCH(Encounter011[[#This Row],[Character/Creature]], Database[Character/Creature], 0), MATCH(Encounter011[#Headers], Database[#Headers], 0)), "")</f>
        <v>14</v>
      </c>
      <c r="H12" s="173">
        <f>IFERROR(INDEX(Database[], MATCH(Encounter011[[#This Row],[Character/Creature]], Database[Character/Creature], 0), MATCH(Encounter011[#Headers], Database[#Headers], 0)), "")</f>
        <v>13</v>
      </c>
      <c r="I12" s="145">
        <f>IFERROR(INDEX(Database[], MATCH(Encounter011[[#This Row],[Character/Creature]], Database[Character/Creature], 0), MATCH(Encounter011[#Headers], Database[#Headers], 0)), "")</f>
        <v>13</v>
      </c>
      <c r="J12" s="190"/>
      <c r="K12" s="119">
        <f>IFERROR(INDEX(Database[], MATCH(Encounter011[[#This Row],[Character/Creature]], Database[Character/Creature], 0), MATCH(Encounter011[#Headers], Database[#Headers], 0)), "")</f>
        <v>0</v>
      </c>
      <c r="L12" s="145">
        <f>IFERROR(INDEX(Database[], MATCH(Encounter011[[#This Row],[Character/Creature]], Database[Character/Creature], 0), MATCH(Encounter011[#Headers], Database[#Headers], 0)), "")</f>
        <v>0</v>
      </c>
      <c r="M12" s="145">
        <f>IFERROR(INDEX(Database[], MATCH(Encounter011[[#This Row],[Character/Creature]], Database[Character/Creature], 0), MATCH(Encounter011[#Headers], Database[#Headers], 0)), "")</f>
        <v>26</v>
      </c>
      <c r="N12" s="189"/>
      <c r="O12" s="145">
        <f>IFERROR(INDEX(Database[], MATCH(Encounter011[[#This Row],[Character/Creature]], Database[Character/Creature], 0), MATCH(Encounter011[#Headers], Database[#Headers], 0)), "")</f>
        <v>0</v>
      </c>
      <c r="P12" s="146">
        <f>IFERROR(Encounter011[[#This Row],[Base HP]]+Encounter011[Temp HP]-Encounter011[[#This Row],[Dmg Taken]], "")</f>
        <v>26</v>
      </c>
      <c r="Q12" s="136">
        <f>IFERROR(INDEX(Database[], MATCH(Encounter011[[#This Row],[Character/Creature]], Database[Character/Creature], 0), MATCH(Encounter011[#Headers], Database[#Headers], 0)), "")</f>
        <v>2</v>
      </c>
      <c r="R12" s="145">
        <f>INDEX(Encounter_Diff[], MATCH(Encounter011[[#This Row],[Lvl]], Encounter_Diff[Player Level], 0), MATCH(Encounter011[#Headers], Encounter_Diff[#Headers], 0))</f>
        <v>50</v>
      </c>
      <c r="S12" s="145">
        <f>INDEX(Encounter_Diff[], MATCH(Encounter011[[#This Row],[Lvl]], Encounter_Diff[Player Level], 0), MATCH(Encounter011[#Headers], Encounter_Diff[#Headers], 0))</f>
        <v>100</v>
      </c>
      <c r="T12" s="145">
        <f>INDEX(Encounter_Diff[], MATCH(Encounter011[[#This Row],[Lvl]], Encounter_Diff[Player Level], 0), MATCH(Encounter011[#Headers], Encounter_Diff[#Headers], 0))</f>
        <v>150</v>
      </c>
      <c r="U12" s="145">
        <f>INDEX(Encounter_Diff[], MATCH(Encounter011[[#This Row],[Lvl]], Encounter_Diff[Player Level], 0), MATCH(Encounter011[#Headers], Encounter_Diff[#Headers], 0))</f>
        <v>200</v>
      </c>
      <c r="V12" s="149">
        <f>IFERROR(INDEX(Database[], MATCH(Encounter011[[#This Row],[Character/Creature]], Database[Character/Creature], 0), MATCH(Encounter011[#Headers], Database[#Headers], 0)), "")</f>
        <v>0.5</v>
      </c>
      <c r="W12" s="157">
        <f>IF(ISBLANK(Encounter011[Party]), INDEX(ChallengeRating[XP], MATCH(Encounter011[CR], ChallengeRating[Challenge Rating], 0)), 0)</f>
        <v>100</v>
      </c>
      <c r="Y12" s="238" t="s">
        <v>240</v>
      </c>
      <c r="Z12" s="239"/>
      <c r="AA12" s="240"/>
    </row>
    <row r="13" spans="1:29" ht="30" x14ac:dyDescent="0.3">
      <c r="Y13" s="235" t="s">
        <v>235</v>
      </c>
      <c r="Z13" s="101" t="s">
        <v>242</v>
      </c>
      <c r="AA13" s="153">
        <f t="array" ref="AA13">AVERAGE(IF(ISBLANK(Encounter011[Party]), Encounter011[Pass Perc]))</f>
        <v>14</v>
      </c>
    </row>
    <row r="14" spans="1:29" ht="30" x14ac:dyDescent="0.3">
      <c r="Y14" s="236"/>
      <c r="Z14" s="114" t="s">
        <v>243</v>
      </c>
      <c r="AA14" s="153"/>
    </row>
    <row r="15" spans="1:29" ht="21" thickBot="1" x14ac:dyDescent="0.35">
      <c r="Y15" s="237"/>
      <c r="Z15" s="122" t="s">
        <v>235</v>
      </c>
      <c r="AA15" s="154">
        <f t="array" aca="1" ref="AA15" ca="1">AVERAGE(IF(NOT(ISBLANK(Encounter011[Party])), Encounter011[Stealth]))</f>
        <v>10.25</v>
      </c>
    </row>
    <row r="16" spans="1:29" x14ac:dyDescent="0.3">
      <c r="Y16" s="235" t="s">
        <v>239</v>
      </c>
      <c r="Z16" s="120" t="s">
        <v>239</v>
      </c>
      <c r="AA16" s="155">
        <f t="array" aca="1" ref="AA16" ca="1">AVERAGE(IF(ISBLANK(Encounter011[Party]), Encounter011[Stealth]))</f>
        <v>14.5</v>
      </c>
    </row>
    <row r="17" spans="25:27" ht="30" x14ac:dyDescent="0.3">
      <c r="Y17" s="236"/>
      <c r="Z17" s="123" t="s">
        <v>237</v>
      </c>
      <c r="AA17" s="151">
        <f t="array" ref="AA17">AVERAGE(IF(NOT(ISBLANK(Encounter011[Party])), Encounter011[Pass Perc]))</f>
        <v>0</v>
      </c>
    </row>
    <row r="18" spans="25:27" ht="30.75" thickBot="1" x14ac:dyDescent="0.35">
      <c r="Y18" s="237"/>
      <c r="Z18" s="124" t="s">
        <v>238</v>
      </c>
      <c r="AA18" s="152"/>
    </row>
    <row r="19" spans="25:27" x14ac:dyDescent="0.3">
      <c r="Y19" s="235" t="s">
        <v>241</v>
      </c>
      <c r="Z19" s="121" t="s">
        <v>111</v>
      </c>
      <c r="AA19" s="155"/>
    </row>
    <row r="20" spans="25:27" ht="21" thickBot="1" x14ac:dyDescent="0.35">
      <c r="Y20" s="237"/>
      <c r="Z20" s="125" t="s">
        <v>236</v>
      </c>
      <c r="AA20" s="156"/>
    </row>
  </sheetData>
  <mergeCells count="17">
    <mergeCell ref="Z10:AA10"/>
    <mergeCell ref="Y12:AA12"/>
    <mergeCell ref="Y13:Y15"/>
    <mergeCell ref="Y16:Y18"/>
    <mergeCell ref="Y19:Y20"/>
    <mergeCell ref="Y3:AA3"/>
    <mergeCell ref="AB3:AC3"/>
    <mergeCell ref="Z4:AA4"/>
    <mergeCell ref="Y5:Y6"/>
    <mergeCell ref="Y7:Y8"/>
    <mergeCell ref="Z9:AA9"/>
    <mergeCell ref="B2:P2"/>
    <mergeCell ref="Q2:V2"/>
    <mergeCell ref="B3:E3"/>
    <mergeCell ref="F3:K3"/>
    <mergeCell ref="L3:P3"/>
    <mergeCell ref="Q3:W3"/>
  </mergeCells>
  <conditionalFormatting sqref="Q2 W2">
    <cfRule type="expression" dxfId="147" priority="1">
      <formula>$W$2&gt;0</formula>
    </cfRule>
  </conditionalFormatting>
  <conditionalFormatting sqref="K5:M12 O5:W12 B5:I12">
    <cfRule type="expression" dxfId="146" priority="2">
      <formula>ROUND($P5,0)&lt;1</formula>
    </cfRule>
    <cfRule type="expression" dxfId="145" priority="3">
      <formula>AND( NOT( OR( ISBLANK(#REF!), #REF!="")), NOT( OR( ISBLANK($D5), $D5="", $D5 = 0)))</formula>
    </cfRule>
    <cfRule type="expression" dxfId="144" priority="4">
      <formula>$E5="NPC"</formula>
    </cfRule>
    <cfRule type="expression" dxfId="143" priority="5">
      <formula>AND( NOT( OR( ISBLANK($C5), $C5="")), NOT( OR( ISBLANK($D5), $D5="", $D5 = 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encStart">
              <controlPr defaultSize="0" print="0" autoFill="0" autoPict="0" macro="[0]!encounterStart">
                <anchor moveWithCells="1" sizeWithCells="1">
                  <from>
                    <xdr:col>1</xdr:col>
                    <xdr:colOff>95250</xdr:colOff>
                    <xdr:row>1</xdr:row>
                    <xdr:rowOff>76200</xdr:rowOff>
                  </from>
                  <to>
                    <xdr:col>2</xdr:col>
                    <xdr:colOff>228600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encClear">
              <controlPr defaultSize="0" print="0" autoFill="0" autoPict="0" macro="[0]!encounterClear">
                <anchor moveWithCells="1" sizeWithCells="1">
                  <from>
                    <xdr:col>3</xdr:col>
                    <xdr:colOff>466725</xdr:colOff>
                    <xdr:row>1</xdr:row>
                    <xdr:rowOff>76200</xdr:rowOff>
                  </from>
                  <to>
                    <xdr:col>3</xdr:col>
                    <xdr:colOff>1104900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encSave">
              <controlPr defaultSize="0" print="0" autoFill="0" autoPict="0" macro="[0]!dataSaveAll">
                <anchor moveWithCells="1" sizeWithCells="1">
                  <from>
                    <xdr:col>13</xdr:col>
                    <xdr:colOff>295275</xdr:colOff>
                    <xdr:row>1</xdr:row>
                    <xdr:rowOff>76200</xdr:rowOff>
                  </from>
                  <to>
                    <xdr:col>14</xdr:col>
                    <xdr:colOff>447675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encNew">
              <controlPr defaultSize="0" print="0" autoFill="0" autoPict="0" macro="[0]!encounterNew">
                <anchor moveWithCells="1" sizeWithCells="1">
                  <from>
                    <xdr:col>12</xdr:col>
                    <xdr:colOff>209550</xdr:colOff>
                    <xdr:row>1</xdr:row>
                    <xdr:rowOff>76200</xdr:rowOff>
                  </from>
                  <to>
                    <xdr:col>13</xdr:col>
                    <xdr:colOff>247650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encEnd">
              <controlPr defaultSize="0" print="0" autoFill="0" autoPict="0" macro="[0]!encounterEnd">
                <anchor moveWithCells="1" sizeWithCells="1">
                  <from>
                    <xdr:col>14</xdr:col>
                    <xdr:colOff>495300</xdr:colOff>
                    <xdr:row>1</xdr:row>
                    <xdr:rowOff>76200</xdr:rowOff>
                  </from>
                  <to>
                    <xdr:col>15</xdr:col>
                    <xdr:colOff>533400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9" name="encReload">
              <controlPr defaultSize="0" print="0" autoFill="0" autoPict="0" macro="[0]!encounterReloadAll">
                <anchor moveWithCells="1" sizeWithCells="1">
                  <from>
                    <xdr:col>2</xdr:col>
                    <xdr:colOff>266700</xdr:colOff>
                    <xdr:row>1</xdr:row>
                    <xdr:rowOff>76200</xdr:rowOff>
                  </from>
                  <to>
                    <xdr:col>3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50D54-5E03-4808-9755-8A10CDCDEE9B}">
          <x14:formula1>
            <xm:f>Database!$E$4:$E$171</xm:f>
          </x14:formula1>
          <xm:sqref>D5:D12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877E0-C3FA-4493-96D3-0359372483B2}">
  <sheetPr codeName="Sheet8"/>
  <dimension ref="A1:AC20"/>
  <sheetViews>
    <sheetView zoomScaleNormal="100" workbookViewId="0">
      <selection activeCell="J17" sqref="J17"/>
    </sheetView>
  </sheetViews>
  <sheetFormatPr defaultColWidth="11" defaultRowHeight="20.25" x14ac:dyDescent="0.3"/>
  <cols>
    <col min="1" max="1" width="4.77734375" style="2" customWidth="1"/>
    <col min="2" max="2" width="5.88671875" style="10" customWidth="1"/>
    <col min="3" max="3" width="5.6640625" style="10" customWidth="1"/>
    <col min="4" max="4" width="20.88671875" style="10" customWidth="1"/>
    <col min="5" max="5" width="14.77734375" style="10" customWidth="1"/>
    <col min="6" max="9" width="7" style="10" customWidth="1"/>
    <col min="10" max="10" width="7.109375" style="10" customWidth="1"/>
    <col min="11" max="11" width="23.5546875" style="10" customWidth="1"/>
    <col min="12" max="12" width="7.21875" style="22" customWidth="1"/>
    <col min="13" max="13" width="7.21875" style="10" customWidth="1"/>
    <col min="14" max="14" width="6.109375" style="10" customWidth="1"/>
    <col min="15" max="15" width="7.21875" style="22" customWidth="1"/>
    <col min="16" max="16" width="7.21875" style="10" customWidth="1"/>
    <col min="17" max="17" width="4.33203125" style="10" customWidth="1"/>
    <col min="18" max="21" width="4.33203125" style="10" hidden="1" customWidth="1"/>
    <col min="22" max="22" width="4.33203125" style="10" customWidth="1"/>
    <col min="23" max="23" width="6.5546875" style="10" customWidth="1"/>
    <col min="24" max="24" width="4.44140625" style="10" customWidth="1"/>
    <col min="25" max="25" width="10.21875" style="10" customWidth="1"/>
    <col min="26" max="26" width="12.33203125" style="10" customWidth="1"/>
    <col min="27" max="27" width="7.109375" style="10" customWidth="1"/>
    <col min="28" max="28" width="14.77734375" style="10" customWidth="1"/>
    <col min="29" max="29" width="11.77734375" style="10" customWidth="1"/>
    <col min="30" max="16384" width="11" style="10"/>
  </cols>
  <sheetData>
    <row r="1" spans="1:29" ht="21" thickBot="1" x14ac:dyDescent="0.35">
      <c r="B1" s="9"/>
      <c r="C1" s="9"/>
      <c r="D1" s="9"/>
      <c r="E1" s="9"/>
      <c r="R1" s="9"/>
      <c r="S1" s="9"/>
      <c r="T1" s="9"/>
      <c r="U1" s="9"/>
      <c r="V1" s="9"/>
      <c r="W1" s="9"/>
    </row>
    <row r="2" spans="1:29" s="2" customFormat="1" ht="32.25" thickBot="1" x14ac:dyDescent="0.35">
      <c r="A2" s="3"/>
      <c r="B2" s="203" t="s">
        <v>244</v>
      </c>
      <c r="C2" s="204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6"/>
      <c r="Q2" s="248" t="s">
        <v>234</v>
      </c>
      <c r="R2" s="249"/>
      <c r="S2" s="249"/>
      <c r="T2" s="249"/>
      <c r="U2" s="249"/>
      <c r="V2" s="249"/>
      <c r="W2" s="191">
        <v>0</v>
      </c>
    </row>
    <row r="3" spans="1:29" s="4" customFormat="1" ht="21" customHeight="1" thickBot="1" x14ac:dyDescent="0.35">
      <c r="B3" s="209" t="s">
        <v>252</v>
      </c>
      <c r="C3" s="210"/>
      <c r="D3" s="210"/>
      <c r="E3" s="211"/>
      <c r="F3" s="212" t="s">
        <v>7</v>
      </c>
      <c r="G3" s="210"/>
      <c r="H3" s="210"/>
      <c r="I3" s="210"/>
      <c r="J3" s="210"/>
      <c r="K3" s="211"/>
      <c r="L3" s="212" t="s">
        <v>8</v>
      </c>
      <c r="M3" s="210"/>
      <c r="N3" s="210"/>
      <c r="O3" s="210"/>
      <c r="P3" s="211"/>
      <c r="Q3" s="212" t="s">
        <v>20</v>
      </c>
      <c r="R3" s="210"/>
      <c r="S3" s="210"/>
      <c r="T3" s="210"/>
      <c r="U3" s="210"/>
      <c r="V3" s="210"/>
      <c r="W3" s="213"/>
      <c r="Y3" s="238" t="s">
        <v>39</v>
      </c>
      <c r="Z3" s="239"/>
      <c r="AA3" s="240"/>
      <c r="AB3" s="238" t="s">
        <v>41</v>
      </c>
      <c r="AC3" s="240"/>
    </row>
    <row r="4" spans="1:29" s="8" customFormat="1" ht="31.5" x14ac:dyDescent="0.2">
      <c r="B4" s="197" t="s">
        <v>245</v>
      </c>
      <c r="C4" s="194" t="s">
        <v>236</v>
      </c>
      <c r="D4" s="194" t="s">
        <v>260</v>
      </c>
      <c r="E4" s="196" t="s">
        <v>5</v>
      </c>
      <c r="F4" s="197" t="s">
        <v>2</v>
      </c>
      <c r="G4" s="197" t="s">
        <v>246</v>
      </c>
      <c r="H4" s="197" t="s">
        <v>247</v>
      </c>
      <c r="I4" s="197" t="s">
        <v>83</v>
      </c>
      <c r="J4" s="188" t="s">
        <v>378</v>
      </c>
      <c r="K4" s="196" t="s">
        <v>255</v>
      </c>
      <c r="L4" s="197" t="s">
        <v>56</v>
      </c>
      <c r="M4" s="197" t="s">
        <v>266</v>
      </c>
      <c r="N4" s="187" t="s">
        <v>379</v>
      </c>
      <c r="O4" s="21" t="s">
        <v>259</v>
      </c>
      <c r="P4" s="198" t="s">
        <v>251</v>
      </c>
      <c r="Q4" s="8" t="s">
        <v>258</v>
      </c>
      <c r="R4" s="186" t="s">
        <v>36</v>
      </c>
      <c r="S4" s="186" t="s">
        <v>37</v>
      </c>
      <c r="T4" s="186" t="s">
        <v>38</v>
      </c>
      <c r="U4" s="186" t="s">
        <v>40</v>
      </c>
      <c r="V4" s="8" t="s">
        <v>248</v>
      </c>
      <c r="W4" s="195" t="s">
        <v>19</v>
      </c>
      <c r="Y4" s="199" t="s">
        <v>35</v>
      </c>
      <c r="Z4" s="241" t="str">
        <f>IF(encCalc&lt;encEasy,"Trivial",LOOKUP(encCalc,AC5:AC8,AB5:AB8))</f>
        <v>Hard</v>
      </c>
      <c r="AA4" s="242"/>
      <c r="AB4" s="199" t="s">
        <v>42</v>
      </c>
      <c r="AC4" s="201">
        <f>encTotalXP* INDEX(Encounter_Mod[], MATCH(encMobSize, Encounter_Mod[Type], 0), MATCH(encPartySize, Encounter_Mod[#Headers], 0))</f>
        <v>1000</v>
      </c>
    </row>
    <row r="5" spans="1:29" x14ac:dyDescent="0.2">
      <c r="A5" s="150"/>
      <c r="B5" s="158">
        <f ca="1">IFERROR(INDEX(Database[], MATCH(Encounter012[[#This Row],[Character/Creature]], Database[Character/Creature], 0), MATCH(Encounter012[#Headers], Database[#Headers], 0)) + RANDBETWEEN(1,20), "")</f>
        <v>15</v>
      </c>
      <c r="C5" s="145" t="s">
        <v>253</v>
      </c>
      <c r="D5" s="172" t="s">
        <v>455</v>
      </c>
      <c r="E5" s="145" t="str">
        <f>IFERROR(INDEX(Database[], MATCH(Encounter012[[#This Row],[Character/Creature]], Database[Character/Creature], 0), MATCH(Encounter012[#Headers], Database[#Headers], 0)), "")</f>
        <v>(empty)</v>
      </c>
      <c r="F5" s="158">
        <f ca="1">IFERROR(INDEX(Database[], MATCH(Encounter012[[#This Row],[Character/Creature]], Database[Character/Creature], 0), MATCH(Encounter012[#Headers], Database[#Headers], 0)) + RANDBETWEEN(1,20), "")</f>
        <v>20</v>
      </c>
      <c r="G5" s="173">
        <f>IFERROR(INDEX(Database[], MATCH(Encounter012[[#This Row],[Character/Creature]], Database[Character/Creature], 0), MATCH(Encounter012[#Headers], Database[#Headers], 0)), "")</f>
        <v>0</v>
      </c>
      <c r="H5" s="173">
        <f>IFERROR(INDEX(Database[], MATCH(Encounter012[[#This Row],[Character/Creature]], Database[Character/Creature], 0), MATCH(Encounter012[#Headers], Database[#Headers], 0)), "")</f>
        <v>0</v>
      </c>
      <c r="I5" s="145">
        <f>IFERROR(INDEX(Database[], MATCH(Encounter012[[#This Row],[Character/Creature]], Database[Character/Creature], 0), MATCH(Encounter012[#Headers], Database[#Headers], 0)), "")</f>
        <v>0</v>
      </c>
      <c r="J5" s="190"/>
      <c r="K5" s="171">
        <f>IFERROR(INDEX(Database[], MATCH(Encounter012[[#This Row],[Character/Creature]], Database[Character/Creature], 0), MATCH(Encounter012[#Headers], Database[#Headers], 0)), "")</f>
        <v>0</v>
      </c>
      <c r="L5" s="136">
        <f>IFERROR(INDEX(Database[], MATCH(Encounter012[[#This Row],[Character/Creature]], Database[Character/Creature], 0), MATCH(Encounter012[#Headers], Database[#Headers], 0)), "")</f>
        <v>0</v>
      </c>
      <c r="M5" s="145">
        <f>IFERROR(INDEX(Database[], MATCH(Encounter012[[#This Row],[Character/Creature]], Database[Character/Creature], 0), MATCH(Encounter012[#Headers], Database[#Headers], 0)), "")</f>
        <v>1</v>
      </c>
      <c r="N5" s="189"/>
      <c r="O5" s="145">
        <f>IFERROR(INDEX(Database[], MATCH(Encounter012[[#This Row],[Character/Creature]], Database[Character/Creature], 0), MATCH(Encounter012[#Headers], Database[#Headers], 0)), "")</f>
        <v>0</v>
      </c>
      <c r="P5" s="146">
        <f>IFERROR(Encounter012[[#This Row],[Base HP]]+Encounter012[Temp HP]-Encounter012[[#This Row],[Dmg Taken]], "")</f>
        <v>1</v>
      </c>
      <c r="Q5" s="136">
        <f>IFERROR(INDEX(Database[], MATCH(Encounter012[[#This Row],[Character/Creature]], Database[Character/Creature], 0), MATCH(Encounter012[#Headers], Database[#Headers], 0)), "")</f>
        <v>3</v>
      </c>
      <c r="R5" s="145">
        <f>INDEX(Encounter_Diff[], MATCH(Encounter012[[#This Row],[Lvl]], Encounter_Diff[Player Level], 0), MATCH(Encounter012[#Headers], Encounter_Diff[#Headers], 0))</f>
        <v>75</v>
      </c>
      <c r="S5" s="145">
        <f>INDEX(Encounter_Diff[], MATCH(Encounter012[[#This Row],[Lvl]], Encounter_Diff[Player Level], 0), MATCH(Encounter012[#Headers], Encounter_Diff[#Headers], 0))</f>
        <v>150</v>
      </c>
      <c r="T5" s="145">
        <f>INDEX(Encounter_Diff[], MATCH(Encounter012[[#This Row],[Lvl]], Encounter_Diff[Player Level], 0), MATCH(Encounter012[#Headers], Encounter_Diff[#Headers], 0))</f>
        <v>225</v>
      </c>
      <c r="U5" s="145">
        <f>INDEX(Encounter_Diff[], MATCH(Encounter012[[#This Row],[Lvl]], Encounter_Diff[Player Level], 0), MATCH(Encounter012[#Headers], Encounter_Diff[#Headers], 0))</f>
        <v>400</v>
      </c>
      <c r="V5" s="149">
        <f>IFERROR(INDEX(Database[], MATCH(Encounter012[[#This Row],[Character/Creature]], Database[Character/Creature], 0), MATCH(Encounter012[#Headers], Database[#Headers], 0)), "")</f>
        <v>0.5</v>
      </c>
      <c r="W5" s="157">
        <f>IF(ISBLANK(Encounter012[Party]), INDEX(ChallengeRating[XP], MATCH(Encounter012[CR], ChallengeRating[Challenge Rating], 0)), 0)</f>
        <v>0</v>
      </c>
      <c r="Y5" s="247" t="s">
        <v>120</v>
      </c>
      <c r="Z5" s="100" t="str">
        <f>IF(encMobCount=0,"None", IF(encMobCount=1,"Single", IF(encMobCount=2,"Pair", IF(encMobCount&lt;=6,"Group", IF(encMobCount&lt;=10,"Gang", IF(encMobCount&lt;=14,"Mob", "Horde"))))))</f>
        <v>Group</v>
      </c>
      <c r="AA5" s="1">
        <f>COUNTBLANK(Encounter012[Party])-encMobCountMod</f>
        <v>5</v>
      </c>
      <c r="AB5" s="15" t="s">
        <v>36</v>
      </c>
      <c r="AC5" s="201">
        <f t="array" ref="AC5">SUM(IF(NOT(ISBLANK(Encounter012[Party])), Encounter012[Easy]))</f>
        <v>300</v>
      </c>
    </row>
    <row r="6" spans="1:29" x14ac:dyDescent="0.2">
      <c r="A6" s="150"/>
      <c r="B6" s="158">
        <f ca="1">IFERROR(INDEX(Database[], MATCH(Encounter012[[#This Row],[Character/Creature]], Database[Character/Creature], 0), MATCH(Encounter012[#Headers], Database[#Headers], 0)) + RANDBETWEEN(1,20), "")</f>
        <v>2</v>
      </c>
      <c r="C6" s="145" t="s">
        <v>253</v>
      </c>
      <c r="D6" s="172" t="s">
        <v>455</v>
      </c>
      <c r="E6" s="145" t="str">
        <f>IFERROR(INDEX(Database[], MATCH(Encounter012[[#This Row],[Character/Creature]], Database[Character/Creature], 0), MATCH(Encounter012[#Headers], Database[#Headers], 0)), "")</f>
        <v>(empty)</v>
      </c>
      <c r="F6" s="158">
        <f ca="1">IFERROR(INDEX(Database[], MATCH(Encounter012[[#This Row],[Character/Creature]], Database[Character/Creature], 0), MATCH(Encounter012[#Headers], Database[#Headers], 0)) + RANDBETWEEN(1,20), "")</f>
        <v>3</v>
      </c>
      <c r="G6" s="173">
        <f>IFERROR(INDEX(Database[], MATCH(Encounter012[[#This Row],[Character/Creature]], Database[Character/Creature], 0), MATCH(Encounter012[#Headers], Database[#Headers], 0)), "")</f>
        <v>0</v>
      </c>
      <c r="H6" s="173">
        <f>IFERROR(INDEX(Database[], MATCH(Encounter012[[#This Row],[Character/Creature]], Database[Character/Creature], 0), MATCH(Encounter012[#Headers], Database[#Headers], 0)), "")</f>
        <v>0</v>
      </c>
      <c r="I6" s="145">
        <f>IFERROR(INDEX(Database[], MATCH(Encounter012[[#This Row],[Character/Creature]], Database[Character/Creature], 0), MATCH(Encounter012[#Headers], Database[#Headers], 0)), "")</f>
        <v>0</v>
      </c>
      <c r="J6" s="190"/>
      <c r="K6" s="119">
        <f>IFERROR(INDEX(Database[], MATCH(Encounter012[[#This Row],[Character/Creature]], Database[Character/Creature], 0), MATCH(Encounter012[#Headers], Database[#Headers], 0)), "")</f>
        <v>0</v>
      </c>
      <c r="L6" s="145">
        <v>0</v>
      </c>
      <c r="M6" s="145">
        <f>IFERROR(INDEX(Database[], MATCH(Encounter012[[#This Row],[Character/Creature]], Database[Character/Creature], 0), MATCH(Encounter012[#Headers], Database[#Headers], 0)), "")</f>
        <v>1</v>
      </c>
      <c r="N6" s="189"/>
      <c r="O6" s="145">
        <v>0</v>
      </c>
      <c r="P6" s="146">
        <f>IFERROR(Encounter012[[#This Row],[Base HP]]+Encounter012[Temp HP]-Encounter012[[#This Row],[Dmg Taken]], "")</f>
        <v>1</v>
      </c>
      <c r="Q6" s="136">
        <f>IFERROR(INDEX(Database[], MATCH(Encounter012[[#This Row],[Character/Creature]], Database[Character/Creature], 0), MATCH(Encounter012[#Headers], Database[#Headers], 0)), "")</f>
        <v>3</v>
      </c>
      <c r="R6" s="145">
        <f>INDEX(Encounter_Diff[], MATCH(Encounter012[[#This Row],[Lvl]], Encounter_Diff[Player Level], 0), MATCH(Encounter012[#Headers], Encounter_Diff[#Headers], 0))</f>
        <v>75</v>
      </c>
      <c r="S6" s="145">
        <f>INDEX(Encounter_Diff[], MATCH(Encounter012[[#This Row],[Lvl]], Encounter_Diff[Player Level], 0), MATCH(Encounter012[#Headers], Encounter_Diff[#Headers], 0))</f>
        <v>150</v>
      </c>
      <c r="T6" s="145">
        <f>INDEX(Encounter_Diff[], MATCH(Encounter012[[#This Row],[Lvl]], Encounter_Diff[Player Level], 0), MATCH(Encounter012[#Headers], Encounter_Diff[#Headers], 0))</f>
        <v>225</v>
      </c>
      <c r="U6" s="145">
        <f>INDEX(Encounter_Diff[], MATCH(Encounter012[[#This Row],[Lvl]], Encounter_Diff[Player Level], 0), MATCH(Encounter012[#Headers], Encounter_Diff[#Headers], 0))</f>
        <v>400</v>
      </c>
      <c r="V6" s="149">
        <f>IFERROR(INDEX(Database[], MATCH(Encounter012[[#This Row],[Character/Creature]], Database[Character/Creature], 0), MATCH(Encounter012[#Headers], Database[#Headers], 0)), "")</f>
        <v>0.5</v>
      </c>
      <c r="W6" s="157">
        <f>IF(ISBLANK(Encounter012[Party]), INDEX(ChallengeRating[XP], MATCH(Encounter012[CR], ChallengeRating[Challenge Rating], 0)), 0)</f>
        <v>0</v>
      </c>
      <c r="Y6" s="247"/>
      <c r="Z6" s="100" t="s">
        <v>348</v>
      </c>
      <c r="AA6" s="1">
        <v>0</v>
      </c>
      <c r="AB6" s="15" t="s">
        <v>37</v>
      </c>
      <c r="AC6" s="250">
        <f t="array" ref="AC6">SUM(IF(NOT(ISBLANK(Encounter012[Party])), Encounter012[Medium]))</f>
        <v>600</v>
      </c>
    </row>
    <row r="7" spans="1:29" x14ac:dyDescent="0.3">
      <c r="B7" s="158">
        <f ca="1">IFERROR(INDEX(Database[], MATCH(Encounter012[[#This Row],[Character/Creature]], Database[Character/Creature], 0), MATCH(Encounter012[#Headers], Database[#Headers], 0)) + RANDBETWEEN(1,20), "")</f>
        <v>7</v>
      </c>
      <c r="C7" s="145" t="s">
        <v>253</v>
      </c>
      <c r="D7" s="172" t="s">
        <v>455</v>
      </c>
      <c r="E7" s="145" t="str">
        <f>IFERROR(INDEX(Database[], MATCH(Encounter012[[#This Row],[Character/Creature]], Database[Character/Creature], 0), MATCH(Encounter012[#Headers], Database[#Headers], 0)), "")</f>
        <v>(empty)</v>
      </c>
      <c r="F7" s="158">
        <f ca="1">IFERROR(INDEX(Database[], MATCH(Encounter012[[#This Row],[Character/Creature]], Database[Character/Creature], 0), MATCH(Encounter012[#Headers], Database[#Headers], 0)) + RANDBETWEEN(1,20), "")</f>
        <v>3</v>
      </c>
      <c r="G7" s="173">
        <f>IFERROR(INDEX(Database[], MATCH(Encounter012[[#This Row],[Character/Creature]], Database[Character/Creature], 0), MATCH(Encounter012[#Headers], Database[#Headers], 0)), "")</f>
        <v>0</v>
      </c>
      <c r="H7" s="173">
        <f>IFERROR(INDEX(Database[], MATCH(Encounter012[[#This Row],[Character/Creature]], Database[Character/Creature], 0), MATCH(Encounter012[#Headers], Database[#Headers], 0)), "")</f>
        <v>0</v>
      </c>
      <c r="I7" s="145">
        <f>IFERROR(INDEX(Database[], MATCH(Encounter012[[#This Row],[Character/Creature]], Database[Character/Creature], 0), MATCH(Encounter012[#Headers], Database[#Headers], 0)), "")</f>
        <v>0</v>
      </c>
      <c r="J7" s="190"/>
      <c r="K7" s="119">
        <f>IFERROR(INDEX(Database[], MATCH(Encounter012[[#This Row],[Character/Creature]], Database[Character/Creature], 0), MATCH(Encounter012[#Headers], Database[#Headers], 0)), "")</f>
        <v>0</v>
      </c>
      <c r="L7" s="141">
        <v>0</v>
      </c>
      <c r="M7" s="145">
        <f>IFERROR(INDEX(Database[], MATCH(Encounter012[[#This Row],[Character/Creature]], Database[Character/Creature], 0), MATCH(Encounter012[#Headers], Database[#Headers], 0)), "")</f>
        <v>1</v>
      </c>
      <c r="N7" s="189"/>
      <c r="O7" s="145">
        <v>0</v>
      </c>
      <c r="P7" s="146">
        <f>IFERROR(Encounter012[[#This Row],[Base HP]]+Encounter012[Temp HP]-Encounter012[[#This Row],[Dmg Taken]], "")</f>
        <v>1</v>
      </c>
      <c r="Q7" s="136">
        <f>IFERROR(INDEX(Database[], MATCH(Encounter012[[#This Row],[Character/Creature]], Database[Character/Creature], 0), MATCH(Encounter012[#Headers], Database[#Headers], 0)), "")</f>
        <v>3</v>
      </c>
      <c r="R7" s="145">
        <f>INDEX(Encounter_Diff[], MATCH(Encounter012[[#This Row],[Lvl]], Encounter_Diff[Player Level], 0), MATCH(Encounter012[#Headers], Encounter_Diff[#Headers], 0))</f>
        <v>75</v>
      </c>
      <c r="S7" s="145">
        <f>INDEX(Encounter_Diff[], MATCH(Encounter012[[#This Row],[Lvl]], Encounter_Diff[Player Level], 0), MATCH(Encounter012[#Headers], Encounter_Diff[#Headers], 0))</f>
        <v>150</v>
      </c>
      <c r="T7" s="145">
        <f>INDEX(Encounter_Diff[], MATCH(Encounter012[[#This Row],[Lvl]], Encounter_Diff[Player Level], 0), MATCH(Encounter012[#Headers], Encounter_Diff[#Headers], 0))</f>
        <v>225</v>
      </c>
      <c r="U7" s="145">
        <f>INDEX(Encounter_Diff[], MATCH(Encounter012[[#This Row],[Lvl]], Encounter_Diff[Player Level], 0), MATCH(Encounter012[#Headers], Encounter_Diff[#Headers], 0))</f>
        <v>400</v>
      </c>
      <c r="V7" s="149">
        <f>IFERROR(INDEX(Database[], MATCH(Encounter012[[#This Row],[Character/Creature]], Database[Character/Creature], 0), MATCH(Encounter012[#Headers], Database[#Headers], 0)), "")</f>
        <v>0.5</v>
      </c>
      <c r="W7" s="157">
        <f>IF(ISBLANK(Encounter012[Party]), INDEX(ChallengeRating[XP], MATCH(Encounter012[CR], ChallengeRating[Challenge Rating], 0)), 0)</f>
        <v>0</v>
      </c>
      <c r="Y7" s="247" t="s">
        <v>119</v>
      </c>
      <c r="Z7" s="100" t="str">
        <f>IF(encPartyCount&lt;=2,"Small", IF(encPartyCount&lt;=5,"Med", IF(encPartyCount&lt;=8, "Large", "TOO BIG!")))</f>
        <v>Med</v>
      </c>
      <c r="AA7" s="1">
        <f>COUNTA(Encounter012[Party])+encPartyCountMod</f>
        <v>4</v>
      </c>
      <c r="AB7" s="15" t="s">
        <v>38</v>
      </c>
      <c r="AC7" s="251">
        <f t="array" ref="AC7">SUM(IF(NOT(ISBLANK(Encounter012[Party])), Encounter012[Hard]))</f>
        <v>900</v>
      </c>
    </row>
    <row r="8" spans="1:29" ht="21" thickBot="1" x14ac:dyDescent="0.35">
      <c r="B8" s="158">
        <f ca="1">IFERROR(INDEX(Database[], MATCH(Encounter012[[#This Row],[Character/Creature]], Database[Character/Creature], 0), MATCH(Encounter012[#Headers], Database[#Headers], 0)) + RANDBETWEEN(1,20), "")</f>
        <v>15</v>
      </c>
      <c r="C8" s="145" t="s">
        <v>253</v>
      </c>
      <c r="D8" s="172" t="s">
        <v>455</v>
      </c>
      <c r="E8" s="145" t="str">
        <f>IFERROR(INDEX(Database[], MATCH(Encounter012[[#This Row],[Character/Creature]], Database[Character/Creature], 0), MATCH(Encounter012[#Headers], Database[#Headers], 0)), "")</f>
        <v>(empty)</v>
      </c>
      <c r="F8" s="158">
        <f ca="1">IFERROR(INDEX(Database[], MATCH(Encounter012[[#This Row],[Character/Creature]], Database[Character/Creature], 0), MATCH(Encounter012[#Headers], Database[#Headers], 0)) + RANDBETWEEN(1,20), "")</f>
        <v>8</v>
      </c>
      <c r="G8" s="173">
        <f>IFERROR(INDEX(Database[], MATCH(Encounter012[[#This Row],[Character/Creature]], Database[Character/Creature], 0), MATCH(Encounter012[#Headers], Database[#Headers], 0)), "")</f>
        <v>0</v>
      </c>
      <c r="H8" s="173">
        <f>IFERROR(INDEX(Database[], MATCH(Encounter012[[#This Row],[Character/Creature]], Database[Character/Creature], 0), MATCH(Encounter012[#Headers], Database[#Headers], 0)), "")</f>
        <v>0</v>
      </c>
      <c r="I8" s="145">
        <f>IFERROR(INDEX(Database[], MATCH(Encounter012[[#This Row],[Character/Creature]], Database[Character/Creature], 0), MATCH(Encounter012[#Headers], Database[#Headers], 0)), "")</f>
        <v>0</v>
      </c>
      <c r="J8" s="190"/>
      <c r="K8" s="119">
        <f>IFERROR(INDEX(Database[], MATCH(Encounter012[[#This Row],[Character/Creature]], Database[Character/Creature], 0), MATCH(Encounter012[#Headers], Database[#Headers], 0)), "")</f>
        <v>0</v>
      </c>
      <c r="L8" s="141">
        <f>IFERROR(INDEX(Database[], MATCH(Encounter012[[#This Row],[Character/Creature]], Database[Character/Creature], 0), MATCH(Encounter012[#Headers], Database[#Headers], 0)), "")</f>
        <v>0</v>
      </c>
      <c r="M8" s="145">
        <f>IFERROR(INDEX(Database[], MATCH(Encounter012[[#This Row],[Character/Creature]], Database[Character/Creature], 0), MATCH(Encounter012[#Headers], Database[#Headers], 0)), "")</f>
        <v>1</v>
      </c>
      <c r="N8" s="189"/>
      <c r="O8" s="145">
        <f>IFERROR(INDEX(Database[], MATCH(Encounter012[[#This Row],[Character/Creature]], Database[Character/Creature], 0), MATCH(Encounter012[#Headers], Database[#Headers], 0)), "")</f>
        <v>0</v>
      </c>
      <c r="P8" s="146">
        <f>IFERROR(Encounter012[[#This Row],[Base HP]]+Encounter012[Temp HP]-Encounter012[[#This Row],[Dmg Taken]], "")</f>
        <v>1</v>
      </c>
      <c r="Q8" s="136">
        <f>IFERROR(INDEX(Database[], MATCH(Encounter012[[#This Row],[Character/Creature]], Database[Character/Creature], 0), MATCH(Encounter012[#Headers], Database[#Headers], 0)), "")</f>
        <v>3</v>
      </c>
      <c r="R8" s="145">
        <f>INDEX(Encounter_Diff[], MATCH(Encounter012[[#This Row],[Lvl]], Encounter_Diff[Player Level], 0), MATCH(Encounter012[#Headers], Encounter_Diff[#Headers], 0))</f>
        <v>75</v>
      </c>
      <c r="S8" s="145">
        <f>INDEX(Encounter_Diff[], MATCH(Encounter012[[#This Row],[Lvl]], Encounter_Diff[Player Level], 0), MATCH(Encounter012[#Headers], Encounter_Diff[#Headers], 0))</f>
        <v>150</v>
      </c>
      <c r="T8" s="145">
        <f>INDEX(Encounter_Diff[], MATCH(Encounter012[[#This Row],[Lvl]], Encounter_Diff[Player Level], 0), MATCH(Encounter012[#Headers], Encounter_Diff[#Headers], 0))</f>
        <v>225</v>
      </c>
      <c r="U8" s="145">
        <f>INDEX(Encounter_Diff[], MATCH(Encounter012[[#This Row],[Lvl]], Encounter_Diff[Player Level], 0), MATCH(Encounter012[#Headers], Encounter_Diff[#Headers], 0))</f>
        <v>400</v>
      </c>
      <c r="V8" s="149">
        <f>IFERROR(INDEX(Database[], MATCH(Encounter012[[#This Row],[Character/Creature]], Database[Character/Creature], 0), MATCH(Encounter012[#Headers], Database[#Headers], 0)), "")</f>
        <v>0.5</v>
      </c>
      <c r="W8" s="157">
        <f>IF(ISBLANK(Encounter012[Party]), INDEX(ChallengeRating[XP], MATCH(Encounter012[CR], ChallengeRating[Challenge Rating], 0)), 0)</f>
        <v>0</v>
      </c>
      <c r="Y8" s="247"/>
      <c r="Z8" s="100" t="s">
        <v>348</v>
      </c>
      <c r="AA8" s="1">
        <v>0</v>
      </c>
      <c r="AB8" s="16" t="s">
        <v>40</v>
      </c>
      <c r="AC8" s="252">
        <f t="array" ref="AC8">SUM(IF(NOT(ISBLANK(Encounter012[Party])), Encounter012[Deadly]))</f>
        <v>1600</v>
      </c>
    </row>
    <row r="9" spans="1:29" x14ac:dyDescent="0.3">
      <c r="B9" s="158">
        <f ca="1">IFERROR(INDEX(Database[], MATCH(Encounter012[[#This Row],[Character/Creature]], Database[Character/Creature], 0), MATCH(Encounter012[#Headers], Database[#Headers], 0)) + RANDBETWEEN(1,20), "")</f>
        <v>20</v>
      </c>
      <c r="C9" s="145"/>
      <c r="D9" s="172" t="s">
        <v>18</v>
      </c>
      <c r="E9" s="145">
        <f>IFERROR(INDEX(Database[], MATCH(Encounter012[[#This Row],[Character/Creature]], Database[Character/Creature], 0), MATCH(Encounter012[#Headers], Database[#Headers], 0)), "")</f>
        <v>0</v>
      </c>
      <c r="F9" s="158">
        <f ca="1">IFERROR(INDEX(Database[], MATCH(Encounter012[[#This Row],[Character/Creature]], Database[Character/Creature], 0), MATCH(Encounter012[#Headers], Database[#Headers], 0)) + RANDBETWEEN(1,20), "")</f>
        <v>20</v>
      </c>
      <c r="G9" s="173">
        <f>IFERROR(INDEX(Database[], MATCH(Encounter012[[#This Row],[Character/Creature]], Database[Character/Creature], 0), MATCH(Encounter012[#Headers], Database[#Headers], 0)), "")</f>
        <v>10</v>
      </c>
      <c r="H9" s="173">
        <f>IFERROR(INDEX(Database[], MATCH(Encounter012[[#This Row],[Character/Creature]], Database[Character/Creature], 0), MATCH(Encounter012[#Headers], Database[#Headers], 0)), "")</f>
        <v>18</v>
      </c>
      <c r="I9" s="145">
        <f>IFERROR(INDEX(Database[], MATCH(Encounter012[[#This Row],[Character/Creature]], Database[Character/Creature], 0), MATCH(Encounter012[#Headers], Database[#Headers], 0)), "")</f>
        <v>0</v>
      </c>
      <c r="J9" s="190"/>
      <c r="K9" s="119" t="str">
        <f>IFERROR(INDEX(Database[], MATCH(Encounter012[[#This Row],[Character/Creature]], Database[Character/Creature], 0), MATCH(Encounter012[#Headers], Database[#Headers], 0)), "")</f>
        <v xml:space="preserve"> </v>
      </c>
      <c r="L9" s="145">
        <f>IFERROR(INDEX(Database[], MATCH(Encounter012[[#This Row],[Character/Creature]], Database[Character/Creature], 0), MATCH(Encounter012[#Headers], Database[#Headers], 0)), "")</f>
        <v>0</v>
      </c>
      <c r="M9" s="145">
        <f>IFERROR(INDEX(Database[], MATCH(Encounter012[[#This Row],[Character/Creature]], Database[Character/Creature], 0), MATCH(Encounter012[#Headers], Database[#Headers], 0)), "")</f>
        <v>11</v>
      </c>
      <c r="N9" s="189"/>
      <c r="O9" s="145">
        <f>IFERROR(INDEX(Database[], MATCH(Encounter012[[#This Row],[Character/Creature]], Database[Character/Creature], 0), MATCH(Encounter012[#Headers], Database[#Headers], 0)), "")</f>
        <v>0</v>
      </c>
      <c r="P9" s="146">
        <f>IFERROR(Encounter012[[#This Row],[Base HP]]+Encounter012[Temp HP]-Encounter012[[#This Row],[Dmg Taken]], "")</f>
        <v>11</v>
      </c>
      <c r="Q9" s="136">
        <f>IFERROR(INDEX(Database[], MATCH(Encounter012[[#This Row],[Character/Creature]], Database[Character/Creature], 0), MATCH(Encounter012[#Headers], Database[#Headers], 0)), "")</f>
        <v>2</v>
      </c>
      <c r="R9" s="145">
        <f>INDEX(Encounter_Diff[], MATCH(Encounter012[[#This Row],[Lvl]], Encounter_Diff[Player Level], 0), MATCH(Encounter012[#Headers], Encounter_Diff[#Headers], 0))</f>
        <v>50</v>
      </c>
      <c r="S9" s="145">
        <f>INDEX(Encounter_Diff[], MATCH(Encounter012[[#This Row],[Lvl]], Encounter_Diff[Player Level], 0), MATCH(Encounter012[#Headers], Encounter_Diff[#Headers], 0))</f>
        <v>100</v>
      </c>
      <c r="T9" s="145">
        <f>INDEX(Encounter_Diff[], MATCH(Encounter012[[#This Row],[Lvl]], Encounter_Diff[Player Level], 0), MATCH(Encounter012[#Headers], Encounter_Diff[#Headers], 0))</f>
        <v>150</v>
      </c>
      <c r="U9" s="145">
        <f>INDEX(Encounter_Diff[], MATCH(Encounter012[[#This Row],[Lvl]], Encounter_Diff[Player Level], 0), MATCH(Encounter012[#Headers], Encounter_Diff[#Headers], 0))</f>
        <v>200</v>
      </c>
      <c r="V9" s="149">
        <f>IFERROR(INDEX(Database[], MATCH(Encounter012[[#This Row],[Character/Creature]], Database[Character/Creature], 0), MATCH(Encounter012[#Headers], Database[#Headers], 0)), "")</f>
        <v>0.5</v>
      </c>
      <c r="W9" s="157">
        <f>IF(ISBLANK(Encounter012[Party]), INDEX(ChallengeRating[XP], MATCH(Encounter012[CR], ChallengeRating[Challenge Rating], 0)), 0)</f>
        <v>100</v>
      </c>
      <c r="Y9" s="202" t="s">
        <v>31</v>
      </c>
      <c r="Z9" s="243">
        <f>SUM(Encounter012[XP])</f>
        <v>500</v>
      </c>
      <c r="AA9" s="244"/>
    </row>
    <row r="10" spans="1:29" ht="21" thickBot="1" x14ac:dyDescent="0.35">
      <c r="B10" s="158">
        <f ca="1">IFERROR(INDEX(Database[], MATCH(Encounter012[[#This Row],[Character/Creature]], Database[Character/Creature], 0), MATCH(Encounter012[#Headers], Database[#Headers], 0)) + RANDBETWEEN(1,20), "")</f>
        <v>12</v>
      </c>
      <c r="C10" s="145"/>
      <c r="D10" s="172" t="s">
        <v>18</v>
      </c>
      <c r="E10" s="145">
        <f>IFERROR(INDEX(Database[], MATCH(Encounter012[[#This Row],[Character/Creature]], Database[Character/Creature], 0), MATCH(Encounter012[#Headers], Database[#Headers], 0)), "")</f>
        <v>0</v>
      </c>
      <c r="F10" s="158">
        <f ca="1">IFERROR(INDEX(Database[], MATCH(Encounter012[[#This Row],[Character/Creature]], Database[Character/Creature], 0), MATCH(Encounter012[#Headers], Database[#Headers], 0)) + RANDBETWEEN(1,20), "")</f>
        <v>21</v>
      </c>
      <c r="G10" s="173">
        <f>IFERROR(INDEX(Database[], MATCH(Encounter012[[#This Row],[Character/Creature]], Database[Character/Creature], 0), MATCH(Encounter012[#Headers], Database[#Headers], 0)), "")</f>
        <v>10</v>
      </c>
      <c r="H10" s="173">
        <f>IFERROR(INDEX(Database[], MATCH(Encounter012[[#This Row],[Character/Creature]], Database[Character/Creature], 0), MATCH(Encounter012[#Headers], Database[#Headers], 0)), "")</f>
        <v>18</v>
      </c>
      <c r="I10" s="145">
        <f>IFERROR(INDEX(Database[], MATCH(Encounter012[[#This Row],[Character/Creature]], Database[Character/Creature], 0), MATCH(Encounter012[#Headers], Database[#Headers], 0)), "")</f>
        <v>0</v>
      </c>
      <c r="J10" s="190"/>
      <c r="K10" s="119" t="str">
        <f>IFERROR(INDEX(Database[], MATCH(Encounter012[[#This Row],[Character/Creature]], Database[Character/Creature], 0), MATCH(Encounter012[#Headers], Database[#Headers], 0)), "")</f>
        <v xml:space="preserve"> </v>
      </c>
      <c r="L10" s="145">
        <f>IFERROR(INDEX(Database[], MATCH(Encounter012[[#This Row],[Character/Creature]], Database[Character/Creature], 0), MATCH(Encounter012[#Headers], Database[#Headers], 0)), "")</f>
        <v>0</v>
      </c>
      <c r="M10" s="145">
        <f>IFERROR(INDEX(Database[], MATCH(Encounter012[[#This Row],[Character/Creature]], Database[Character/Creature], 0), MATCH(Encounter012[#Headers], Database[#Headers], 0)), "")</f>
        <v>11</v>
      </c>
      <c r="N10" s="189"/>
      <c r="O10" s="145">
        <f>IFERROR(INDEX(Database[], MATCH(Encounter012[[#This Row],[Character/Creature]], Database[Character/Creature], 0), MATCH(Encounter012[#Headers], Database[#Headers], 0)), "")</f>
        <v>0</v>
      </c>
      <c r="P10" s="146">
        <f>IFERROR(Encounter012[[#This Row],[Base HP]]+Encounter012[Temp HP]-Encounter012[[#This Row],[Dmg Taken]], "")</f>
        <v>11</v>
      </c>
      <c r="Q10" s="136">
        <f>IFERROR(INDEX(Database[], MATCH(Encounter012[[#This Row],[Character/Creature]], Database[Character/Creature], 0), MATCH(Encounter012[#Headers], Database[#Headers], 0)), "")</f>
        <v>2</v>
      </c>
      <c r="R10" s="145">
        <f>INDEX(Encounter_Diff[], MATCH(Encounter012[[#This Row],[Lvl]], Encounter_Diff[Player Level], 0), MATCH(Encounter012[#Headers], Encounter_Diff[#Headers], 0))</f>
        <v>50</v>
      </c>
      <c r="S10" s="145">
        <f>INDEX(Encounter_Diff[], MATCH(Encounter012[[#This Row],[Lvl]], Encounter_Diff[Player Level], 0), MATCH(Encounter012[#Headers], Encounter_Diff[#Headers], 0))</f>
        <v>100</v>
      </c>
      <c r="T10" s="145">
        <f>INDEX(Encounter_Diff[], MATCH(Encounter012[[#This Row],[Lvl]], Encounter_Diff[Player Level], 0), MATCH(Encounter012[#Headers], Encounter_Diff[#Headers], 0))</f>
        <v>150</v>
      </c>
      <c r="U10" s="145">
        <f>INDEX(Encounter_Diff[], MATCH(Encounter012[[#This Row],[Lvl]], Encounter_Diff[Player Level], 0), MATCH(Encounter012[#Headers], Encounter_Diff[#Headers], 0))</f>
        <v>200</v>
      </c>
      <c r="V10" s="149">
        <f>IFERROR(INDEX(Database[], MATCH(Encounter012[[#This Row],[Character/Creature]], Database[Character/Creature], 0), MATCH(Encounter012[#Headers], Database[#Headers], 0)), "")</f>
        <v>0.5</v>
      </c>
      <c r="W10" s="157">
        <f>IF(ISBLANK(Encounter012[Party]), INDEX(ChallengeRating[XP], MATCH(Encounter012[CR], ChallengeRating[Challenge Rating], 0)), 0)</f>
        <v>100</v>
      </c>
      <c r="Y10" s="200" t="s">
        <v>32</v>
      </c>
      <c r="Z10" s="245">
        <f>encTotalXP/encPartyCount</f>
        <v>125</v>
      </c>
      <c r="AA10" s="246"/>
    </row>
    <row r="11" spans="1:29" ht="21" thickBot="1" x14ac:dyDescent="0.35">
      <c r="B11" s="158">
        <f ca="1">IFERROR(INDEX(Database[], MATCH(Encounter012[[#This Row],[Character/Creature]], Database[Character/Creature], 0), MATCH(Encounter012[#Headers], Database[#Headers], 0)) + RANDBETWEEN(1,20), "")</f>
        <v>18</v>
      </c>
      <c r="C11" s="145"/>
      <c r="D11" s="172" t="s">
        <v>18</v>
      </c>
      <c r="E11" s="145">
        <f>IFERROR(INDEX(Database[], MATCH(Encounter012[[#This Row],[Character/Creature]], Database[Character/Creature], 0), MATCH(Encounter012[#Headers], Database[#Headers], 0)), "")</f>
        <v>0</v>
      </c>
      <c r="F11" s="158">
        <f ca="1">IFERROR(INDEX(Database[], MATCH(Encounter012[[#This Row],[Character/Creature]], Database[Character/Creature], 0), MATCH(Encounter012[#Headers], Database[#Headers], 0)) + RANDBETWEEN(1,20), "")</f>
        <v>21</v>
      </c>
      <c r="G11" s="173">
        <f>IFERROR(INDEX(Database[], MATCH(Encounter012[[#This Row],[Character/Creature]], Database[Character/Creature], 0), MATCH(Encounter012[#Headers], Database[#Headers], 0)), "")</f>
        <v>10</v>
      </c>
      <c r="H11" s="173">
        <f>IFERROR(INDEX(Database[], MATCH(Encounter012[[#This Row],[Character/Creature]], Database[Character/Creature], 0), MATCH(Encounter012[#Headers], Database[#Headers], 0)), "")</f>
        <v>18</v>
      </c>
      <c r="I11" s="145">
        <f>IFERROR(INDEX(Database[], MATCH(Encounter012[[#This Row],[Character/Creature]], Database[Character/Creature], 0), MATCH(Encounter012[#Headers], Database[#Headers], 0)), "")</f>
        <v>0</v>
      </c>
      <c r="J11" s="190"/>
      <c r="K11" s="119" t="str">
        <f>IFERROR(INDEX(Database[], MATCH(Encounter012[[#This Row],[Character/Creature]], Database[Character/Creature], 0), MATCH(Encounter012[#Headers], Database[#Headers], 0)), "")</f>
        <v xml:space="preserve"> </v>
      </c>
      <c r="L11" s="145">
        <f>IFERROR(INDEX(Database[], MATCH(Encounter012[[#This Row],[Character/Creature]], Database[Character/Creature], 0), MATCH(Encounter012[#Headers], Database[#Headers], 0)), "")</f>
        <v>0</v>
      </c>
      <c r="M11" s="145">
        <f>IFERROR(INDEX(Database[], MATCH(Encounter012[[#This Row],[Character/Creature]], Database[Character/Creature], 0), MATCH(Encounter012[#Headers], Database[#Headers], 0)), "")</f>
        <v>11</v>
      </c>
      <c r="N11" s="189"/>
      <c r="O11" s="145">
        <f>IFERROR(INDEX(Database[], MATCH(Encounter012[[#This Row],[Character/Creature]], Database[Character/Creature], 0), MATCH(Encounter012[#Headers], Database[#Headers], 0)), "")</f>
        <v>0</v>
      </c>
      <c r="P11" s="146">
        <f>IFERROR(Encounter012[[#This Row],[Base HP]]+Encounter012[Temp HP]-Encounter012[[#This Row],[Dmg Taken]], "")</f>
        <v>11</v>
      </c>
      <c r="Q11" s="136">
        <f>IFERROR(INDEX(Database[], MATCH(Encounter012[[#This Row],[Character/Creature]], Database[Character/Creature], 0), MATCH(Encounter012[#Headers], Database[#Headers], 0)), "")</f>
        <v>2</v>
      </c>
      <c r="R11" s="145">
        <f>INDEX(Encounter_Diff[], MATCH(Encounter012[[#This Row],[Lvl]], Encounter_Diff[Player Level], 0), MATCH(Encounter012[#Headers], Encounter_Diff[#Headers], 0))</f>
        <v>50</v>
      </c>
      <c r="S11" s="145">
        <f>INDEX(Encounter_Diff[], MATCH(Encounter012[[#This Row],[Lvl]], Encounter_Diff[Player Level], 0), MATCH(Encounter012[#Headers], Encounter_Diff[#Headers], 0))</f>
        <v>100</v>
      </c>
      <c r="T11" s="145">
        <f>INDEX(Encounter_Diff[], MATCH(Encounter012[[#This Row],[Lvl]], Encounter_Diff[Player Level], 0), MATCH(Encounter012[#Headers], Encounter_Diff[#Headers], 0))</f>
        <v>150</v>
      </c>
      <c r="U11" s="145">
        <f>INDEX(Encounter_Diff[], MATCH(Encounter012[[#This Row],[Lvl]], Encounter_Diff[Player Level], 0), MATCH(Encounter012[#Headers], Encounter_Diff[#Headers], 0))</f>
        <v>200</v>
      </c>
      <c r="V11" s="149">
        <f>IFERROR(INDEX(Database[], MATCH(Encounter012[[#This Row],[Character/Creature]], Database[Character/Creature], 0), MATCH(Encounter012[#Headers], Database[#Headers], 0)), "")</f>
        <v>0.5</v>
      </c>
      <c r="W11" s="157">
        <f>IF(ISBLANK(Encounter012[Party]), INDEX(ChallengeRating[XP], MATCH(Encounter012[CR], ChallengeRating[Challenge Rating], 0)), 0)</f>
        <v>100</v>
      </c>
    </row>
    <row r="12" spans="1:29" ht="21" thickBot="1" x14ac:dyDescent="0.35">
      <c r="B12" s="158">
        <f ca="1">IFERROR(INDEX(Database[], MATCH(Encounter012[[#This Row],[Character/Creature]], Database[Character/Creature], 0), MATCH(Encounter012[#Headers], Database[#Headers], 0)) + RANDBETWEEN(1,20), "")</f>
        <v>10</v>
      </c>
      <c r="C12" s="145"/>
      <c r="D12" s="172" t="s">
        <v>18</v>
      </c>
      <c r="E12" s="145">
        <f>IFERROR(INDEX(Database[], MATCH(Encounter012[[#This Row],[Character/Creature]], Database[Character/Creature], 0), MATCH(Encounter012[#Headers], Database[#Headers], 0)), "")</f>
        <v>0</v>
      </c>
      <c r="F12" s="158">
        <f ca="1">IFERROR(INDEX(Database[], MATCH(Encounter012[[#This Row],[Character/Creature]], Database[Character/Creature], 0), MATCH(Encounter012[#Headers], Database[#Headers], 0)) + RANDBETWEEN(1,20), "")</f>
        <v>6</v>
      </c>
      <c r="G12" s="173">
        <f>IFERROR(INDEX(Database[], MATCH(Encounter012[[#This Row],[Character/Creature]], Database[Character/Creature], 0), MATCH(Encounter012[#Headers], Database[#Headers], 0)), "")</f>
        <v>10</v>
      </c>
      <c r="H12" s="173">
        <f>IFERROR(INDEX(Database[], MATCH(Encounter012[[#This Row],[Character/Creature]], Database[Character/Creature], 0), MATCH(Encounter012[#Headers], Database[#Headers], 0)), "")</f>
        <v>18</v>
      </c>
      <c r="I12" s="145">
        <f>IFERROR(INDEX(Database[], MATCH(Encounter012[[#This Row],[Character/Creature]], Database[Character/Creature], 0), MATCH(Encounter012[#Headers], Database[#Headers], 0)), "")</f>
        <v>0</v>
      </c>
      <c r="J12" s="190"/>
      <c r="K12" s="119" t="str">
        <f>IFERROR(INDEX(Database[], MATCH(Encounter012[[#This Row],[Character/Creature]], Database[Character/Creature], 0), MATCH(Encounter012[#Headers], Database[#Headers], 0)), "")</f>
        <v xml:space="preserve"> </v>
      </c>
      <c r="L12" s="145">
        <f>IFERROR(INDEX(Database[], MATCH(Encounter012[[#This Row],[Character/Creature]], Database[Character/Creature], 0), MATCH(Encounter012[#Headers], Database[#Headers], 0)), "")</f>
        <v>0</v>
      </c>
      <c r="M12" s="145">
        <f>IFERROR(INDEX(Database[], MATCH(Encounter012[[#This Row],[Character/Creature]], Database[Character/Creature], 0), MATCH(Encounter012[#Headers], Database[#Headers], 0)), "")</f>
        <v>11</v>
      </c>
      <c r="N12" s="189"/>
      <c r="O12" s="145">
        <f>IFERROR(INDEX(Database[], MATCH(Encounter012[[#This Row],[Character/Creature]], Database[Character/Creature], 0), MATCH(Encounter012[#Headers], Database[#Headers], 0)), "")</f>
        <v>0</v>
      </c>
      <c r="P12" s="146">
        <f>IFERROR(Encounter012[[#This Row],[Base HP]]+Encounter012[Temp HP]-Encounter012[[#This Row],[Dmg Taken]], "")</f>
        <v>11</v>
      </c>
      <c r="Q12" s="136">
        <f>IFERROR(INDEX(Database[], MATCH(Encounter012[[#This Row],[Character/Creature]], Database[Character/Creature], 0), MATCH(Encounter012[#Headers], Database[#Headers], 0)), "")</f>
        <v>2</v>
      </c>
      <c r="R12" s="145">
        <f>INDEX(Encounter_Diff[], MATCH(Encounter012[[#This Row],[Lvl]], Encounter_Diff[Player Level], 0), MATCH(Encounter012[#Headers], Encounter_Diff[#Headers], 0))</f>
        <v>50</v>
      </c>
      <c r="S12" s="145">
        <f>INDEX(Encounter_Diff[], MATCH(Encounter012[[#This Row],[Lvl]], Encounter_Diff[Player Level], 0), MATCH(Encounter012[#Headers], Encounter_Diff[#Headers], 0))</f>
        <v>100</v>
      </c>
      <c r="T12" s="145">
        <f>INDEX(Encounter_Diff[], MATCH(Encounter012[[#This Row],[Lvl]], Encounter_Diff[Player Level], 0), MATCH(Encounter012[#Headers], Encounter_Diff[#Headers], 0))</f>
        <v>150</v>
      </c>
      <c r="U12" s="145">
        <f>INDEX(Encounter_Diff[], MATCH(Encounter012[[#This Row],[Lvl]], Encounter_Diff[Player Level], 0), MATCH(Encounter012[#Headers], Encounter_Diff[#Headers], 0))</f>
        <v>200</v>
      </c>
      <c r="V12" s="149">
        <f>IFERROR(INDEX(Database[], MATCH(Encounter012[[#This Row],[Character/Creature]], Database[Character/Creature], 0), MATCH(Encounter012[#Headers], Database[#Headers], 0)), "")</f>
        <v>0.5</v>
      </c>
      <c r="W12" s="157">
        <f>IF(ISBLANK(Encounter012[Party]), INDEX(ChallengeRating[XP], MATCH(Encounter012[CR], ChallengeRating[Challenge Rating], 0)), 0)</f>
        <v>100</v>
      </c>
      <c r="Y12" s="238" t="s">
        <v>240</v>
      </c>
      <c r="Z12" s="239"/>
      <c r="AA12" s="240"/>
    </row>
    <row r="13" spans="1:29" ht="30" x14ac:dyDescent="0.3">
      <c r="B13" s="158">
        <f ca="1">IFERROR(INDEX(Database[], MATCH(Encounter012[[#This Row],[Character/Creature]], Database[Character/Creature], 0), MATCH(Encounter012[#Headers], Database[#Headers], 0)) + RANDBETWEEN(1,20), "")</f>
        <v>19</v>
      </c>
      <c r="C13" s="145"/>
      <c r="D13" s="172" t="s">
        <v>18</v>
      </c>
      <c r="E13" s="145">
        <f>IFERROR(INDEX(Database[], MATCH(Encounter012[[#This Row],[Character/Creature]], Database[Character/Creature], 0), MATCH(Encounter012[#Headers], Database[#Headers], 0)), "")</f>
        <v>0</v>
      </c>
      <c r="F13" s="158">
        <f ca="1">IFERROR(INDEX(Database[], MATCH(Encounter012[[#This Row],[Character/Creature]], Database[Character/Creature], 0), MATCH(Encounter012[#Headers], Database[#Headers], 0)) + RANDBETWEEN(1,20), "")</f>
        <v>8</v>
      </c>
      <c r="G13" s="173">
        <f>IFERROR(INDEX(Database[], MATCH(Encounter012[[#This Row],[Character/Creature]], Database[Character/Creature], 0), MATCH(Encounter012[#Headers], Database[#Headers], 0)), "")</f>
        <v>10</v>
      </c>
      <c r="H13" s="173">
        <f>IFERROR(INDEX(Database[], MATCH(Encounter012[[#This Row],[Character/Creature]], Database[Character/Creature], 0), MATCH(Encounter012[#Headers], Database[#Headers], 0)), "")</f>
        <v>18</v>
      </c>
      <c r="I13" s="145">
        <f>IFERROR(INDEX(Database[], MATCH(Encounter012[[#This Row],[Character/Creature]], Database[Character/Creature], 0), MATCH(Encounter012[#Headers], Database[#Headers], 0)), "")</f>
        <v>0</v>
      </c>
      <c r="J13" s="190"/>
      <c r="K13" s="119" t="str">
        <f>IFERROR(INDEX(Database[], MATCH(Encounter012[[#This Row],[Character/Creature]], Database[Character/Creature], 0), MATCH(Encounter012[#Headers], Database[#Headers], 0)), "")</f>
        <v xml:space="preserve"> </v>
      </c>
      <c r="L13" s="145">
        <f>IFERROR(INDEX(Database[], MATCH(Encounter012[[#This Row],[Character/Creature]], Database[Character/Creature], 0), MATCH(Encounter012[#Headers], Database[#Headers], 0)), "")</f>
        <v>0</v>
      </c>
      <c r="M13" s="145">
        <f>IFERROR(INDEX(Database[], MATCH(Encounter012[[#This Row],[Character/Creature]], Database[Character/Creature], 0), MATCH(Encounter012[#Headers], Database[#Headers], 0)), "")</f>
        <v>11</v>
      </c>
      <c r="N13" s="189"/>
      <c r="O13" s="145">
        <f>IFERROR(INDEX(Database[], MATCH(Encounter012[[#This Row],[Character/Creature]], Database[Character/Creature], 0), MATCH(Encounter012[#Headers], Database[#Headers], 0)), "")</f>
        <v>0</v>
      </c>
      <c r="P13" s="146">
        <f>IFERROR(Encounter012[[#This Row],[Base HP]]+Encounter012[Temp HP]-Encounter012[[#This Row],[Dmg Taken]], "")</f>
        <v>11</v>
      </c>
      <c r="Q13" s="136">
        <f>IFERROR(INDEX(Database[], MATCH(Encounter012[[#This Row],[Character/Creature]], Database[Character/Creature], 0), MATCH(Encounter012[#Headers], Database[#Headers], 0)), "")</f>
        <v>2</v>
      </c>
      <c r="R13" s="145">
        <f>INDEX(Encounter_Diff[], MATCH(Encounter012[[#This Row],[Lvl]], Encounter_Diff[Player Level], 0), MATCH(Encounter012[#Headers], Encounter_Diff[#Headers], 0))</f>
        <v>50</v>
      </c>
      <c r="S13" s="145">
        <f>INDEX(Encounter_Diff[], MATCH(Encounter012[[#This Row],[Lvl]], Encounter_Diff[Player Level], 0), MATCH(Encounter012[#Headers], Encounter_Diff[#Headers], 0))</f>
        <v>100</v>
      </c>
      <c r="T13" s="145">
        <f>INDEX(Encounter_Diff[], MATCH(Encounter012[[#This Row],[Lvl]], Encounter_Diff[Player Level], 0), MATCH(Encounter012[#Headers], Encounter_Diff[#Headers], 0))</f>
        <v>150</v>
      </c>
      <c r="U13" s="145">
        <f>INDEX(Encounter_Diff[], MATCH(Encounter012[[#This Row],[Lvl]], Encounter_Diff[Player Level], 0), MATCH(Encounter012[#Headers], Encounter_Diff[#Headers], 0))</f>
        <v>200</v>
      </c>
      <c r="V13" s="149">
        <f>IFERROR(INDEX(Database[], MATCH(Encounter012[[#This Row],[Character/Creature]], Database[Character/Creature], 0), MATCH(Encounter012[#Headers], Database[#Headers], 0)), "")</f>
        <v>0.5</v>
      </c>
      <c r="W13" s="157">
        <f>IF(ISBLANK(Encounter012[Party]), INDEX(ChallengeRating[XP], MATCH(Encounter012[CR], ChallengeRating[Challenge Rating], 0)), 0)</f>
        <v>100</v>
      </c>
      <c r="Y13" s="235" t="s">
        <v>235</v>
      </c>
      <c r="Z13" s="101" t="s">
        <v>242</v>
      </c>
      <c r="AA13" s="153">
        <f t="array" ref="AA13">AVERAGE(IF(ISBLANK(Encounter012[Party]), Encounter012[Pass Perc]))</f>
        <v>10</v>
      </c>
    </row>
    <row r="14" spans="1:29" ht="30" x14ac:dyDescent="0.3">
      <c r="Y14" s="236"/>
      <c r="Z14" s="114" t="s">
        <v>243</v>
      </c>
      <c r="AA14" s="153"/>
    </row>
    <row r="15" spans="1:29" ht="21" thickBot="1" x14ac:dyDescent="0.35">
      <c r="Y15" s="237"/>
      <c r="Z15" s="122" t="s">
        <v>235</v>
      </c>
      <c r="AA15" s="154">
        <f t="array" aca="1" ref="AA15" ca="1">AVERAGE(IF(NOT(ISBLANK(Encounter012[Party])), Encounter012[Stealth]))</f>
        <v>8.5</v>
      </c>
    </row>
    <row r="16" spans="1:29" x14ac:dyDescent="0.3">
      <c r="Y16" s="235" t="s">
        <v>239</v>
      </c>
      <c r="Z16" s="120" t="s">
        <v>239</v>
      </c>
      <c r="AA16" s="155">
        <f t="array" aca="1" ref="AA16" ca="1">AVERAGE(IF(ISBLANK(Encounter012[Party]), Encounter012[Stealth]))</f>
        <v>15.2</v>
      </c>
    </row>
    <row r="17" spans="25:27" ht="30" x14ac:dyDescent="0.3">
      <c r="Y17" s="236"/>
      <c r="Z17" s="123" t="s">
        <v>237</v>
      </c>
      <c r="AA17" s="151">
        <f t="array" ref="AA17">AVERAGE(IF(NOT(ISBLANK(Encounter012[Party])), Encounter012[Pass Perc]))</f>
        <v>0</v>
      </c>
    </row>
    <row r="18" spans="25:27" ht="30.75" thickBot="1" x14ac:dyDescent="0.35">
      <c r="Y18" s="237"/>
      <c r="Z18" s="124" t="s">
        <v>238</v>
      </c>
      <c r="AA18" s="152"/>
    </row>
    <row r="19" spans="25:27" x14ac:dyDescent="0.3">
      <c r="Y19" s="235" t="s">
        <v>241</v>
      </c>
      <c r="Z19" s="121" t="s">
        <v>111</v>
      </c>
      <c r="AA19" s="155"/>
    </row>
    <row r="20" spans="25:27" ht="21" thickBot="1" x14ac:dyDescent="0.35">
      <c r="Y20" s="237"/>
      <c r="Z20" s="125" t="s">
        <v>236</v>
      </c>
      <c r="AA20" s="156"/>
    </row>
  </sheetData>
  <mergeCells count="17">
    <mergeCell ref="Z10:AA10"/>
    <mergeCell ref="Y12:AA12"/>
    <mergeCell ref="Y13:Y15"/>
    <mergeCell ref="Y16:Y18"/>
    <mergeCell ref="Y19:Y20"/>
    <mergeCell ref="Y3:AA3"/>
    <mergeCell ref="AB3:AC3"/>
    <mergeCell ref="Z4:AA4"/>
    <mergeCell ref="Y5:Y6"/>
    <mergeCell ref="Y7:Y8"/>
    <mergeCell ref="Z9:AA9"/>
    <mergeCell ref="B2:P2"/>
    <mergeCell ref="Q2:V2"/>
    <mergeCell ref="B3:E3"/>
    <mergeCell ref="F3:K3"/>
    <mergeCell ref="L3:P3"/>
    <mergeCell ref="Q3:W3"/>
  </mergeCells>
  <conditionalFormatting sqref="Q2 W2">
    <cfRule type="expression" dxfId="113" priority="1">
      <formula>$W$2&gt;0</formula>
    </cfRule>
  </conditionalFormatting>
  <conditionalFormatting sqref="K5:M13 O5:W13 B5:I13">
    <cfRule type="expression" dxfId="112" priority="2">
      <formula>ROUND($P5,0)&lt;1</formula>
    </cfRule>
    <cfRule type="expression" dxfId="111" priority="3">
      <formula>AND( NOT( OR( ISBLANK(#REF!), #REF!="")), NOT( OR( ISBLANK($D5), $D5="", $D5 = 0)))</formula>
    </cfRule>
    <cfRule type="expression" dxfId="110" priority="4">
      <formula>$E5="NPC"</formula>
    </cfRule>
    <cfRule type="expression" dxfId="109" priority="5">
      <formula>AND( NOT( OR( ISBLANK($C5), $C5="")), NOT( OR( ISBLANK($D5), $D5="", $D5 = 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encStart">
              <controlPr defaultSize="0" print="0" autoFill="0" autoPict="0" macro="[0]!encounterStart">
                <anchor moveWithCells="1" sizeWithCells="1">
                  <from>
                    <xdr:col>1</xdr:col>
                    <xdr:colOff>95250</xdr:colOff>
                    <xdr:row>1</xdr:row>
                    <xdr:rowOff>76200</xdr:rowOff>
                  </from>
                  <to>
                    <xdr:col>2</xdr:col>
                    <xdr:colOff>228600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encClear">
              <controlPr defaultSize="0" print="0" autoFill="0" autoPict="0" macro="[0]!encounterClear">
                <anchor moveWithCells="1" sizeWithCells="1">
                  <from>
                    <xdr:col>3</xdr:col>
                    <xdr:colOff>466725</xdr:colOff>
                    <xdr:row>1</xdr:row>
                    <xdr:rowOff>76200</xdr:rowOff>
                  </from>
                  <to>
                    <xdr:col>3</xdr:col>
                    <xdr:colOff>1104900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encSave">
              <controlPr defaultSize="0" print="0" autoFill="0" autoPict="0" macro="[0]!dataSaveAll">
                <anchor moveWithCells="1" sizeWithCells="1">
                  <from>
                    <xdr:col>13</xdr:col>
                    <xdr:colOff>295275</xdr:colOff>
                    <xdr:row>1</xdr:row>
                    <xdr:rowOff>76200</xdr:rowOff>
                  </from>
                  <to>
                    <xdr:col>14</xdr:col>
                    <xdr:colOff>447675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encNew">
              <controlPr defaultSize="0" print="0" autoFill="0" autoPict="0" macro="[0]!encounterNew">
                <anchor moveWithCells="1" sizeWithCells="1">
                  <from>
                    <xdr:col>12</xdr:col>
                    <xdr:colOff>209550</xdr:colOff>
                    <xdr:row>1</xdr:row>
                    <xdr:rowOff>76200</xdr:rowOff>
                  </from>
                  <to>
                    <xdr:col>13</xdr:col>
                    <xdr:colOff>247650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encEnd">
              <controlPr defaultSize="0" print="0" autoFill="0" autoPict="0" macro="[0]!encounterEnd">
                <anchor moveWithCells="1" sizeWithCells="1">
                  <from>
                    <xdr:col>14</xdr:col>
                    <xdr:colOff>495300</xdr:colOff>
                    <xdr:row>1</xdr:row>
                    <xdr:rowOff>76200</xdr:rowOff>
                  </from>
                  <to>
                    <xdr:col>15</xdr:col>
                    <xdr:colOff>533400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encReload">
              <controlPr defaultSize="0" print="0" autoFill="0" autoPict="0" macro="[0]!encounterReloadAll">
                <anchor moveWithCells="1" sizeWithCells="1">
                  <from>
                    <xdr:col>2</xdr:col>
                    <xdr:colOff>266700</xdr:colOff>
                    <xdr:row>1</xdr:row>
                    <xdr:rowOff>76200</xdr:rowOff>
                  </from>
                  <to>
                    <xdr:col>3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874063-F86B-4A8E-9A95-E934CFAA40C1}">
          <x14:formula1>
            <xm:f>Database!$E$4:$E$171</xm:f>
          </x14:formula1>
          <xm:sqref>D5:D13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67F95-78DC-40C1-B682-DA766FFDCE46}">
  <sheetPr codeName="Sheet9"/>
  <dimension ref="A1:AC20"/>
  <sheetViews>
    <sheetView zoomScaleNormal="100" workbookViewId="0">
      <selection activeCell="D10" sqref="D10"/>
    </sheetView>
  </sheetViews>
  <sheetFormatPr defaultColWidth="11" defaultRowHeight="20.25" x14ac:dyDescent="0.3"/>
  <cols>
    <col min="1" max="1" width="4.77734375" style="2" customWidth="1"/>
    <col min="2" max="2" width="5.88671875" style="10" customWidth="1"/>
    <col min="3" max="3" width="5.6640625" style="10" customWidth="1"/>
    <col min="4" max="4" width="20.88671875" style="10" customWidth="1"/>
    <col min="5" max="5" width="14.77734375" style="10" customWidth="1"/>
    <col min="6" max="9" width="7" style="10" customWidth="1"/>
    <col min="10" max="10" width="7.109375" style="10" customWidth="1"/>
    <col min="11" max="11" width="23.5546875" style="10" customWidth="1"/>
    <col min="12" max="12" width="7.21875" style="22" customWidth="1"/>
    <col min="13" max="13" width="7.21875" style="10" customWidth="1"/>
    <col min="14" max="14" width="6.109375" style="10" customWidth="1"/>
    <col min="15" max="15" width="7.21875" style="22" customWidth="1"/>
    <col min="16" max="16" width="7.21875" style="10" customWidth="1"/>
    <col min="17" max="17" width="4.33203125" style="10" customWidth="1"/>
    <col min="18" max="21" width="4.33203125" style="10" hidden="1" customWidth="1"/>
    <col min="22" max="22" width="4.33203125" style="10" customWidth="1"/>
    <col min="23" max="23" width="6.5546875" style="10" customWidth="1"/>
    <col min="24" max="24" width="4.44140625" style="10" customWidth="1"/>
    <col min="25" max="25" width="10.21875" style="10" customWidth="1"/>
    <col min="26" max="26" width="12.33203125" style="10" customWidth="1"/>
    <col min="27" max="27" width="7.109375" style="10" customWidth="1"/>
    <col min="28" max="28" width="14.77734375" style="10" customWidth="1"/>
    <col min="29" max="29" width="11.77734375" style="10" customWidth="1"/>
    <col min="30" max="16384" width="11" style="10"/>
  </cols>
  <sheetData>
    <row r="1" spans="1:29" ht="21" thickBot="1" x14ac:dyDescent="0.35">
      <c r="B1" s="9"/>
      <c r="C1" s="9"/>
      <c r="D1" s="9"/>
      <c r="E1" s="9"/>
      <c r="R1" s="9"/>
      <c r="S1" s="9"/>
      <c r="T1" s="9"/>
      <c r="U1" s="9"/>
      <c r="V1" s="9"/>
      <c r="W1" s="9"/>
    </row>
    <row r="2" spans="1:29" s="2" customFormat="1" ht="32.25" thickBot="1" x14ac:dyDescent="0.35">
      <c r="A2" s="3"/>
      <c r="B2" s="203" t="s">
        <v>244</v>
      </c>
      <c r="C2" s="204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6"/>
      <c r="Q2" s="248" t="s">
        <v>234</v>
      </c>
      <c r="R2" s="249"/>
      <c r="S2" s="249"/>
      <c r="T2" s="249"/>
      <c r="U2" s="249"/>
      <c r="V2" s="249"/>
      <c r="W2" s="191">
        <v>0</v>
      </c>
    </row>
    <row r="3" spans="1:29" s="4" customFormat="1" ht="21" customHeight="1" thickBot="1" x14ac:dyDescent="0.35">
      <c r="B3" s="209" t="s">
        <v>252</v>
      </c>
      <c r="C3" s="210"/>
      <c r="D3" s="210"/>
      <c r="E3" s="211"/>
      <c r="F3" s="212" t="s">
        <v>7</v>
      </c>
      <c r="G3" s="210"/>
      <c r="H3" s="210"/>
      <c r="I3" s="210"/>
      <c r="J3" s="210"/>
      <c r="K3" s="211"/>
      <c r="L3" s="212" t="s">
        <v>8</v>
      </c>
      <c r="M3" s="210"/>
      <c r="N3" s="210"/>
      <c r="O3" s="210"/>
      <c r="P3" s="211"/>
      <c r="Q3" s="212" t="s">
        <v>20</v>
      </c>
      <c r="R3" s="210"/>
      <c r="S3" s="210"/>
      <c r="T3" s="210"/>
      <c r="U3" s="210"/>
      <c r="V3" s="210"/>
      <c r="W3" s="213"/>
      <c r="Y3" s="238" t="s">
        <v>39</v>
      </c>
      <c r="Z3" s="239"/>
      <c r="AA3" s="240"/>
      <c r="AB3" s="238" t="s">
        <v>41</v>
      </c>
      <c r="AC3" s="240"/>
    </row>
    <row r="4" spans="1:29" s="8" customFormat="1" ht="31.5" x14ac:dyDescent="0.2">
      <c r="B4" s="197" t="s">
        <v>245</v>
      </c>
      <c r="C4" s="194" t="s">
        <v>236</v>
      </c>
      <c r="D4" s="194" t="s">
        <v>260</v>
      </c>
      <c r="E4" s="196" t="s">
        <v>5</v>
      </c>
      <c r="F4" s="197" t="s">
        <v>2</v>
      </c>
      <c r="G4" s="197" t="s">
        <v>246</v>
      </c>
      <c r="H4" s="197" t="s">
        <v>247</v>
      </c>
      <c r="I4" s="197" t="s">
        <v>83</v>
      </c>
      <c r="J4" s="188" t="s">
        <v>378</v>
      </c>
      <c r="K4" s="196" t="s">
        <v>255</v>
      </c>
      <c r="L4" s="197" t="s">
        <v>56</v>
      </c>
      <c r="M4" s="197" t="s">
        <v>266</v>
      </c>
      <c r="N4" s="187" t="s">
        <v>379</v>
      </c>
      <c r="O4" s="21" t="s">
        <v>259</v>
      </c>
      <c r="P4" s="198" t="s">
        <v>251</v>
      </c>
      <c r="Q4" s="8" t="s">
        <v>258</v>
      </c>
      <c r="R4" s="186" t="s">
        <v>36</v>
      </c>
      <c r="S4" s="186" t="s">
        <v>37</v>
      </c>
      <c r="T4" s="186" t="s">
        <v>38</v>
      </c>
      <c r="U4" s="186" t="s">
        <v>40</v>
      </c>
      <c r="V4" s="8" t="s">
        <v>248</v>
      </c>
      <c r="W4" s="195" t="s">
        <v>19</v>
      </c>
      <c r="Y4" s="199" t="s">
        <v>35</v>
      </c>
      <c r="Z4" s="241" t="str">
        <f>IF(encCalc&lt;encEasy,"Trivial",LOOKUP(encCalc,AC5:AC8,AB5:AB8))</f>
        <v>Hard</v>
      </c>
      <c r="AA4" s="242"/>
      <c r="AB4" s="199" t="s">
        <v>42</v>
      </c>
      <c r="AC4" s="201">
        <f>encTotalXP* INDEX(Encounter_Mod[], MATCH(encMobSize, Encounter_Mod[Type], 0), MATCH(encPartySize, Encounter_Mod[#Headers], 0))</f>
        <v>1350</v>
      </c>
    </row>
    <row r="5" spans="1:29" x14ac:dyDescent="0.2">
      <c r="A5" s="150"/>
      <c r="B5" s="158">
        <f ca="1">IFERROR(INDEX(Database[], MATCH(Encounter013[[#This Row],[Character/Creature]], Database[Character/Creature], 0), MATCH(Encounter013[#Headers], Database[#Headers], 0)) + RANDBETWEEN(1,20), "")</f>
        <v>2</v>
      </c>
      <c r="C5" s="145" t="s">
        <v>253</v>
      </c>
      <c r="D5" s="172" t="s">
        <v>455</v>
      </c>
      <c r="E5" s="145" t="str">
        <f>IFERROR(INDEX(Database[], MATCH(Encounter013[[#This Row],[Character/Creature]], Database[Character/Creature], 0), MATCH(Encounter013[#Headers], Database[#Headers], 0)), "")</f>
        <v>(empty)</v>
      </c>
      <c r="F5" s="158">
        <f ca="1">IFERROR(INDEX(Database[], MATCH(Encounter013[[#This Row],[Character/Creature]], Database[Character/Creature], 0), MATCH(Encounter013[#Headers], Database[#Headers], 0)) + RANDBETWEEN(1,20), "")</f>
        <v>11</v>
      </c>
      <c r="G5" s="173">
        <f>IFERROR(INDEX(Database[], MATCH(Encounter013[[#This Row],[Character/Creature]], Database[Character/Creature], 0), MATCH(Encounter013[#Headers], Database[#Headers], 0)), "")</f>
        <v>0</v>
      </c>
      <c r="H5" s="173">
        <f>IFERROR(INDEX(Database[], MATCH(Encounter013[[#This Row],[Character/Creature]], Database[Character/Creature], 0), MATCH(Encounter013[#Headers], Database[#Headers], 0)), "")</f>
        <v>0</v>
      </c>
      <c r="I5" s="145">
        <f>IFERROR(INDEX(Database[], MATCH(Encounter013[[#This Row],[Character/Creature]], Database[Character/Creature], 0), MATCH(Encounter013[#Headers], Database[#Headers], 0)), "")</f>
        <v>0</v>
      </c>
      <c r="J5" s="190"/>
      <c r="K5" s="171">
        <f>IFERROR(INDEX(Database[], MATCH(Encounter013[[#This Row],[Character/Creature]], Database[Character/Creature], 0), MATCH(Encounter013[#Headers], Database[#Headers], 0)), "")</f>
        <v>0</v>
      </c>
      <c r="L5" s="136">
        <f>IFERROR(INDEX(Database[], MATCH(Encounter013[[#This Row],[Character/Creature]], Database[Character/Creature], 0), MATCH(Encounter013[#Headers], Database[#Headers], 0)), "")</f>
        <v>0</v>
      </c>
      <c r="M5" s="145">
        <f>IFERROR(INDEX(Database[], MATCH(Encounter013[[#This Row],[Character/Creature]], Database[Character/Creature], 0), MATCH(Encounter013[#Headers], Database[#Headers], 0)), "")</f>
        <v>1</v>
      </c>
      <c r="N5" s="189"/>
      <c r="O5" s="145">
        <f>IFERROR(INDEX(Database[], MATCH(Encounter013[[#This Row],[Character/Creature]], Database[Character/Creature], 0), MATCH(Encounter013[#Headers], Database[#Headers], 0)), "")</f>
        <v>0</v>
      </c>
      <c r="P5" s="146">
        <f>IFERROR(Encounter013[[#This Row],[Base HP]]+Encounter013[Temp HP]-Encounter013[[#This Row],[Dmg Taken]], "")</f>
        <v>1</v>
      </c>
      <c r="Q5" s="136">
        <f>IFERROR(INDEX(Database[], MATCH(Encounter013[[#This Row],[Character/Creature]], Database[Character/Creature], 0), MATCH(Encounter013[#Headers], Database[#Headers], 0)), "")</f>
        <v>3</v>
      </c>
      <c r="R5" s="145">
        <f>INDEX(Encounter_Diff[], MATCH(Encounter013[[#This Row],[Lvl]], Encounter_Diff[Player Level], 0), MATCH(Encounter013[#Headers], Encounter_Diff[#Headers], 0))</f>
        <v>75</v>
      </c>
      <c r="S5" s="145">
        <f>INDEX(Encounter_Diff[], MATCH(Encounter013[[#This Row],[Lvl]], Encounter_Diff[Player Level], 0), MATCH(Encounter013[#Headers], Encounter_Diff[#Headers], 0))</f>
        <v>150</v>
      </c>
      <c r="T5" s="145">
        <f>INDEX(Encounter_Diff[], MATCH(Encounter013[[#This Row],[Lvl]], Encounter_Diff[Player Level], 0), MATCH(Encounter013[#Headers], Encounter_Diff[#Headers], 0))</f>
        <v>225</v>
      </c>
      <c r="U5" s="145">
        <f>INDEX(Encounter_Diff[], MATCH(Encounter013[[#This Row],[Lvl]], Encounter_Diff[Player Level], 0), MATCH(Encounter013[#Headers], Encounter_Diff[#Headers], 0))</f>
        <v>400</v>
      </c>
      <c r="V5" s="149">
        <f>IFERROR(INDEX(Database[], MATCH(Encounter013[[#This Row],[Character/Creature]], Database[Character/Creature], 0), MATCH(Encounter013[#Headers], Database[#Headers], 0)), "")</f>
        <v>0.5</v>
      </c>
      <c r="W5" s="157">
        <f>IF(ISBLANK(Encounter013[Party]), INDEX(ChallengeRating[XP], MATCH(Encounter013[CR], ChallengeRating[Challenge Rating], 0)), 0)</f>
        <v>0</v>
      </c>
      <c r="Y5" s="247" t="s">
        <v>120</v>
      </c>
      <c r="Z5" s="100" t="str">
        <f>IF(encMobCount=0,"None", IF(encMobCount=1,"Single", IF(encMobCount=2,"Pair", IF(encMobCount&lt;=6,"Group", IF(encMobCount&lt;=10,"Gang", IF(encMobCount&lt;=14,"Mob", "Horde"))))))</f>
        <v>Pair</v>
      </c>
      <c r="AA5" s="1">
        <f>COUNTBLANK(Encounter013[Party])-encMobCountMod</f>
        <v>2</v>
      </c>
      <c r="AB5" s="15" t="s">
        <v>36</v>
      </c>
      <c r="AC5" s="201">
        <f t="array" ref="AC5">SUM(IF(NOT(ISBLANK(Encounter013[Party])), Encounter013[Easy]))</f>
        <v>300</v>
      </c>
    </row>
    <row r="6" spans="1:29" x14ac:dyDescent="0.2">
      <c r="A6" s="150"/>
      <c r="B6" s="158">
        <f ca="1">IFERROR(INDEX(Database[], MATCH(Encounter013[[#This Row],[Character/Creature]], Database[Character/Creature], 0), MATCH(Encounter013[#Headers], Database[#Headers], 0)) + RANDBETWEEN(1,20), "")</f>
        <v>18</v>
      </c>
      <c r="C6" s="145" t="s">
        <v>253</v>
      </c>
      <c r="D6" s="172" t="s">
        <v>455</v>
      </c>
      <c r="E6" s="145" t="str">
        <f>IFERROR(INDEX(Database[], MATCH(Encounter013[[#This Row],[Character/Creature]], Database[Character/Creature], 0), MATCH(Encounter013[#Headers], Database[#Headers], 0)), "")</f>
        <v>(empty)</v>
      </c>
      <c r="F6" s="158">
        <f ca="1">IFERROR(INDEX(Database[], MATCH(Encounter013[[#This Row],[Character/Creature]], Database[Character/Creature], 0), MATCH(Encounter013[#Headers], Database[#Headers], 0)) + RANDBETWEEN(1,20), "")</f>
        <v>12</v>
      </c>
      <c r="G6" s="173">
        <f>IFERROR(INDEX(Database[], MATCH(Encounter013[[#This Row],[Character/Creature]], Database[Character/Creature], 0), MATCH(Encounter013[#Headers], Database[#Headers], 0)), "")</f>
        <v>0</v>
      </c>
      <c r="H6" s="173">
        <f>IFERROR(INDEX(Database[], MATCH(Encounter013[[#This Row],[Character/Creature]], Database[Character/Creature], 0), MATCH(Encounter013[#Headers], Database[#Headers], 0)), "")</f>
        <v>0</v>
      </c>
      <c r="I6" s="145">
        <f>IFERROR(INDEX(Database[], MATCH(Encounter013[[#This Row],[Character/Creature]], Database[Character/Creature], 0), MATCH(Encounter013[#Headers], Database[#Headers], 0)), "")</f>
        <v>0</v>
      </c>
      <c r="J6" s="190"/>
      <c r="K6" s="119">
        <f>IFERROR(INDEX(Database[], MATCH(Encounter013[[#This Row],[Character/Creature]], Database[Character/Creature], 0), MATCH(Encounter013[#Headers], Database[#Headers], 0)), "")</f>
        <v>0</v>
      </c>
      <c r="L6" s="145">
        <v>0</v>
      </c>
      <c r="M6" s="145">
        <f>IFERROR(INDEX(Database[], MATCH(Encounter013[[#This Row],[Character/Creature]], Database[Character/Creature], 0), MATCH(Encounter013[#Headers], Database[#Headers], 0)), "")</f>
        <v>1</v>
      </c>
      <c r="N6" s="189"/>
      <c r="O6" s="145">
        <v>0</v>
      </c>
      <c r="P6" s="146">
        <f>IFERROR(Encounter013[[#This Row],[Base HP]]+Encounter013[Temp HP]-Encounter013[[#This Row],[Dmg Taken]], "")</f>
        <v>1</v>
      </c>
      <c r="Q6" s="136">
        <f>IFERROR(INDEX(Database[], MATCH(Encounter013[[#This Row],[Character/Creature]], Database[Character/Creature], 0), MATCH(Encounter013[#Headers], Database[#Headers], 0)), "")</f>
        <v>3</v>
      </c>
      <c r="R6" s="145">
        <f>INDEX(Encounter_Diff[], MATCH(Encounter013[[#This Row],[Lvl]], Encounter_Diff[Player Level], 0), MATCH(Encounter013[#Headers], Encounter_Diff[#Headers], 0))</f>
        <v>75</v>
      </c>
      <c r="S6" s="145">
        <f>INDEX(Encounter_Diff[], MATCH(Encounter013[[#This Row],[Lvl]], Encounter_Diff[Player Level], 0), MATCH(Encounter013[#Headers], Encounter_Diff[#Headers], 0))</f>
        <v>150</v>
      </c>
      <c r="T6" s="145">
        <f>INDEX(Encounter_Diff[], MATCH(Encounter013[[#This Row],[Lvl]], Encounter_Diff[Player Level], 0), MATCH(Encounter013[#Headers], Encounter_Diff[#Headers], 0))</f>
        <v>225</v>
      </c>
      <c r="U6" s="145">
        <f>INDEX(Encounter_Diff[], MATCH(Encounter013[[#This Row],[Lvl]], Encounter_Diff[Player Level], 0), MATCH(Encounter013[#Headers], Encounter_Diff[#Headers], 0))</f>
        <v>400</v>
      </c>
      <c r="V6" s="149">
        <f>IFERROR(INDEX(Database[], MATCH(Encounter013[[#This Row],[Character/Creature]], Database[Character/Creature], 0), MATCH(Encounter013[#Headers], Database[#Headers], 0)), "")</f>
        <v>0.5</v>
      </c>
      <c r="W6" s="157">
        <f>IF(ISBLANK(Encounter013[Party]), INDEX(ChallengeRating[XP], MATCH(Encounter013[CR], ChallengeRating[Challenge Rating], 0)), 0)</f>
        <v>0</v>
      </c>
      <c r="Y6" s="247"/>
      <c r="Z6" s="100" t="s">
        <v>348</v>
      </c>
      <c r="AA6" s="1">
        <v>0</v>
      </c>
      <c r="AB6" s="15" t="s">
        <v>37</v>
      </c>
      <c r="AC6" s="250">
        <f t="array" ref="AC6">SUM(IF(NOT(ISBLANK(Encounter013[Party])), Encounter013[Medium]))</f>
        <v>600</v>
      </c>
    </row>
    <row r="7" spans="1:29" x14ac:dyDescent="0.3">
      <c r="B7" s="158">
        <f ca="1">IFERROR(INDEX(Database[], MATCH(Encounter013[[#This Row],[Character/Creature]], Database[Character/Creature], 0), MATCH(Encounter013[#Headers], Database[#Headers], 0)) + RANDBETWEEN(1,20), "")</f>
        <v>12</v>
      </c>
      <c r="C7" s="145" t="s">
        <v>253</v>
      </c>
      <c r="D7" s="172" t="s">
        <v>455</v>
      </c>
      <c r="E7" s="145" t="str">
        <f>IFERROR(INDEX(Database[], MATCH(Encounter013[[#This Row],[Character/Creature]], Database[Character/Creature], 0), MATCH(Encounter013[#Headers], Database[#Headers], 0)), "")</f>
        <v>(empty)</v>
      </c>
      <c r="F7" s="158">
        <f ca="1">IFERROR(INDEX(Database[], MATCH(Encounter013[[#This Row],[Character/Creature]], Database[Character/Creature], 0), MATCH(Encounter013[#Headers], Database[#Headers], 0)) + RANDBETWEEN(1,20), "")</f>
        <v>6</v>
      </c>
      <c r="G7" s="173">
        <f>IFERROR(INDEX(Database[], MATCH(Encounter013[[#This Row],[Character/Creature]], Database[Character/Creature], 0), MATCH(Encounter013[#Headers], Database[#Headers], 0)), "")</f>
        <v>0</v>
      </c>
      <c r="H7" s="173">
        <f>IFERROR(INDEX(Database[], MATCH(Encounter013[[#This Row],[Character/Creature]], Database[Character/Creature], 0), MATCH(Encounter013[#Headers], Database[#Headers], 0)), "")</f>
        <v>0</v>
      </c>
      <c r="I7" s="145">
        <f>IFERROR(INDEX(Database[], MATCH(Encounter013[[#This Row],[Character/Creature]], Database[Character/Creature], 0), MATCH(Encounter013[#Headers], Database[#Headers], 0)), "")</f>
        <v>0</v>
      </c>
      <c r="J7" s="190"/>
      <c r="K7" s="119">
        <f>IFERROR(INDEX(Database[], MATCH(Encounter013[[#This Row],[Character/Creature]], Database[Character/Creature], 0), MATCH(Encounter013[#Headers], Database[#Headers], 0)), "")</f>
        <v>0</v>
      </c>
      <c r="L7" s="141">
        <v>0</v>
      </c>
      <c r="M7" s="145">
        <f>IFERROR(INDEX(Database[], MATCH(Encounter013[[#This Row],[Character/Creature]], Database[Character/Creature], 0), MATCH(Encounter013[#Headers], Database[#Headers], 0)), "")</f>
        <v>1</v>
      </c>
      <c r="N7" s="189"/>
      <c r="O7" s="145">
        <v>0</v>
      </c>
      <c r="P7" s="146">
        <f>IFERROR(Encounter013[[#This Row],[Base HP]]+Encounter013[Temp HP]-Encounter013[[#This Row],[Dmg Taken]], "")</f>
        <v>1</v>
      </c>
      <c r="Q7" s="136">
        <f>IFERROR(INDEX(Database[], MATCH(Encounter013[[#This Row],[Character/Creature]], Database[Character/Creature], 0), MATCH(Encounter013[#Headers], Database[#Headers], 0)), "")</f>
        <v>3</v>
      </c>
      <c r="R7" s="145">
        <f>INDEX(Encounter_Diff[], MATCH(Encounter013[[#This Row],[Lvl]], Encounter_Diff[Player Level], 0), MATCH(Encounter013[#Headers], Encounter_Diff[#Headers], 0))</f>
        <v>75</v>
      </c>
      <c r="S7" s="145">
        <f>INDEX(Encounter_Diff[], MATCH(Encounter013[[#This Row],[Lvl]], Encounter_Diff[Player Level], 0), MATCH(Encounter013[#Headers], Encounter_Diff[#Headers], 0))</f>
        <v>150</v>
      </c>
      <c r="T7" s="145">
        <f>INDEX(Encounter_Diff[], MATCH(Encounter013[[#This Row],[Lvl]], Encounter_Diff[Player Level], 0), MATCH(Encounter013[#Headers], Encounter_Diff[#Headers], 0))</f>
        <v>225</v>
      </c>
      <c r="U7" s="145">
        <f>INDEX(Encounter_Diff[], MATCH(Encounter013[[#This Row],[Lvl]], Encounter_Diff[Player Level], 0), MATCH(Encounter013[#Headers], Encounter_Diff[#Headers], 0))</f>
        <v>400</v>
      </c>
      <c r="V7" s="149">
        <f>IFERROR(INDEX(Database[], MATCH(Encounter013[[#This Row],[Character/Creature]], Database[Character/Creature], 0), MATCH(Encounter013[#Headers], Database[#Headers], 0)), "")</f>
        <v>0.5</v>
      </c>
      <c r="W7" s="157">
        <f>IF(ISBLANK(Encounter013[Party]), INDEX(ChallengeRating[XP], MATCH(Encounter013[CR], ChallengeRating[Challenge Rating], 0)), 0)</f>
        <v>0</v>
      </c>
      <c r="Y7" s="247" t="s">
        <v>119</v>
      </c>
      <c r="Z7" s="100" t="str">
        <f>IF(encPartyCount&lt;=2,"Small", IF(encPartyCount&lt;=5,"Med", IF(encPartyCount&lt;=8, "Large", "TOO BIG!")))</f>
        <v>Med</v>
      </c>
      <c r="AA7" s="1">
        <f>COUNTA(Encounter013[Party])+encPartyCountMod</f>
        <v>4</v>
      </c>
      <c r="AB7" s="15" t="s">
        <v>38</v>
      </c>
      <c r="AC7" s="251">
        <f t="array" ref="AC7">SUM(IF(NOT(ISBLANK(Encounter013[Party])), Encounter013[Hard]))</f>
        <v>900</v>
      </c>
    </row>
    <row r="8" spans="1:29" ht="21" thickBot="1" x14ac:dyDescent="0.35">
      <c r="B8" s="158">
        <f ca="1">IFERROR(INDEX(Database[], MATCH(Encounter013[[#This Row],[Character/Creature]], Database[Character/Creature], 0), MATCH(Encounter013[#Headers], Database[#Headers], 0)) + RANDBETWEEN(1,20), "")</f>
        <v>12</v>
      </c>
      <c r="C8" s="145" t="s">
        <v>253</v>
      </c>
      <c r="D8" s="172" t="s">
        <v>455</v>
      </c>
      <c r="E8" s="145" t="str">
        <f>IFERROR(INDEX(Database[], MATCH(Encounter013[[#This Row],[Character/Creature]], Database[Character/Creature], 0), MATCH(Encounter013[#Headers], Database[#Headers], 0)), "")</f>
        <v>(empty)</v>
      </c>
      <c r="F8" s="158">
        <f ca="1">IFERROR(INDEX(Database[], MATCH(Encounter013[[#This Row],[Character/Creature]], Database[Character/Creature], 0), MATCH(Encounter013[#Headers], Database[#Headers], 0)) + RANDBETWEEN(1,20), "")</f>
        <v>6</v>
      </c>
      <c r="G8" s="173">
        <f>IFERROR(INDEX(Database[], MATCH(Encounter013[[#This Row],[Character/Creature]], Database[Character/Creature], 0), MATCH(Encounter013[#Headers], Database[#Headers], 0)), "")</f>
        <v>0</v>
      </c>
      <c r="H8" s="173">
        <f>IFERROR(INDEX(Database[], MATCH(Encounter013[[#This Row],[Character/Creature]], Database[Character/Creature], 0), MATCH(Encounter013[#Headers], Database[#Headers], 0)), "")</f>
        <v>0</v>
      </c>
      <c r="I8" s="145">
        <f>IFERROR(INDEX(Database[], MATCH(Encounter013[[#This Row],[Character/Creature]], Database[Character/Creature], 0), MATCH(Encounter013[#Headers], Database[#Headers], 0)), "")</f>
        <v>0</v>
      </c>
      <c r="J8" s="190"/>
      <c r="K8" s="119">
        <f>IFERROR(INDEX(Database[], MATCH(Encounter013[[#This Row],[Character/Creature]], Database[Character/Creature], 0), MATCH(Encounter013[#Headers], Database[#Headers], 0)), "")</f>
        <v>0</v>
      </c>
      <c r="L8" s="141">
        <f>IFERROR(INDEX(Database[], MATCH(Encounter013[[#This Row],[Character/Creature]], Database[Character/Creature], 0), MATCH(Encounter013[#Headers], Database[#Headers], 0)), "")</f>
        <v>0</v>
      </c>
      <c r="M8" s="145">
        <f>IFERROR(INDEX(Database[], MATCH(Encounter013[[#This Row],[Character/Creature]], Database[Character/Creature], 0), MATCH(Encounter013[#Headers], Database[#Headers], 0)), "")</f>
        <v>1</v>
      </c>
      <c r="N8" s="189"/>
      <c r="O8" s="145">
        <f>IFERROR(INDEX(Database[], MATCH(Encounter013[[#This Row],[Character/Creature]], Database[Character/Creature], 0), MATCH(Encounter013[#Headers], Database[#Headers], 0)), "")</f>
        <v>0</v>
      </c>
      <c r="P8" s="146">
        <f>IFERROR(Encounter013[[#This Row],[Base HP]]+Encounter013[Temp HP]-Encounter013[[#This Row],[Dmg Taken]], "")</f>
        <v>1</v>
      </c>
      <c r="Q8" s="136">
        <f>IFERROR(INDEX(Database[], MATCH(Encounter013[[#This Row],[Character/Creature]], Database[Character/Creature], 0), MATCH(Encounter013[#Headers], Database[#Headers], 0)), "")</f>
        <v>3</v>
      </c>
      <c r="R8" s="145">
        <f>INDEX(Encounter_Diff[], MATCH(Encounter013[[#This Row],[Lvl]], Encounter_Diff[Player Level], 0), MATCH(Encounter013[#Headers], Encounter_Diff[#Headers], 0))</f>
        <v>75</v>
      </c>
      <c r="S8" s="145">
        <f>INDEX(Encounter_Diff[], MATCH(Encounter013[[#This Row],[Lvl]], Encounter_Diff[Player Level], 0), MATCH(Encounter013[#Headers], Encounter_Diff[#Headers], 0))</f>
        <v>150</v>
      </c>
      <c r="T8" s="145">
        <f>INDEX(Encounter_Diff[], MATCH(Encounter013[[#This Row],[Lvl]], Encounter_Diff[Player Level], 0), MATCH(Encounter013[#Headers], Encounter_Diff[#Headers], 0))</f>
        <v>225</v>
      </c>
      <c r="U8" s="145">
        <f>INDEX(Encounter_Diff[], MATCH(Encounter013[[#This Row],[Lvl]], Encounter_Diff[Player Level], 0), MATCH(Encounter013[#Headers], Encounter_Diff[#Headers], 0))</f>
        <v>400</v>
      </c>
      <c r="V8" s="149">
        <f>IFERROR(INDEX(Database[], MATCH(Encounter013[[#This Row],[Character/Creature]], Database[Character/Creature], 0), MATCH(Encounter013[#Headers], Database[#Headers], 0)), "")</f>
        <v>0.5</v>
      </c>
      <c r="W8" s="157">
        <f>IF(ISBLANK(Encounter013[Party]), INDEX(ChallengeRating[XP], MATCH(Encounter013[CR], ChallengeRating[Challenge Rating], 0)), 0)</f>
        <v>0</v>
      </c>
      <c r="Y8" s="247"/>
      <c r="Z8" s="100" t="s">
        <v>348</v>
      </c>
      <c r="AA8" s="1">
        <v>0</v>
      </c>
      <c r="AB8" s="16" t="s">
        <v>40</v>
      </c>
      <c r="AC8" s="252">
        <f t="array" ref="AC8">SUM(IF(NOT(ISBLANK(Encounter013[Party])), Encounter013[Deadly]))</f>
        <v>1600</v>
      </c>
    </row>
    <row r="9" spans="1:29" x14ac:dyDescent="0.3">
      <c r="B9" s="158">
        <f ca="1">IFERROR(INDEX(Database[], MATCH(Encounter013[[#This Row],[Character/Creature]], Database[Character/Creature], 0), MATCH(Encounter013[#Headers], Database[#Headers], 0)) + RANDBETWEEN(1,20), "")</f>
        <v>9</v>
      </c>
      <c r="C9" s="145"/>
      <c r="D9" s="172" t="s">
        <v>34</v>
      </c>
      <c r="E9" s="145">
        <f>IFERROR(INDEX(Database[], MATCH(Encounter013[[#This Row],[Character/Creature]], Database[Character/Creature], 0), MATCH(Encounter013[#Headers], Database[#Headers], 0)), "")</f>
        <v>0</v>
      </c>
      <c r="F9" s="158">
        <f ca="1">IFERROR(INDEX(Database[], MATCH(Encounter013[[#This Row],[Character/Creature]], Database[Character/Creature], 0), MATCH(Encounter013[#Headers], Database[#Headers], 0)) + RANDBETWEEN(1,20), "")</f>
        <v>2</v>
      </c>
      <c r="G9" s="173">
        <f>IFERROR(INDEX(Database[], MATCH(Encounter013[[#This Row],[Character/Creature]], Database[Character/Creature], 0), MATCH(Encounter013[#Headers], Database[#Headers], 0)), "")</f>
        <v>8</v>
      </c>
      <c r="H9" s="173">
        <f>IFERROR(INDEX(Database[], MATCH(Encounter013[[#This Row],[Character/Creature]], Database[Character/Creature], 0), MATCH(Encounter013[#Headers], Database[#Headers], 0)), "")</f>
        <v>11</v>
      </c>
      <c r="I9" s="145">
        <f>IFERROR(INDEX(Database[], MATCH(Encounter013[[#This Row],[Character/Creature]], Database[Character/Creature], 0), MATCH(Encounter013[#Headers], Database[#Headers], 0)), "")</f>
        <v>0</v>
      </c>
      <c r="J9" s="190"/>
      <c r="K9" s="119" t="str">
        <f>IFERROR(INDEX(Database[], MATCH(Encounter013[[#This Row],[Character/Creature]], Database[Character/Creature], 0), MATCH(Encounter013[#Headers], Database[#Headers], 0)), "")</f>
        <v xml:space="preserve"> </v>
      </c>
      <c r="L9" s="145">
        <f>IFERROR(INDEX(Database[], MATCH(Encounter013[[#This Row],[Character/Creature]], Database[Character/Creature], 0), MATCH(Encounter013[#Headers], Database[#Headers], 0)), "")</f>
        <v>0</v>
      </c>
      <c r="M9" s="145">
        <f>IFERROR(INDEX(Database[], MATCH(Encounter013[[#This Row],[Character/Creature]], Database[Character/Creature], 0), MATCH(Encounter013[#Headers], Database[#Headers], 0)), "")</f>
        <v>59</v>
      </c>
      <c r="N9" s="189"/>
      <c r="O9" s="145">
        <f>IFERROR(INDEX(Database[], MATCH(Encounter013[[#This Row],[Character/Creature]], Database[Character/Creature], 0), MATCH(Encounter013[#Headers], Database[#Headers], 0)), "")</f>
        <v>0</v>
      </c>
      <c r="P9" s="146">
        <f>IFERROR(Encounter013[[#This Row],[Base HP]]+Encounter013[Temp HP]-Encounter013[[#This Row],[Dmg Taken]], "")</f>
        <v>59</v>
      </c>
      <c r="Q9" s="136">
        <f>IFERROR(INDEX(Database[], MATCH(Encounter013[[#This Row],[Character/Creature]], Database[Character/Creature], 0), MATCH(Encounter013[#Headers], Database[#Headers], 0)), "")</f>
        <v>5</v>
      </c>
      <c r="R9" s="145">
        <f>INDEX(Encounter_Diff[], MATCH(Encounter013[[#This Row],[Lvl]], Encounter_Diff[Player Level], 0), MATCH(Encounter013[#Headers], Encounter_Diff[#Headers], 0))</f>
        <v>250</v>
      </c>
      <c r="S9" s="145">
        <f>INDEX(Encounter_Diff[], MATCH(Encounter013[[#This Row],[Lvl]], Encounter_Diff[Player Level], 0), MATCH(Encounter013[#Headers], Encounter_Diff[#Headers], 0))</f>
        <v>500</v>
      </c>
      <c r="T9" s="145">
        <f>INDEX(Encounter_Diff[], MATCH(Encounter013[[#This Row],[Lvl]], Encounter_Diff[Player Level], 0), MATCH(Encounter013[#Headers], Encounter_Diff[#Headers], 0))</f>
        <v>750</v>
      </c>
      <c r="U9" s="145">
        <f>INDEX(Encounter_Diff[], MATCH(Encounter013[[#This Row],[Lvl]], Encounter_Diff[Player Level], 0), MATCH(Encounter013[#Headers], Encounter_Diff[#Headers], 0))</f>
        <v>1100</v>
      </c>
      <c r="V9" s="149">
        <f>IFERROR(INDEX(Database[], MATCH(Encounter013[[#This Row],[Character/Creature]], Database[Character/Creature], 0), MATCH(Encounter013[#Headers], Database[#Headers], 0)), "")</f>
        <v>2</v>
      </c>
      <c r="W9" s="157">
        <f>IF(ISBLANK(Encounter013[Party]), INDEX(ChallengeRating[XP], MATCH(Encounter013[CR], ChallengeRating[Challenge Rating], 0)), 0)</f>
        <v>450</v>
      </c>
      <c r="Y9" s="202" t="s">
        <v>31</v>
      </c>
      <c r="Z9" s="243">
        <f>SUM(Encounter013[XP])</f>
        <v>900</v>
      </c>
      <c r="AA9" s="244"/>
    </row>
    <row r="10" spans="1:29" ht="21" thickBot="1" x14ac:dyDescent="0.35">
      <c r="B10" s="158">
        <f ca="1">IFERROR(INDEX(Database[], MATCH(Encounter013[[#This Row],[Character/Creature]], Database[Character/Creature], 0), MATCH(Encounter013[#Headers], Database[#Headers], 0)) + RANDBETWEEN(1,20), "")</f>
        <v>10</v>
      </c>
      <c r="C10" s="145"/>
      <c r="D10" s="172" t="s">
        <v>34</v>
      </c>
      <c r="E10" s="145">
        <f>IFERROR(INDEX(Database[], MATCH(Encounter013[[#This Row],[Character/Creature]], Database[Character/Creature], 0), MATCH(Encounter013[#Headers], Database[#Headers], 0)), "")</f>
        <v>0</v>
      </c>
      <c r="F10" s="158">
        <f ca="1">IFERROR(INDEX(Database[], MATCH(Encounter013[[#This Row],[Character/Creature]], Database[Character/Creature], 0), MATCH(Encounter013[#Headers], Database[#Headers], 0)) + RANDBETWEEN(1,20), "")</f>
        <v>10</v>
      </c>
      <c r="G10" s="173">
        <f>IFERROR(INDEX(Database[], MATCH(Encounter013[[#This Row],[Character/Creature]], Database[Character/Creature], 0), MATCH(Encounter013[#Headers], Database[#Headers], 0)), "")</f>
        <v>8</v>
      </c>
      <c r="H10" s="173">
        <f>IFERROR(INDEX(Database[], MATCH(Encounter013[[#This Row],[Character/Creature]], Database[Character/Creature], 0), MATCH(Encounter013[#Headers], Database[#Headers], 0)), "")</f>
        <v>11</v>
      </c>
      <c r="I10" s="145">
        <f>IFERROR(INDEX(Database[], MATCH(Encounter013[[#This Row],[Character/Creature]], Database[Character/Creature], 0), MATCH(Encounter013[#Headers], Database[#Headers], 0)), "")</f>
        <v>0</v>
      </c>
      <c r="J10" s="190"/>
      <c r="K10" s="119" t="str">
        <f>IFERROR(INDEX(Database[], MATCH(Encounter013[[#This Row],[Character/Creature]], Database[Character/Creature], 0), MATCH(Encounter013[#Headers], Database[#Headers], 0)), "")</f>
        <v xml:space="preserve"> </v>
      </c>
      <c r="L10" s="145">
        <f>IFERROR(INDEX(Database[], MATCH(Encounter013[[#This Row],[Character/Creature]], Database[Character/Creature], 0), MATCH(Encounter013[#Headers], Database[#Headers], 0)), "")</f>
        <v>0</v>
      </c>
      <c r="M10" s="145">
        <f>IFERROR(INDEX(Database[], MATCH(Encounter013[[#This Row],[Character/Creature]], Database[Character/Creature], 0), MATCH(Encounter013[#Headers], Database[#Headers], 0)), "")</f>
        <v>59</v>
      </c>
      <c r="N10" s="189"/>
      <c r="O10" s="145">
        <f>IFERROR(INDEX(Database[], MATCH(Encounter013[[#This Row],[Character/Creature]], Database[Character/Creature], 0), MATCH(Encounter013[#Headers], Database[#Headers], 0)), "")</f>
        <v>0</v>
      </c>
      <c r="P10" s="146">
        <f>IFERROR(Encounter013[[#This Row],[Base HP]]+Encounter013[Temp HP]-Encounter013[[#This Row],[Dmg Taken]], "")</f>
        <v>59</v>
      </c>
      <c r="Q10" s="136">
        <f>IFERROR(INDEX(Database[], MATCH(Encounter013[[#This Row],[Character/Creature]], Database[Character/Creature], 0), MATCH(Encounter013[#Headers], Database[#Headers], 0)), "")</f>
        <v>5</v>
      </c>
      <c r="R10" s="145">
        <f>INDEX(Encounter_Diff[], MATCH(Encounter013[[#This Row],[Lvl]], Encounter_Diff[Player Level], 0), MATCH(Encounter013[#Headers], Encounter_Diff[#Headers], 0))</f>
        <v>250</v>
      </c>
      <c r="S10" s="145">
        <f>INDEX(Encounter_Diff[], MATCH(Encounter013[[#This Row],[Lvl]], Encounter_Diff[Player Level], 0), MATCH(Encounter013[#Headers], Encounter_Diff[#Headers], 0))</f>
        <v>500</v>
      </c>
      <c r="T10" s="145">
        <f>INDEX(Encounter_Diff[], MATCH(Encounter013[[#This Row],[Lvl]], Encounter_Diff[Player Level], 0), MATCH(Encounter013[#Headers], Encounter_Diff[#Headers], 0))</f>
        <v>750</v>
      </c>
      <c r="U10" s="145">
        <f>INDEX(Encounter_Diff[], MATCH(Encounter013[[#This Row],[Lvl]], Encounter_Diff[Player Level], 0), MATCH(Encounter013[#Headers], Encounter_Diff[#Headers], 0))</f>
        <v>1100</v>
      </c>
      <c r="V10" s="149">
        <f>IFERROR(INDEX(Database[], MATCH(Encounter013[[#This Row],[Character/Creature]], Database[Character/Creature], 0), MATCH(Encounter013[#Headers], Database[#Headers], 0)), "")</f>
        <v>2</v>
      </c>
      <c r="W10" s="157">
        <f>IF(ISBLANK(Encounter013[Party]), INDEX(ChallengeRating[XP], MATCH(Encounter013[CR], ChallengeRating[Challenge Rating], 0)), 0)</f>
        <v>450</v>
      </c>
      <c r="Y10" s="200" t="s">
        <v>32</v>
      </c>
      <c r="Z10" s="245">
        <f>encTotalXP/encPartyCount</f>
        <v>225</v>
      </c>
      <c r="AA10" s="246"/>
    </row>
    <row r="11" spans="1:29" ht="21" thickBot="1" x14ac:dyDescent="0.35"/>
    <row r="12" spans="1:29" ht="21" thickBot="1" x14ac:dyDescent="0.35">
      <c r="Y12" s="238" t="s">
        <v>240</v>
      </c>
      <c r="Z12" s="239"/>
      <c r="AA12" s="240"/>
    </row>
    <row r="13" spans="1:29" ht="30" x14ac:dyDescent="0.3">
      <c r="Y13" s="235" t="s">
        <v>235</v>
      </c>
      <c r="Z13" s="101" t="s">
        <v>242</v>
      </c>
      <c r="AA13" s="153">
        <f t="array" ref="AA13">AVERAGE(IF(ISBLANK(Encounter013[Party]), Encounter013[Pass Perc]))</f>
        <v>8</v>
      </c>
    </row>
    <row r="14" spans="1:29" ht="30" x14ac:dyDescent="0.3">
      <c r="Y14" s="236"/>
      <c r="Z14" s="114" t="s">
        <v>243</v>
      </c>
      <c r="AA14" s="153"/>
    </row>
    <row r="15" spans="1:29" ht="21" thickBot="1" x14ac:dyDescent="0.35">
      <c r="Y15" s="237"/>
      <c r="Z15" s="122" t="s">
        <v>235</v>
      </c>
      <c r="AA15" s="154">
        <f t="array" aca="1" ref="AA15" ca="1">AVERAGE(IF(NOT(ISBLANK(Encounter013[Party])), Encounter013[Stealth]))</f>
        <v>8.75</v>
      </c>
    </row>
    <row r="16" spans="1:29" x14ac:dyDescent="0.3">
      <c r="Y16" s="235" t="s">
        <v>239</v>
      </c>
      <c r="Z16" s="120" t="s">
        <v>239</v>
      </c>
      <c r="AA16" s="155">
        <f t="array" aca="1" ref="AA16" ca="1">AVERAGE(IF(ISBLANK(Encounter013[Party]), Encounter013[Stealth]))</f>
        <v>6</v>
      </c>
    </row>
    <row r="17" spans="25:27" ht="30" x14ac:dyDescent="0.3">
      <c r="Y17" s="236"/>
      <c r="Z17" s="123" t="s">
        <v>237</v>
      </c>
      <c r="AA17" s="151">
        <f t="array" ref="AA17">AVERAGE(IF(NOT(ISBLANK(Encounter013[Party])), Encounter013[Pass Perc]))</f>
        <v>0</v>
      </c>
    </row>
    <row r="18" spans="25:27" ht="30.75" thickBot="1" x14ac:dyDescent="0.35">
      <c r="Y18" s="237"/>
      <c r="Z18" s="124" t="s">
        <v>238</v>
      </c>
      <c r="AA18" s="152"/>
    </row>
    <row r="19" spans="25:27" x14ac:dyDescent="0.3">
      <c r="Y19" s="235" t="s">
        <v>241</v>
      </c>
      <c r="Z19" s="121" t="s">
        <v>111</v>
      </c>
      <c r="AA19" s="155"/>
    </row>
    <row r="20" spans="25:27" ht="21" thickBot="1" x14ac:dyDescent="0.35">
      <c r="Y20" s="237"/>
      <c r="Z20" s="125" t="s">
        <v>236</v>
      </c>
      <c r="AA20" s="156"/>
    </row>
  </sheetData>
  <mergeCells count="17">
    <mergeCell ref="Z10:AA10"/>
    <mergeCell ref="Y12:AA12"/>
    <mergeCell ref="Y13:Y15"/>
    <mergeCell ref="Y16:Y18"/>
    <mergeCell ref="Y19:Y20"/>
    <mergeCell ref="Y3:AA3"/>
    <mergeCell ref="AB3:AC3"/>
    <mergeCell ref="Z4:AA4"/>
    <mergeCell ref="Y5:Y6"/>
    <mergeCell ref="Y7:Y8"/>
    <mergeCell ref="Z9:AA9"/>
    <mergeCell ref="B2:P2"/>
    <mergeCell ref="Q2:V2"/>
    <mergeCell ref="B3:E3"/>
    <mergeCell ref="F3:K3"/>
    <mergeCell ref="L3:P3"/>
    <mergeCell ref="Q3:W3"/>
  </mergeCells>
  <conditionalFormatting sqref="Q2 W2">
    <cfRule type="expression" dxfId="79" priority="1">
      <formula>$W$2&gt;0</formula>
    </cfRule>
  </conditionalFormatting>
  <conditionalFormatting sqref="K5:M10 O5:W10 B5:I10">
    <cfRule type="expression" dxfId="78" priority="2">
      <formula>ROUND($P5,0)&lt;1</formula>
    </cfRule>
    <cfRule type="expression" dxfId="77" priority="3">
      <formula>AND( NOT( OR( ISBLANK(#REF!), #REF!="")), NOT( OR( ISBLANK($D5), $D5="", $D5 = 0)))</formula>
    </cfRule>
    <cfRule type="expression" dxfId="76" priority="4">
      <formula>$E5="NPC"</formula>
    </cfRule>
    <cfRule type="expression" dxfId="75" priority="5">
      <formula>AND( NOT( OR( ISBLANK($C5), $C5="")), NOT( OR( ISBLANK($D5), $D5="", $D5 = 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encStart">
              <controlPr defaultSize="0" print="0" autoFill="0" autoPict="0" macro="[0]!encounterStart">
                <anchor moveWithCells="1" sizeWithCells="1">
                  <from>
                    <xdr:col>1</xdr:col>
                    <xdr:colOff>95250</xdr:colOff>
                    <xdr:row>1</xdr:row>
                    <xdr:rowOff>76200</xdr:rowOff>
                  </from>
                  <to>
                    <xdr:col>2</xdr:col>
                    <xdr:colOff>228600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encClear">
              <controlPr defaultSize="0" print="0" autoFill="0" autoPict="0" macro="[0]!encounterClear">
                <anchor moveWithCells="1" sizeWithCells="1">
                  <from>
                    <xdr:col>3</xdr:col>
                    <xdr:colOff>466725</xdr:colOff>
                    <xdr:row>1</xdr:row>
                    <xdr:rowOff>76200</xdr:rowOff>
                  </from>
                  <to>
                    <xdr:col>3</xdr:col>
                    <xdr:colOff>1104900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encSave">
              <controlPr defaultSize="0" print="0" autoFill="0" autoPict="0" macro="[0]!dataSaveAll">
                <anchor moveWithCells="1" sizeWithCells="1">
                  <from>
                    <xdr:col>13</xdr:col>
                    <xdr:colOff>295275</xdr:colOff>
                    <xdr:row>1</xdr:row>
                    <xdr:rowOff>76200</xdr:rowOff>
                  </from>
                  <to>
                    <xdr:col>14</xdr:col>
                    <xdr:colOff>447675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encNew">
              <controlPr defaultSize="0" print="0" autoFill="0" autoPict="0" macro="[0]!encounterNew">
                <anchor moveWithCells="1" sizeWithCells="1">
                  <from>
                    <xdr:col>12</xdr:col>
                    <xdr:colOff>209550</xdr:colOff>
                    <xdr:row>1</xdr:row>
                    <xdr:rowOff>76200</xdr:rowOff>
                  </from>
                  <to>
                    <xdr:col>13</xdr:col>
                    <xdr:colOff>247650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encEnd">
              <controlPr defaultSize="0" print="0" autoFill="0" autoPict="0" macro="[0]!encounterEnd">
                <anchor moveWithCells="1" sizeWithCells="1">
                  <from>
                    <xdr:col>14</xdr:col>
                    <xdr:colOff>495300</xdr:colOff>
                    <xdr:row>1</xdr:row>
                    <xdr:rowOff>76200</xdr:rowOff>
                  </from>
                  <to>
                    <xdr:col>15</xdr:col>
                    <xdr:colOff>533400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encReload">
              <controlPr defaultSize="0" print="0" autoFill="0" autoPict="0" macro="[0]!encounterReloadAll">
                <anchor moveWithCells="1" sizeWithCells="1">
                  <from>
                    <xdr:col>2</xdr:col>
                    <xdr:colOff>266700</xdr:colOff>
                    <xdr:row>1</xdr:row>
                    <xdr:rowOff>76200</xdr:rowOff>
                  </from>
                  <to>
                    <xdr:col>3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C08B18-A846-4903-B8A9-0D083B67C322}">
          <x14:formula1>
            <xm:f>Database!$E$4:$E$171</xm:f>
          </x14:formula1>
          <xm:sqref>D5:D10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5E944-6466-43EB-B7D1-33FE963024C0}">
  <sheetPr codeName="Sheet10"/>
  <dimension ref="A1:AC20"/>
  <sheetViews>
    <sheetView zoomScaleNormal="100" workbookViewId="0">
      <selection activeCell="D10" sqref="D10:D11"/>
    </sheetView>
  </sheetViews>
  <sheetFormatPr defaultColWidth="11" defaultRowHeight="20.25" x14ac:dyDescent="0.3"/>
  <cols>
    <col min="1" max="1" width="4.77734375" style="2" customWidth="1"/>
    <col min="2" max="2" width="5.88671875" style="10" customWidth="1"/>
    <col min="3" max="3" width="5.6640625" style="10" customWidth="1"/>
    <col min="4" max="4" width="20.88671875" style="10" customWidth="1"/>
    <col min="5" max="5" width="14.77734375" style="10" customWidth="1"/>
    <col min="6" max="9" width="7" style="10" customWidth="1"/>
    <col min="10" max="10" width="7.109375" style="10" customWidth="1"/>
    <col min="11" max="11" width="23.5546875" style="10" customWidth="1"/>
    <col min="12" max="12" width="7.21875" style="22" customWidth="1"/>
    <col min="13" max="13" width="7.21875" style="10" customWidth="1"/>
    <col min="14" max="14" width="6.109375" style="10" customWidth="1"/>
    <col min="15" max="15" width="7.21875" style="22" customWidth="1"/>
    <col min="16" max="16" width="7.21875" style="10" customWidth="1"/>
    <col min="17" max="17" width="4.33203125" style="10" customWidth="1"/>
    <col min="18" max="21" width="4.33203125" style="10" hidden="1" customWidth="1"/>
    <col min="22" max="22" width="4.33203125" style="10" customWidth="1"/>
    <col min="23" max="23" width="6.5546875" style="10" customWidth="1"/>
    <col min="24" max="24" width="4.44140625" style="10" customWidth="1"/>
    <col min="25" max="25" width="10.21875" style="10" customWidth="1"/>
    <col min="26" max="26" width="12.33203125" style="10" customWidth="1"/>
    <col min="27" max="27" width="7.109375" style="10" customWidth="1"/>
    <col min="28" max="28" width="14.77734375" style="10" customWidth="1"/>
    <col min="29" max="29" width="11.77734375" style="10" customWidth="1"/>
    <col min="30" max="16384" width="11" style="10"/>
  </cols>
  <sheetData>
    <row r="1" spans="1:29" ht="21" thickBot="1" x14ac:dyDescent="0.35">
      <c r="B1" s="9"/>
      <c r="C1" s="9"/>
      <c r="D1" s="9"/>
      <c r="E1" s="9"/>
      <c r="R1" s="9"/>
      <c r="S1" s="9"/>
      <c r="T1" s="9"/>
      <c r="U1" s="9"/>
      <c r="V1" s="9"/>
      <c r="W1" s="9"/>
    </row>
    <row r="2" spans="1:29" s="2" customFormat="1" ht="32.25" thickBot="1" x14ac:dyDescent="0.35">
      <c r="A2" s="3"/>
      <c r="B2" s="203" t="s">
        <v>244</v>
      </c>
      <c r="C2" s="204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6"/>
      <c r="Q2" s="248" t="s">
        <v>234</v>
      </c>
      <c r="R2" s="249"/>
      <c r="S2" s="249"/>
      <c r="T2" s="249"/>
      <c r="U2" s="249"/>
      <c r="V2" s="249"/>
      <c r="W2" s="191">
        <v>0</v>
      </c>
    </row>
    <row r="3" spans="1:29" s="4" customFormat="1" ht="21" customHeight="1" thickBot="1" x14ac:dyDescent="0.35">
      <c r="B3" s="209" t="s">
        <v>252</v>
      </c>
      <c r="C3" s="210"/>
      <c r="D3" s="210"/>
      <c r="E3" s="211"/>
      <c r="F3" s="212" t="s">
        <v>7</v>
      </c>
      <c r="G3" s="210"/>
      <c r="H3" s="210"/>
      <c r="I3" s="210"/>
      <c r="J3" s="210"/>
      <c r="K3" s="211"/>
      <c r="L3" s="212" t="s">
        <v>8</v>
      </c>
      <c r="M3" s="210"/>
      <c r="N3" s="210"/>
      <c r="O3" s="210"/>
      <c r="P3" s="211"/>
      <c r="Q3" s="212" t="s">
        <v>20</v>
      </c>
      <c r="R3" s="210"/>
      <c r="S3" s="210"/>
      <c r="T3" s="210"/>
      <c r="U3" s="210"/>
      <c r="V3" s="210"/>
      <c r="W3" s="213"/>
      <c r="Y3" s="238" t="s">
        <v>39</v>
      </c>
      <c r="Z3" s="239"/>
      <c r="AA3" s="240"/>
      <c r="AB3" s="238" t="s">
        <v>41</v>
      </c>
      <c r="AC3" s="240"/>
    </row>
    <row r="4" spans="1:29" s="8" customFormat="1" ht="31.5" x14ac:dyDescent="0.2">
      <c r="B4" s="197" t="s">
        <v>245</v>
      </c>
      <c r="C4" s="194" t="s">
        <v>236</v>
      </c>
      <c r="D4" s="194" t="s">
        <v>260</v>
      </c>
      <c r="E4" s="196" t="s">
        <v>5</v>
      </c>
      <c r="F4" s="197" t="s">
        <v>2</v>
      </c>
      <c r="G4" s="197" t="s">
        <v>246</v>
      </c>
      <c r="H4" s="197" t="s">
        <v>247</v>
      </c>
      <c r="I4" s="197" t="s">
        <v>83</v>
      </c>
      <c r="J4" s="188" t="s">
        <v>378</v>
      </c>
      <c r="K4" s="196" t="s">
        <v>255</v>
      </c>
      <c r="L4" s="197" t="s">
        <v>56</v>
      </c>
      <c r="M4" s="197" t="s">
        <v>266</v>
      </c>
      <c r="N4" s="187" t="s">
        <v>379</v>
      </c>
      <c r="O4" s="21" t="s">
        <v>259</v>
      </c>
      <c r="P4" s="198" t="s">
        <v>251</v>
      </c>
      <c r="Q4" s="8" t="s">
        <v>258</v>
      </c>
      <c r="R4" s="186" t="s">
        <v>36</v>
      </c>
      <c r="S4" s="186" t="s">
        <v>37</v>
      </c>
      <c r="T4" s="186" t="s">
        <v>38</v>
      </c>
      <c r="U4" s="186" t="s">
        <v>40</v>
      </c>
      <c r="V4" s="8" t="s">
        <v>248</v>
      </c>
      <c r="W4" s="195" t="s">
        <v>19</v>
      </c>
      <c r="Y4" s="199" t="s">
        <v>35</v>
      </c>
      <c r="Z4" s="241" t="str">
        <f>IF(encCalc&lt;encEasy,"Trivial",LOOKUP(encCalc,AC5:AC8,AB5:AB8))</f>
        <v>Deadly</v>
      </c>
      <c r="AA4" s="242"/>
      <c r="AB4" s="199" t="s">
        <v>42</v>
      </c>
      <c r="AC4" s="201">
        <f>encTotalXP* INDEX(Encounter_Mod[], MATCH(encMobSize, Encounter_Mod[Type], 0), MATCH(encPartySize, Encounter_Mod[#Headers], 0))</f>
        <v>1600</v>
      </c>
    </row>
    <row r="5" spans="1:29" x14ac:dyDescent="0.2">
      <c r="A5" s="150"/>
      <c r="B5" s="158">
        <f ca="1">IFERROR(INDEX(Database[], MATCH(Encounter014[[#This Row],[Character/Creature]], Database[Character/Creature], 0), MATCH(Encounter014[#Headers], Database[#Headers], 0)) + RANDBETWEEN(1,20), "")</f>
        <v>11</v>
      </c>
      <c r="C5" s="145" t="s">
        <v>253</v>
      </c>
      <c r="D5" s="172" t="s">
        <v>455</v>
      </c>
      <c r="E5" s="145" t="str">
        <f>IFERROR(INDEX(Database[], MATCH(Encounter014[[#This Row],[Character/Creature]], Database[Character/Creature], 0), MATCH(Encounter014[#Headers], Database[#Headers], 0)), "")</f>
        <v>(empty)</v>
      </c>
      <c r="F5" s="158">
        <f ca="1">IFERROR(INDEX(Database[], MATCH(Encounter014[[#This Row],[Character/Creature]], Database[Character/Creature], 0), MATCH(Encounter014[#Headers], Database[#Headers], 0)) + RANDBETWEEN(1,20), "")</f>
        <v>4</v>
      </c>
      <c r="G5" s="173">
        <f>IFERROR(INDEX(Database[], MATCH(Encounter014[[#This Row],[Character/Creature]], Database[Character/Creature], 0), MATCH(Encounter014[#Headers], Database[#Headers], 0)), "")</f>
        <v>0</v>
      </c>
      <c r="H5" s="173">
        <f>IFERROR(INDEX(Database[], MATCH(Encounter014[[#This Row],[Character/Creature]], Database[Character/Creature], 0), MATCH(Encounter014[#Headers], Database[#Headers], 0)), "")</f>
        <v>0</v>
      </c>
      <c r="I5" s="145">
        <f>IFERROR(INDEX(Database[], MATCH(Encounter014[[#This Row],[Character/Creature]], Database[Character/Creature], 0), MATCH(Encounter014[#Headers], Database[#Headers], 0)), "")</f>
        <v>0</v>
      </c>
      <c r="J5" s="190"/>
      <c r="K5" s="171">
        <f>IFERROR(INDEX(Database[], MATCH(Encounter014[[#This Row],[Character/Creature]], Database[Character/Creature], 0), MATCH(Encounter014[#Headers], Database[#Headers], 0)), "")</f>
        <v>0</v>
      </c>
      <c r="L5" s="136">
        <f>IFERROR(INDEX(Database[], MATCH(Encounter014[[#This Row],[Character/Creature]], Database[Character/Creature], 0), MATCH(Encounter014[#Headers], Database[#Headers], 0)), "")</f>
        <v>0</v>
      </c>
      <c r="M5" s="145">
        <f>IFERROR(INDEX(Database[], MATCH(Encounter014[[#This Row],[Character/Creature]], Database[Character/Creature], 0), MATCH(Encounter014[#Headers], Database[#Headers], 0)), "")</f>
        <v>1</v>
      </c>
      <c r="N5" s="189"/>
      <c r="O5" s="145">
        <f>IFERROR(INDEX(Database[], MATCH(Encounter014[[#This Row],[Character/Creature]], Database[Character/Creature], 0), MATCH(Encounter014[#Headers], Database[#Headers], 0)), "")</f>
        <v>0</v>
      </c>
      <c r="P5" s="146">
        <f>IFERROR(Encounter014[[#This Row],[Base HP]]+Encounter014[Temp HP]-Encounter014[[#This Row],[Dmg Taken]], "")</f>
        <v>1</v>
      </c>
      <c r="Q5" s="136">
        <f>IFERROR(INDEX(Database[], MATCH(Encounter014[[#This Row],[Character/Creature]], Database[Character/Creature], 0), MATCH(Encounter014[#Headers], Database[#Headers], 0)), "")</f>
        <v>3</v>
      </c>
      <c r="R5" s="145">
        <f>INDEX(Encounter_Diff[], MATCH(Encounter014[[#This Row],[Lvl]], Encounter_Diff[Player Level], 0), MATCH(Encounter014[#Headers], Encounter_Diff[#Headers], 0))</f>
        <v>75</v>
      </c>
      <c r="S5" s="145">
        <f>INDEX(Encounter_Diff[], MATCH(Encounter014[[#This Row],[Lvl]], Encounter_Diff[Player Level], 0), MATCH(Encounter014[#Headers], Encounter_Diff[#Headers], 0))</f>
        <v>150</v>
      </c>
      <c r="T5" s="145">
        <f>INDEX(Encounter_Diff[], MATCH(Encounter014[[#This Row],[Lvl]], Encounter_Diff[Player Level], 0), MATCH(Encounter014[#Headers], Encounter_Diff[#Headers], 0))</f>
        <v>225</v>
      </c>
      <c r="U5" s="145">
        <f>INDEX(Encounter_Diff[], MATCH(Encounter014[[#This Row],[Lvl]], Encounter_Diff[Player Level], 0), MATCH(Encounter014[#Headers], Encounter_Diff[#Headers], 0))</f>
        <v>400</v>
      </c>
      <c r="V5" s="149">
        <f>IFERROR(INDEX(Database[], MATCH(Encounter014[[#This Row],[Character/Creature]], Database[Character/Creature], 0), MATCH(Encounter014[#Headers], Database[#Headers], 0)), "")</f>
        <v>0.5</v>
      </c>
      <c r="W5" s="157">
        <f>IF(ISBLANK(Encounter014[Party]), INDEX(ChallengeRating[XP], MATCH(Encounter014[CR], ChallengeRating[Challenge Rating], 0)), 0)</f>
        <v>0</v>
      </c>
      <c r="Y5" s="247" t="s">
        <v>120</v>
      </c>
      <c r="Z5" s="100" t="str">
        <f>IF(encMobCount=0,"None", IF(encMobCount=1,"Single", IF(encMobCount=2,"Pair", IF(encMobCount&lt;=6,"Group", IF(encMobCount&lt;=10,"Gang", IF(encMobCount&lt;=14,"Mob", "Horde"))))))</f>
        <v>Group</v>
      </c>
      <c r="AA5" s="1">
        <f>COUNTBLANK(Encounter014[Party])-encMobCountMod</f>
        <v>3</v>
      </c>
      <c r="AB5" s="15" t="s">
        <v>36</v>
      </c>
      <c r="AC5" s="201">
        <f t="array" ref="AC5">SUM(IF(NOT(ISBLANK(Encounter014[Party])), Encounter014[Easy]))</f>
        <v>300</v>
      </c>
    </row>
    <row r="6" spans="1:29" x14ac:dyDescent="0.2">
      <c r="A6" s="150"/>
      <c r="B6" s="158">
        <f ca="1">IFERROR(INDEX(Database[], MATCH(Encounter014[[#This Row],[Character/Creature]], Database[Character/Creature], 0), MATCH(Encounter014[#Headers], Database[#Headers], 0)) + RANDBETWEEN(1,20), "")</f>
        <v>19</v>
      </c>
      <c r="C6" s="145" t="s">
        <v>253</v>
      </c>
      <c r="D6" s="172" t="s">
        <v>455</v>
      </c>
      <c r="E6" s="145" t="str">
        <f>IFERROR(INDEX(Database[], MATCH(Encounter014[[#This Row],[Character/Creature]], Database[Character/Creature], 0), MATCH(Encounter014[#Headers], Database[#Headers], 0)), "")</f>
        <v>(empty)</v>
      </c>
      <c r="F6" s="158">
        <f ca="1">IFERROR(INDEX(Database[], MATCH(Encounter014[[#This Row],[Character/Creature]], Database[Character/Creature], 0), MATCH(Encounter014[#Headers], Database[#Headers], 0)) + RANDBETWEEN(1,20), "")</f>
        <v>8</v>
      </c>
      <c r="G6" s="173">
        <f>IFERROR(INDEX(Database[], MATCH(Encounter014[[#This Row],[Character/Creature]], Database[Character/Creature], 0), MATCH(Encounter014[#Headers], Database[#Headers], 0)), "")</f>
        <v>0</v>
      </c>
      <c r="H6" s="173">
        <f>IFERROR(INDEX(Database[], MATCH(Encounter014[[#This Row],[Character/Creature]], Database[Character/Creature], 0), MATCH(Encounter014[#Headers], Database[#Headers], 0)), "")</f>
        <v>0</v>
      </c>
      <c r="I6" s="145">
        <f>IFERROR(INDEX(Database[], MATCH(Encounter014[[#This Row],[Character/Creature]], Database[Character/Creature], 0), MATCH(Encounter014[#Headers], Database[#Headers], 0)), "")</f>
        <v>0</v>
      </c>
      <c r="J6" s="190"/>
      <c r="K6" s="119">
        <f>IFERROR(INDEX(Database[], MATCH(Encounter014[[#This Row],[Character/Creature]], Database[Character/Creature], 0), MATCH(Encounter014[#Headers], Database[#Headers], 0)), "")</f>
        <v>0</v>
      </c>
      <c r="L6" s="145">
        <v>0</v>
      </c>
      <c r="M6" s="145">
        <f>IFERROR(INDEX(Database[], MATCH(Encounter014[[#This Row],[Character/Creature]], Database[Character/Creature], 0), MATCH(Encounter014[#Headers], Database[#Headers], 0)), "")</f>
        <v>1</v>
      </c>
      <c r="N6" s="189"/>
      <c r="O6" s="145">
        <v>0</v>
      </c>
      <c r="P6" s="146">
        <f>IFERROR(Encounter014[[#This Row],[Base HP]]+Encounter014[Temp HP]-Encounter014[[#This Row],[Dmg Taken]], "")</f>
        <v>1</v>
      </c>
      <c r="Q6" s="136">
        <f>IFERROR(INDEX(Database[], MATCH(Encounter014[[#This Row],[Character/Creature]], Database[Character/Creature], 0), MATCH(Encounter014[#Headers], Database[#Headers], 0)), "")</f>
        <v>3</v>
      </c>
      <c r="R6" s="145">
        <f>INDEX(Encounter_Diff[], MATCH(Encounter014[[#This Row],[Lvl]], Encounter_Diff[Player Level], 0), MATCH(Encounter014[#Headers], Encounter_Diff[#Headers], 0))</f>
        <v>75</v>
      </c>
      <c r="S6" s="145">
        <f>INDEX(Encounter_Diff[], MATCH(Encounter014[[#This Row],[Lvl]], Encounter_Diff[Player Level], 0), MATCH(Encounter014[#Headers], Encounter_Diff[#Headers], 0))</f>
        <v>150</v>
      </c>
      <c r="T6" s="145">
        <f>INDEX(Encounter_Diff[], MATCH(Encounter014[[#This Row],[Lvl]], Encounter_Diff[Player Level], 0), MATCH(Encounter014[#Headers], Encounter_Diff[#Headers], 0))</f>
        <v>225</v>
      </c>
      <c r="U6" s="145">
        <f>INDEX(Encounter_Diff[], MATCH(Encounter014[[#This Row],[Lvl]], Encounter_Diff[Player Level], 0), MATCH(Encounter014[#Headers], Encounter_Diff[#Headers], 0))</f>
        <v>400</v>
      </c>
      <c r="V6" s="149">
        <f>IFERROR(INDEX(Database[], MATCH(Encounter014[[#This Row],[Character/Creature]], Database[Character/Creature], 0), MATCH(Encounter014[#Headers], Database[#Headers], 0)), "")</f>
        <v>0.5</v>
      </c>
      <c r="W6" s="157">
        <f>IF(ISBLANK(Encounter014[Party]), INDEX(ChallengeRating[XP], MATCH(Encounter014[CR], ChallengeRating[Challenge Rating], 0)), 0)</f>
        <v>0</v>
      </c>
      <c r="Y6" s="247"/>
      <c r="Z6" s="100" t="s">
        <v>348</v>
      </c>
      <c r="AA6" s="1">
        <v>0</v>
      </c>
      <c r="AB6" s="15" t="s">
        <v>37</v>
      </c>
      <c r="AC6" s="250">
        <f t="array" ref="AC6">SUM(IF(NOT(ISBLANK(Encounter014[Party])), Encounter014[Medium]))</f>
        <v>600</v>
      </c>
    </row>
    <row r="7" spans="1:29" x14ac:dyDescent="0.3">
      <c r="B7" s="158">
        <f ca="1">IFERROR(INDEX(Database[], MATCH(Encounter014[[#This Row],[Character/Creature]], Database[Character/Creature], 0), MATCH(Encounter014[#Headers], Database[#Headers], 0)) + RANDBETWEEN(1,20), "")</f>
        <v>16</v>
      </c>
      <c r="C7" s="145" t="s">
        <v>253</v>
      </c>
      <c r="D7" s="172" t="s">
        <v>455</v>
      </c>
      <c r="E7" s="145" t="str">
        <f>IFERROR(INDEX(Database[], MATCH(Encounter014[[#This Row],[Character/Creature]], Database[Character/Creature], 0), MATCH(Encounter014[#Headers], Database[#Headers], 0)), "")</f>
        <v>(empty)</v>
      </c>
      <c r="F7" s="158">
        <f ca="1">IFERROR(INDEX(Database[], MATCH(Encounter014[[#This Row],[Character/Creature]], Database[Character/Creature], 0), MATCH(Encounter014[#Headers], Database[#Headers], 0)) + RANDBETWEEN(1,20), "")</f>
        <v>16</v>
      </c>
      <c r="G7" s="173">
        <f>IFERROR(INDEX(Database[], MATCH(Encounter014[[#This Row],[Character/Creature]], Database[Character/Creature], 0), MATCH(Encounter014[#Headers], Database[#Headers], 0)), "")</f>
        <v>0</v>
      </c>
      <c r="H7" s="173">
        <f>IFERROR(INDEX(Database[], MATCH(Encounter014[[#This Row],[Character/Creature]], Database[Character/Creature], 0), MATCH(Encounter014[#Headers], Database[#Headers], 0)), "")</f>
        <v>0</v>
      </c>
      <c r="I7" s="145">
        <f>IFERROR(INDEX(Database[], MATCH(Encounter014[[#This Row],[Character/Creature]], Database[Character/Creature], 0), MATCH(Encounter014[#Headers], Database[#Headers], 0)), "")</f>
        <v>0</v>
      </c>
      <c r="J7" s="190"/>
      <c r="K7" s="119">
        <f>IFERROR(INDEX(Database[], MATCH(Encounter014[[#This Row],[Character/Creature]], Database[Character/Creature], 0), MATCH(Encounter014[#Headers], Database[#Headers], 0)), "")</f>
        <v>0</v>
      </c>
      <c r="L7" s="141">
        <v>0</v>
      </c>
      <c r="M7" s="145">
        <f>IFERROR(INDEX(Database[], MATCH(Encounter014[[#This Row],[Character/Creature]], Database[Character/Creature], 0), MATCH(Encounter014[#Headers], Database[#Headers], 0)), "")</f>
        <v>1</v>
      </c>
      <c r="N7" s="189"/>
      <c r="O7" s="145">
        <v>0</v>
      </c>
      <c r="P7" s="146">
        <f>IFERROR(Encounter014[[#This Row],[Base HP]]+Encounter014[Temp HP]-Encounter014[[#This Row],[Dmg Taken]], "")</f>
        <v>1</v>
      </c>
      <c r="Q7" s="136">
        <f>IFERROR(INDEX(Database[], MATCH(Encounter014[[#This Row],[Character/Creature]], Database[Character/Creature], 0), MATCH(Encounter014[#Headers], Database[#Headers], 0)), "")</f>
        <v>3</v>
      </c>
      <c r="R7" s="145">
        <f>INDEX(Encounter_Diff[], MATCH(Encounter014[[#This Row],[Lvl]], Encounter_Diff[Player Level], 0), MATCH(Encounter014[#Headers], Encounter_Diff[#Headers], 0))</f>
        <v>75</v>
      </c>
      <c r="S7" s="145">
        <f>INDEX(Encounter_Diff[], MATCH(Encounter014[[#This Row],[Lvl]], Encounter_Diff[Player Level], 0), MATCH(Encounter014[#Headers], Encounter_Diff[#Headers], 0))</f>
        <v>150</v>
      </c>
      <c r="T7" s="145">
        <f>INDEX(Encounter_Diff[], MATCH(Encounter014[[#This Row],[Lvl]], Encounter_Diff[Player Level], 0), MATCH(Encounter014[#Headers], Encounter_Diff[#Headers], 0))</f>
        <v>225</v>
      </c>
      <c r="U7" s="145">
        <f>INDEX(Encounter_Diff[], MATCH(Encounter014[[#This Row],[Lvl]], Encounter_Diff[Player Level], 0), MATCH(Encounter014[#Headers], Encounter_Diff[#Headers], 0))</f>
        <v>400</v>
      </c>
      <c r="V7" s="149">
        <f>IFERROR(INDEX(Database[], MATCH(Encounter014[[#This Row],[Character/Creature]], Database[Character/Creature], 0), MATCH(Encounter014[#Headers], Database[#Headers], 0)), "")</f>
        <v>0.5</v>
      </c>
      <c r="W7" s="157">
        <f>IF(ISBLANK(Encounter014[Party]), INDEX(ChallengeRating[XP], MATCH(Encounter014[CR], ChallengeRating[Challenge Rating], 0)), 0)</f>
        <v>0</v>
      </c>
      <c r="Y7" s="247" t="s">
        <v>119</v>
      </c>
      <c r="Z7" s="100" t="str">
        <f>IF(encPartyCount&lt;=2,"Small", IF(encPartyCount&lt;=5,"Med", IF(encPartyCount&lt;=8, "Large", "TOO BIG!")))</f>
        <v>Med</v>
      </c>
      <c r="AA7" s="1">
        <f>COUNTA(Encounter014[Party])+encPartyCountMod</f>
        <v>4</v>
      </c>
      <c r="AB7" s="15" t="s">
        <v>38</v>
      </c>
      <c r="AC7" s="251">
        <f t="array" ref="AC7">SUM(IF(NOT(ISBLANK(Encounter014[Party])), Encounter014[Hard]))</f>
        <v>900</v>
      </c>
    </row>
    <row r="8" spans="1:29" ht="21" thickBot="1" x14ac:dyDescent="0.35">
      <c r="B8" s="158">
        <f ca="1">IFERROR(INDEX(Database[], MATCH(Encounter014[[#This Row],[Character/Creature]], Database[Character/Creature], 0), MATCH(Encounter014[#Headers], Database[#Headers], 0)) + RANDBETWEEN(1,20), "")</f>
        <v>11</v>
      </c>
      <c r="C8" s="145" t="s">
        <v>253</v>
      </c>
      <c r="D8" s="172" t="s">
        <v>455</v>
      </c>
      <c r="E8" s="145" t="str">
        <f>IFERROR(INDEX(Database[], MATCH(Encounter014[[#This Row],[Character/Creature]], Database[Character/Creature], 0), MATCH(Encounter014[#Headers], Database[#Headers], 0)), "")</f>
        <v>(empty)</v>
      </c>
      <c r="F8" s="158">
        <f ca="1">IFERROR(INDEX(Database[], MATCH(Encounter014[[#This Row],[Character/Creature]], Database[Character/Creature], 0), MATCH(Encounter014[#Headers], Database[#Headers], 0)) + RANDBETWEEN(1,20), "")</f>
        <v>20</v>
      </c>
      <c r="G8" s="173">
        <f>IFERROR(INDEX(Database[], MATCH(Encounter014[[#This Row],[Character/Creature]], Database[Character/Creature], 0), MATCH(Encounter014[#Headers], Database[#Headers], 0)), "")</f>
        <v>0</v>
      </c>
      <c r="H8" s="173">
        <f>IFERROR(INDEX(Database[], MATCH(Encounter014[[#This Row],[Character/Creature]], Database[Character/Creature], 0), MATCH(Encounter014[#Headers], Database[#Headers], 0)), "")</f>
        <v>0</v>
      </c>
      <c r="I8" s="145">
        <f>IFERROR(INDEX(Database[], MATCH(Encounter014[[#This Row],[Character/Creature]], Database[Character/Creature], 0), MATCH(Encounter014[#Headers], Database[#Headers], 0)), "")</f>
        <v>0</v>
      </c>
      <c r="J8" s="190"/>
      <c r="K8" s="119">
        <f>IFERROR(INDEX(Database[], MATCH(Encounter014[[#This Row],[Character/Creature]], Database[Character/Creature], 0), MATCH(Encounter014[#Headers], Database[#Headers], 0)), "")</f>
        <v>0</v>
      </c>
      <c r="L8" s="141">
        <f>IFERROR(INDEX(Database[], MATCH(Encounter014[[#This Row],[Character/Creature]], Database[Character/Creature], 0), MATCH(Encounter014[#Headers], Database[#Headers], 0)), "")</f>
        <v>0</v>
      </c>
      <c r="M8" s="145">
        <f>IFERROR(INDEX(Database[], MATCH(Encounter014[[#This Row],[Character/Creature]], Database[Character/Creature], 0), MATCH(Encounter014[#Headers], Database[#Headers], 0)), "")</f>
        <v>1</v>
      </c>
      <c r="N8" s="189"/>
      <c r="O8" s="145">
        <f>IFERROR(INDEX(Database[], MATCH(Encounter014[[#This Row],[Character/Creature]], Database[Character/Creature], 0), MATCH(Encounter014[#Headers], Database[#Headers], 0)), "")</f>
        <v>0</v>
      </c>
      <c r="P8" s="146">
        <f>IFERROR(Encounter014[[#This Row],[Base HP]]+Encounter014[Temp HP]-Encounter014[[#This Row],[Dmg Taken]], "")</f>
        <v>1</v>
      </c>
      <c r="Q8" s="136">
        <f>IFERROR(INDEX(Database[], MATCH(Encounter014[[#This Row],[Character/Creature]], Database[Character/Creature], 0), MATCH(Encounter014[#Headers], Database[#Headers], 0)), "")</f>
        <v>3</v>
      </c>
      <c r="R8" s="145">
        <f>INDEX(Encounter_Diff[], MATCH(Encounter014[[#This Row],[Lvl]], Encounter_Diff[Player Level], 0), MATCH(Encounter014[#Headers], Encounter_Diff[#Headers], 0))</f>
        <v>75</v>
      </c>
      <c r="S8" s="145">
        <f>INDEX(Encounter_Diff[], MATCH(Encounter014[[#This Row],[Lvl]], Encounter_Diff[Player Level], 0), MATCH(Encounter014[#Headers], Encounter_Diff[#Headers], 0))</f>
        <v>150</v>
      </c>
      <c r="T8" s="145">
        <f>INDEX(Encounter_Diff[], MATCH(Encounter014[[#This Row],[Lvl]], Encounter_Diff[Player Level], 0), MATCH(Encounter014[#Headers], Encounter_Diff[#Headers], 0))</f>
        <v>225</v>
      </c>
      <c r="U8" s="145">
        <f>INDEX(Encounter_Diff[], MATCH(Encounter014[[#This Row],[Lvl]], Encounter_Diff[Player Level], 0), MATCH(Encounter014[#Headers], Encounter_Diff[#Headers], 0))</f>
        <v>400</v>
      </c>
      <c r="V8" s="149">
        <f>IFERROR(INDEX(Database[], MATCH(Encounter014[[#This Row],[Character/Creature]], Database[Character/Creature], 0), MATCH(Encounter014[#Headers], Database[#Headers], 0)), "")</f>
        <v>0.5</v>
      </c>
      <c r="W8" s="157">
        <f>IF(ISBLANK(Encounter014[Party]), INDEX(ChallengeRating[XP], MATCH(Encounter014[CR], ChallengeRating[Challenge Rating], 0)), 0)</f>
        <v>0</v>
      </c>
      <c r="Y8" s="247"/>
      <c r="Z8" s="100" t="s">
        <v>348</v>
      </c>
      <c r="AA8" s="1">
        <v>0</v>
      </c>
      <c r="AB8" s="16" t="s">
        <v>40</v>
      </c>
      <c r="AC8" s="252">
        <f t="array" ref="AC8">SUM(IF(NOT(ISBLANK(Encounter014[Party])), Encounter014[Deadly]))</f>
        <v>1600</v>
      </c>
    </row>
    <row r="9" spans="1:29" x14ac:dyDescent="0.3">
      <c r="B9" s="158">
        <f ca="1">IFERROR(INDEX(Database[], MATCH(Encounter014[[#This Row],[Character/Creature]], Database[Character/Creature], 0), MATCH(Encounter014[#Headers], Database[#Headers], 0)) + RANDBETWEEN(1,20), "")</f>
        <v>14</v>
      </c>
      <c r="C9" s="145"/>
      <c r="D9" s="172" t="s">
        <v>367</v>
      </c>
      <c r="E9" s="145">
        <f>IFERROR(INDEX(Database[], MATCH(Encounter014[[#This Row],[Character/Creature]], Database[Character/Creature], 0), MATCH(Encounter014[#Headers], Database[#Headers], 0)), "")</f>
        <v>0</v>
      </c>
      <c r="F9" s="158">
        <f ca="1">IFERROR(INDEX(Database[], MATCH(Encounter014[[#This Row],[Character/Creature]], Database[Character/Creature], 0), MATCH(Encounter014[#Headers], Database[#Headers], 0)) + RANDBETWEEN(1,20), "")</f>
        <v>18</v>
      </c>
      <c r="G9" s="173">
        <f>IFERROR(INDEX(Database[], MATCH(Encounter014[[#This Row],[Character/Creature]], Database[Character/Creature], 0), MATCH(Encounter014[#Headers], Database[#Headers], 0)), "")</f>
        <v>10</v>
      </c>
      <c r="H9" s="173">
        <f>IFERROR(INDEX(Database[], MATCH(Encounter014[[#This Row],[Character/Creature]], Database[Character/Creature], 0), MATCH(Encounter014[#Headers], Database[#Headers], 0)), "")</f>
        <v>17</v>
      </c>
      <c r="I9" s="145">
        <f>IFERROR(INDEX(Database[], MATCH(Encounter014[[#This Row],[Character/Creature]], Database[Character/Creature], 0), MATCH(Encounter014[#Headers], Database[#Headers], 0)), "")</f>
        <v>0</v>
      </c>
      <c r="J9" s="190"/>
      <c r="K9" s="119" t="str">
        <f>IFERROR(INDEX(Database[], MATCH(Encounter014[[#This Row],[Character/Creature]], Database[Character/Creature], 0), MATCH(Encounter014[#Headers], Database[#Headers], 0)), "")</f>
        <v xml:space="preserve"> </v>
      </c>
      <c r="L9" s="145">
        <f>IFERROR(INDEX(Database[], MATCH(Encounter014[[#This Row],[Character/Creature]], Database[Character/Creature], 0), MATCH(Encounter014[#Headers], Database[#Headers], 0)), "")</f>
        <v>0</v>
      </c>
      <c r="M9" s="145">
        <f>IFERROR(INDEX(Database[], MATCH(Encounter014[[#This Row],[Character/Creature]], Database[Character/Creature], 0), MATCH(Encounter014[#Headers], Database[#Headers], 0)), "")</f>
        <v>39</v>
      </c>
      <c r="N9" s="189"/>
      <c r="O9" s="145">
        <f>IFERROR(INDEX(Database[], MATCH(Encounter014[[#This Row],[Character/Creature]], Database[Character/Creature], 0), MATCH(Encounter014[#Headers], Database[#Headers], 0)), "")</f>
        <v>0</v>
      </c>
      <c r="P9" s="146">
        <f>IFERROR(Encounter014[[#This Row],[Base HP]]+Encounter014[Temp HP]-Encounter014[[#This Row],[Dmg Taken]], "")</f>
        <v>39</v>
      </c>
      <c r="Q9" s="136">
        <f>IFERROR(INDEX(Database[], MATCH(Encounter014[[#This Row],[Character/Creature]], Database[Character/Creature], 0), MATCH(Encounter014[#Headers], Database[#Headers], 0)), "")</f>
        <v>7</v>
      </c>
      <c r="R9" s="145">
        <f>INDEX(Encounter_Diff[], MATCH(Encounter014[[#This Row],[Lvl]], Encounter_Diff[Player Level], 0), MATCH(Encounter014[#Headers], Encounter_Diff[#Headers], 0))</f>
        <v>350</v>
      </c>
      <c r="S9" s="145">
        <f>INDEX(Encounter_Diff[], MATCH(Encounter014[[#This Row],[Lvl]], Encounter_Diff[Player Level], 0), MATCH(Encounter014[#Headers], Encounter_Diff[#Headers], 0))</f>
        <v>750</v>
      </c>
      <c r="T9" s="145">
        <f>INDEX(Encounter_Diff[], MATCH(Encounter014[[#This Row],[Lvl]], Encounter_Diff[Player Level], 0), MATCH(Encounter014[#Headers], Encounter_Diff[#Headers], 0))</f>
        <v>1100</v>
      </c>
      <c r="U9" s="145">
        <f>INDEX(Encounter_Diff[], MATCH(Encounter014[[#This Row],[Lvl]], Encounter_Diff[Player Level], 0), MATCH(Encounter014[#Headers], Encounter_Diff[#Headers], 0))</f>
        <v>1700</v>
      </c>
      <c r="V9" s="149">
        <f>IFERROR(INDEX(Database[], MATCH(Encounter014[[#This Row],[Character/Creature]], Database[Character/Creature], 0), MATCH(Encounter014[#Headers], Database[#Headers], 0)), "")</f>
        <v>3</v>
      </c>
      <c r="W9" s="157">
        <f>IF(ISBLANK(Encounter014[Party]), INDEX(ChallengeRating[XP], MATCH(Encounter014[CR], ChallengeRating[Challenge Rating], 0)), 0)</f>
        <v>700</v>
      </c>
      <c r="Y9" s="202" t="s">
        <v>31</v>
      </c>
      <c r="Z9" s="243">
        <f>SUM(Encounter014[XP])</f>
        <v>800</v>
      </c>
      <c r="AA9" s="244"/>
    </row>
    <row r="10" spans="1:29" ht="21" thickBot="1" x14ac:dyDescent="0.35">
      <c r="B10" s="158">
        <f ca="1">IFERROR(INDEX(Database[], MATCH(Encounter014[[#This Row],[Character/Creature]], Database[Character/Creature], 0), MATCH(Encounter014[#Headers], Database[#Headers], 0)) + RANDBETWEEN(1,20), "")</f>
        <v>14</v>
      </c>
      <c r="C10" s="145"/>
      <c r="D10" s="172" t="s">
        <v>15</v>
      </c>
      <c r="E10" s="145">
        <f>IFERROR(INDEX(Database[], MATCH(Encounter014[[#This Row],[Character/Creature]], Database[Character/Creature], 0), MATCH(Encounter014[#Headers], Database[#Headers], 0)), "")</f>
        <v>0</v>
      </c>
      <c r="F10" s="158">
        <f ca="1">IFERROR(INDEX(Database[], MATCH(Encounter014[[#This Row],[Character/Creature]], Database[Character/Creature], 0), MATCH(Encounter014[#Headers], Database[#Headers], 0)) + RANDBETWEEN(1,20), "")</f>
        <v>18</v>
      </c>
      <c r="G10" s="173">
        <f>IFERROR(INDEX(Database[], MATCH(Encounter014[[#This Row],[Character/Creature]], Database[Character/Creature], 0), MATCH(Encounter014[#Headers], Database[#Headers], 0)), "")</f>
        <v>9</v>
      </c>
      <c r="H10" s="173">
        <f>IFERROR(INDEX(Database[], MATCH(Encounter014[[#This Row],[Character/Creature]], Database[Character/Creature], 0), MATCH(Encounter014[#Headers], Database[#Headers], 0)), "")</f>
        <v>15</v>
      </c>
      <c r="I10" s="145">
        <f>IFERROR(INDEX(Database[], MATCH(Encounter014[[#This Row],[Character/Creature]], Database[Character/Creature], 0), MATCH(Encounter014[#Headers], Database[#Headers], 0)), "")</f>
        <v>0</v>
      </c>
      <c r="J10" s="190"/>
      <c r="K10" s="119" t="str">
        <f>IFERROR(INDEX(Database[], MATCH(Encounter014[[#This Row],[Character/Creature]], Database[Character/Creature], 0), MATCH(Encounter014[#Headers], Database[#Headers], 0)), "")</f>
        <v xml:space="preserve"> </v>
      </c>
      <c r="L10" s="145">
        <f>IFERROR(INDEX(Database[], MATCH(Encounter014[[#This Row],[Character/Creature]], Database[Character/Creature], 0), MATCH(Encounter014[#Headers], Database[#Headers], 0)), "")</f>
        <v>0</v>
      </c>
      <c r="M10" s="145">
        <f>IFERROR(INDEX(Database[], MATCH(Encounter014[[#This Row],[Character/Creature]], Database[Character/Creature], 0), MATCH(Encounter014[#Headers], Database[#Headers], 0)), "")</f>
        <v>7</v>
      </c>
      <c r="N10" s="189"/>
      <c r="O10" s="145">
        <f>IFERROR(INDEX(Database[], MATCH(Encounter014[[#This Row],[Character/Creature]], Database[Character/Creature], 0), MATCH(Encounter014[#Headers], Database[#Headers], 0)), "")</f>
        <v>0</v>
      </c>
      <c r="P10" s="146">
        <f>IFERROR(Encounter014[[#This Row],[Base HP]]+Encounter014[Temp HP]-Encounter014[[#This Row],[Dmg Taken]], "")</f>
        <v>7</v>
      </c>
      <c r="Q10" s="136">
        <f>IFERROR(INDEX(Database[], MATCH(Encounter014[[#This Row],[Character/Creature]], Database[Character/Creature], 0), MATCH(Encounter014[#Headers], Database[#Headers], 0)), "")</f>
        <v>1</v>
      </c>
      <c r="R10" s="145">
        <f>INDEX(Encounter_Diff[], MATCH(Encounter014[[#This Row],[Lvl]], Encounter_Diff[Player Level], 0), MATCH(Encounter014[#Headers], Encounter_Diff[#Headers], 0))</f>
        <v>25</v>
      </c>
      <c r="S10" s="145">
        <f>INDEX(Encounter_Diff[], MATCH(Encounter014[[#This Row],[Lvl]], Encounter_Diff[Player Level], 0), MATCH(Encounter014[#Headers], Encounter_Diff[#Headers], 0))</f>
        <v>50</v>
      </c>
      <c r="T10" s="145">
        <f>INDEX(Encounter_Diff[], MATCH(Encounter014[[#This Row],[Lvl]], Encounter_Diff[Player Level], 0), MATCH(Encounter014[#Headers], Encounter_Diff[#Headers], 0))</f>
        <v>75</v>
      </c>
      <c r="U10" s="145">
        <f>INDEX(Encounter_Diff[], MATCH(Encounter014[[#This Row],[Lvl]], Encounter_Diff[Player Level], 0), MATCH(Encounter014[#Headers], Encounter_Diff[#Headers], 0))</f>
        <v>100</v>
      </c>
      <c r="V10" s="149">
        <f>IFERROR(INDEX(Database[], MATCH(Encounter014[[#This Row],[Character/Creature]], Database[Character/Creature], 0), MATCH(Encounter014[#Headers], Database[#Headers], 0)), "")</f>
        <v>0.25</v>
      </c>
      <c r="W10" s="157">
        <f>IF(ISBLANK(Encounter014[Party]), INDEX(ChallengeRating[XP], MATCH(Encounter014[CR], ChallengeRating[Challenge Rating], 0)), 0)</f>
        <v>50</v>
      </c>
      <c r="Y10" s="200" t="s">
        <v>32</v>
      </c>
      <c r="Z10" s="245">
        <f>encTotalXP/encPartyCount</f>
        <v>200</v>
      </c>
      <c r="AA10" s="246"/>
    </row>
    <row r="11" spans="1:29" ht="21" thickBot="1" x14ac:dyDescent="0.35">
      <c r="B11" s="158">
        <f ca="1">IFERROR(INDEX(Database[], MATCH(Encounter014[[#This Row],[Character/Creature]], Database[Character/Creature], 0), MATCH(Encounter014[#Headers], Database[#Headers], 0)) + RANDBETWEEN(1,20), "")</f>
        <v>3</v>
      </c>
      <c r="C11" s="145"/>
      <c r="D11" s="172" t="s">
        <v>15</v>
      </c>
      <c r="E11" s="145">
        <f>IFERROR(INDEX(Database[], MATCH(Encounter014[[#This Row],[Character/Creature]], Database[Character/Creature], 0), MATCH(Encounter014[#Headers], Database[#Headers], 0)), "")</f>
        <v>0</v>
      </c>
      <c r="F11" s="158">
        <f ca="1">IFERROR(INDEX(Database[], MATCH(Encounter014[[#This Row],[Character/Creature]], Database[Character/Creature], 0), MATCH(Encounter014[#Headers], Database[#Headers], 0)) + RANDBETWEEN(1,20), "")</f>
        <v>12</v>
      </c>
      <c r="G11" s="173">
        <f>IFERROR(INDEX(Database[], MATCH(Encounter014[[#This Row],[Character/Creature]], Database[Character/Creature], 0), MATCH(Encounter014[#Headers], Database[#Headers], 0)), "")</f>
        <v>9</v>
      </c>
      <c r="H11" s="173">
        <f>IFERROR(INDEX(Database[], MATCH(Encounter014[[#This Row],[Character/Creature]], Database[Character/Creature], 0), MATCH(Encounter014[#Headers], Database[#Headers], 0)), "")</f>
        <v>15</v>
      </c>
      <c r="I11" s="145">
        <f>IFERROR(INDEX(Database[], MATCH(Encounter014[[#This Row],[Character/Creature]], Database[Character/Creature], 0), MATCH(Encounter014[#Headers], Database[#Headers], 0)), "")</f>
        <v>0</v>
      </c>
      <c r="J11" s="190"/>
      <c r="K11" s="119" t="str">
        <f>IFERROR(INDEX(Database[], MATCH(Encounter014[[#This Row],[Character/Creature]], Database[Character/Creature], 0), MATCH(Encounter014[#Headers], Database[#Headers], 0)), "")</f>
        <v xml:space="preserve"> </v>
      </c>
      <c r="L11" s="145">
        <f>IFERROR(INDEX(Database[], MATCH(Encounter014[[#This Row],[Character/Creature]], Database[Character/Creature], 0), MATCH(Encounter014[#Headers], Database[#Headers], 0)), "")</f>
        <v>0</v>
      </c>
      <c r="M11" s="145">
        <f>IFERROR(INDEX(Database[], MATCH(Encounter014[[#This Row],[Character/Creature]], Database[Character/Creature], 0), MATCH(Encounter014[#Headers], Database[#Headers], 0)), "")</f>
        <v>7</v>
      </c>
      <c r="N11" s="189"/>
      <c r="O11" s="145">
        <f>IFERROR(INDEX(Database[], MATCH(Encounter014[[#This Row],[Character/Creature]], Database[Character/Creature], 0), MATCH(Encounter014[#Headers], Database[#Headers], 0)), "")</f>
        <v>0</v>
      </c>
      <c r="P11" s="146">
        <f>IFERROR(Encounter014[[#This Row],[Base HP]]+Encounter014[Temp HP]-Encounter014[[#This Row],[Dmg Taken]], "")</f>
        <v>7</v>
      </c>
      <c r="Q11" s="136">
        <f>IFERROR(INDEX(Database[], MATCH(Encounter014[[#This Row],[Character/Creature]], Database[Character/Creature], 0), MATCH(Encounter014[#Headers], Database[#Headers], 0)), "")</f>
        <v>1</v>
      </c>
      <c r="R11" s="145">
        <f>INDEX(Encounter_Diff[], MATCH(Encounter014[[#This Row],[Lvl]], Encounter_Diff[Player Level], 0), MATCH(Encounter014[#Headers], Encounter_Diff[#Headers], 0))</f>
        <v>25</v>
      </c>
      <c r="S11" s="145">
        <f>INDEX(Encounter_Diff[], MATCH(Encounter014[[#This Row],[Lvl]], Encounter_Diff[Player Level], 0), MATCH(Encounter014[#Headers], Encounter_Diff[#Headers], 0))</f>
        <v>50</v>
      </c>
      <c r="T11" s="145">
        <f>INDEX(Encounter_Diff[], MATCH(Encounter014[[#This Row],[Lvl]], Encounter_Diff[Player Level], 0), MATCH(Encounter014[#Headers], Encounter_Diff[#Headers], 0))</f>
        <v>75</v>
      </c>
      <c r="U11" s="145">
        <f>INDEX(Encounter_Diff[], MATCH(Encounter014[[#This Row],[Lvl]], Encounter_Diff[Player Level], 0), MATCH(Encounter014[#Headers], Encounter_Diff[#Headers], 0))</f>
        <v>100</v>
      </c>
      <c r="V11" s="149">
        <f>IFERROR(INDEX(Database[], MATCH(Encounter014[[#This Row],[Character/Creature]], Database[Character/Creature], 0), MATCH(Encounter014[#Headers], Database[#Headers], 0)), "")</f>
        <v>0.25</v>
      </c>
      <c r="W11" s="157">
        <f>IF(ISBLANK(Encounter014[Party]), INDEX(ChallengeRating[XP], MATCH(Encounter014[CR], ChallengeRating[Challenge Rating], 0)), 0)</f>
        <v>50</v>
      </c>
    </row>
    <row r="12" spans="1:29" ht="21" thickBot="1" x14ac:dyDescent="0.35">
      <c r="Y12" s="238" t="s">
        <v>240</v>
      </c>
      <c r="Z12" s="239"/>
      <c r="AA12" s="240"/>
    </row>
    <row r="13" spans="1:29" ht="30" x14ac:dyDescent="0.3">
      <c r="Y13" s="235" t="s">
        <v>235</v>
      </c>
      <c r="Z13" s="101" t="s">
        <v>242</v>
      </c>
      <c r="AA13" s="153">
        <f t="array" ref="AA13">AVERAGE(IF(ISBLANK(Encounter014[Party]), Encounter014[Pass Perc]))</f>
        <v>9.3333333333333339</v>
      </c>
    </row>
    <row r="14" spans="1:29" ht="30" x14ac:dyDescent="0.3">
      <c r="Y14" s="236"/>
      <c r="Z14" s="114" t="s">
        <v>243</v>
      </c>
      <c r="AA14" s="153"/>
    </row>
    <row r="15" spans="1:29" ht="21" thickBot="1" x14ac:dyDescent="0.35">
      <c r="Y15" s="237"/>
      <c r="Z15" s="122" t="s">
        <v>235</v>
      </c>
      <c r="AA15" s="154">
        <f t="array" aca="1" ref="AA15" ca="1">AVERAGE(IF(NOT(ISBLANK(Encounter014[Party])), Encounter014[Stealth]))</f>
        <v>12</v>
      </c>
    </row>
    <row r="16" spans="1:29" x14ac:dyDescent="0.3">
      <c r="Y16" s="235" t="s">
        <v>239</v>
      </c>
      <c r="Z16" s="120" t="s">
        <v>239</v>
      </c>
      <c r="AA16" s="155">
        <f t="array" aca="1" ref="AA16" ca="1">AVERAGE(IF(ISBLANK(Encounter014[Party]), Encounter014[Stealth]))</f>
        <v>16</v>
      </c>
    </row>
    <row r="17" spans="25:27" ht="30" x14ac:dyDescent="0.3">
      <c r="Y17" s="236"/>
      <c r="Z17" s="123" t="s">
        <v>237</v>
      </c>
      <c r="AA17" s="151">
        <f t="array" ref="AA17">AVERAGE(IF(NOT(ISBLANK(Encounter014[Party])), Encounter014[Pass Perc]))</f>
        <v>0</v>
      </c>
    </row>
    <row r="18" spans="25:27" ht="30.75" thickBot="1" x14ac:dyDescent="0.35">
      <c r="Y18" s="237"/>
      <c r="Z18" s="124" t="s">
        <v>238</v>
      </c>
      <c r="AA18" s="152"/>
    </row>
    <row r="19" spans="25:27" x14ac:dyDescent="0.3">
      <c r="Y19" s="235" t="s">
        <v>241</v>
      </c>
      <c r="Z19" s="121" t="s">
        <v>111</v>
      </c>
      <c r="AA19" s="155"/>
    </row>
    <row r="20" spans="25:27" ht="21" thickBot="1" x14ac:dyDescent="0.35">
      <c r="Y20" s="237"/>
      <c r="Z20" s="125" t="s">
        <v>236</v>
      </c>
      <c r="AA20" s="156"/>
    </row>
  </sheetData>
  <mergeCells count="17">
    <mergeCell ref="Z10:AA10"/>
    <mergeCell ref="Y12:AA12"/>
    <mergeCell ref="Y13:Y15"/>
    <mergeCell ref="Y16:Y18"/>
    <mergeCell ref="Y19:Y20"/>
    <mergeCell ref="Y3:AA3"/>
    <mergeCell ref="AB3:AC3"/>
    <mergeCell ref="Z4:AA4"/>
    <mergeCell ref="Y5:Y6"/>
    <mergeCell ref="Y7:Y8"/>
    <mergeCell ref="Z9:AA9"/>
    <mergeCell ref="B2:P2"/>
    <mergeCell ref="Q2:V2"/>
    <mergeCell ref="B3:E3"/>
    <mergeCell ref="F3:K3"/>
    <mergeCell ref="L3:P3"/>
    <mergeCell ref="Q3:W3"/>
  </mergeCells>
  <conditionalFormatting sqref="Q2 W2">
    <cfRule type="expression" dxfId="41" priority="1">
      <formula>$W$2&gt;0</formula>
    </cfRule>
  </conditionalFormatting>
  <conditionalFormatting sqref="K5:M11 O5:W11 B5:I11">
    <cfRule type="expression" dxfId="40" priority="2">
      <formula>ROUND($P5,0)&lt;1</formula>
    </cfRule>
    <cfRule type="expression" dxfId="39" priority="3">
      <formula>AND( NOT( OR( ISBLANK(#REF!), #REF!="")), NOT( OR( ISBLANK($D5), $D5="", $D5 = 0)))</formula>
    </cfRule>
    <cfRule type="expression" dxfId="38" priority="4">
      <formula>$E5="NPC"</formula>
    </cfRule>
    <cfRule type="expression" dxfId="37" priority="5">
      <formula>AND( NOT( OR( ISBLANK($C5), $C5="")), NOT( OR( ISBLANK($D5), $D5="", $D5 = 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encStart">
              <controlPr defaultSize="0" print="0" autoFill="0" autoPict="0" macro="[0]!encounterStart">
                <anchor moveWithCells="1" sizeWithCells="1">
                  <from>
                    <xdr:col>1</xdr:col>
                    <xdr:colOff>95250</xdr:colOff>
                    <xdr:row>1</xdr:row>
                    <xdr:rowOff>76200</xdr:rowOff>
                  </from>
                  <to>
                    <xdr:col>2</xdr:col>
                    <xdr:colOff>228600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encClear">
              <controlPr defaultSize="0" print="0" autoFill="0" autoPict="0" macro="[0]!encounterClear">
                <anchor moveWithCells="1" sizeWithCells="1">
                  <from>
                    <xdr:col>3</xdr:col>
                    <xdr:colOff>466725</xdr:colOff>
                    <xdr:row>1</xdr:row>
                    <xdr:rowOff>76200</xdr:rowOff>
                  </from>
                  <to>
                    <xdr:col>3</xdr:col>
                    <xdr:colOff>1104900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encSave">
              <controlPr defaultSize="0" print="0" autoFill="0" autoPict="0" macro="[0]!dataSaveAll">
                <anchor moveWithCells="1" sizeWithCells="1">
                  <from>
                    <xdr:col>13</xdr:col>
                    <xdr:colOff>295275</xdr:colOff>
                    <xdr:row>1</xdr:row>
                    <xdr:rowOff>76200</xdr:rowOff>
                  </from>
                  <to>
                    <xdr:col>14</xdr:col>
                    <xdr:colOff>447675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encNew">
              <controlPr defaultSize="0" print="0" autoFill="0" autoPict="0" macro="[0]!encounterNew">
                <anchor moveWithCells="1" sizeWithCells="1">
                  <from>
                    <xdr:col>12</xdr:col>
                    <xdr:colOff>209550</xdr:colOff>
                    <xdr:row>1</xdr:row>
                    <xdr:rowOff>76200</xdr:rowOff>
                  </from>
                  <to>
                    <xdr:col>13</xdr:col>
                    <xdr:colOff>247650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encEnd">
              <controlPr defaultSize="0" print="0" autoFill="0" autoPict="0" macro="[0]!encounterEnd">
                <anchor moveWithCells="1" sizeWithCells="1">
                  <from>
                    <xdr:col>14</xdr:col>
                    <xdr:colOff>495300</xdr:colOff>
                    <xdr:row>1</xdr:row>
                    <xdr:rowOff>76200</xdr:rowOff>
                  </from>
                  <to>
                    <xdr:col>15</xdr:col>
                    <xdr:colOff>533400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encReload">
              <controlPr defaultSize="0" print="0" autoFill="0" autoPict="0" macro="[0]!encounterReloadAll">
                <anchor moveWithCells="1" sizeWithCells="1">
                  <from>
                    <xdr:col>2</xdr:col>
                    <xdr:colOff>266700</xdr:colOff>
                    <xdr:row>1</xdr:row>
                    <xdr:rowOff>76200</xdr:rowOff>
                  </from>
                  <to>
                    <xdr:col>3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569E1E-081F-49F3-AC76-7ED3AAF81F28}">
          <x14:formula1>
            <xm:f>Database!$E$4:$E$171</xm:f>
          </x14:formula1>
          <xm:sqref>D5:D11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113</vt:i4>
      </vt:variant>
    </vt:vector>
  </HeadingPairs>
  <TitlesOfParts>
    <vt:vector size="123" baseType="lpstr">
      <vt:lpstr>Calc Tables</vt:lpstr>
      <vt:lpstr>Database</vt:lpstr>
      <vt:lpstr>Party Power</vt:lpstr>
      <vt:lpstr>Encounter Template</vt:lpstr>
      <vt:lpstr>1) Cave Mouth</vt:lpstr>
      <vt:lpstr>_1) Cave Mouth</vt:lpstr>
      <vt:lpstr>2) Kennel</vt:lpstr>
      <vt:lpstr>3) Passageway</vt:lpstr>
      <vt:lpstr>4) The Dams</vt:lpstr>
      <vt:lpstr>5) Living Quarters</vt:lpstr>
      <vt:lpstr>'_1) Cave Mouth'!encCalc</vt:lpstr>
      <vt:lpstr>'1) Cave Mouth'!encCalc</vt:lpstr>
      <vt:lpstr>'2) Kennel'!encCalc</vt:lpstr>
      <vt:lpstr>'3) Passageway'!encCalc</vt:lpstr>
      <vt:lpstr>'4) The Dams'!encCalc</vt:lpstr>
      <vt:lpstr>'5) Living Quarters'!encCalc</vt:lpstr>
      <vt:lpstr>encCalc</vt:lpstr>
      <vt:lpstr>'_1) Cave Mouth'!encDeadly</vt:lpstr>
      <vt:lpstr>'1) Cave Mouth'!encDeadly</vt:lpstr>
      <vt:lpstr>'2) Kennel'!encDeadly</vt:lpstr>
      <vt:lpstr>'3) Passageway'!encDeadly</vt:lpstr>
      <vt:lpstr>'4) The Dams'!encDeadly</vt:lpstr>
      <vt:lpstr>'5) Living Quarters'!encDeadly</vt:lpstr>
      <vt:lpstr>encDeadly</vt:lpstr>
      <vt:lpstr>'_1) Cave Mouth'!encDiff</vt:lpstr>
      <vt:lpstr>'1) Cave Mouth'!encDiff</vt:lpstr>
      <vt:lpstr>'2) Kennel'!encDiff</vt:lpstr>
      <vt:lpstr>'3) Passageway'!encDiff</vt:lpstr>
      <vt:lpstr>'4) The Dams'!encDiff</vt:lpstr>
      <vt:lpstr>'5) Living Quarters'!encDiff</vt:lpstr>
      <vt:lpstr>encDiff</vt:lpstr>
      <vt:lpstr>'_1) Cave Mouth'!encEasy</vt:lpstr>
      <vt:lpstr>'1) Cave Mouth'!encEasy</vt:lpstr>
      <vt:lpstr>'2) Kennel'!encEasy</vt:lpstr>
      <vt:lpstr>'3) Passageway'!encEasy</vt:lpstr>
      <vt:lpstr>'4) The Dams'!encEasy</vt:lpstr>
      <vt:lpstr>'5) Living Quarters'!encEasy</vt:lpstr>
      <vt:lpstr>encEasy</vt:lpstr>
      <vt:lpstr>'_1) Cave Mouth'!encHard</vt:lpstr>
      <vt:lpstr>'1) Cave Mouth'!encHard</vt:lpstr>
      <vt:lpstr>'2) Kennel'!encHard</vt:lpstr>
      <vt:lpstr>'3) Passageway'!encHard</vt:lpstr>
      <vt:lpstr>'4) The Dams'!encHard</vt:lpstr>
      <vt:lpstr>'5) Living Quarters'!encHard</vt:lpstr>
      <vt:lpstr>encHard</vt:lpstr>
      <vt:lpstr>'_1) Cave Mouth'!encMed</vt:lpstr>
      <vt:lpstr>'1) Cave Mouth'!encMed</vt:lpstr>
      <vt:lpstr>'2) Kennel'!encMed</vt:lpstr>
      <vt:lpstr>'3) Passageway'!encMed</vt:lpstr>
      <vt:lpstr>'4) The Dams'!encMed</vt:lpstr>
      <vt:lpstr>'5) Living Quarters'!encMed</vt:lpstr>
      <vt:lpstr>encMed</vt:lpstr>
      <vt:lpstr>'_1) Cave Mouth'!encMobCount</vt:lpstr>
      <vt:lpstr>'1) Cave Mouth'!encMobCount</vt:lpstr>
      <vt:lpstr>'2) Kennel'!encMobCount</vt:lpstr>
      <vt:lpstr>'3) Passageway'!encMobCount</vt:lpstr>
      <vt:lpstr>'4) The Dams'!encMobCount</vt:lpstr>
      <vt:lpstr>'5) Living Quarters'!encMobCount</vt:lpstr>
      <vt:lpstr>encMobCount</vt:lpstr>
      <vt:lpstr>'_1) Cave Mouth'!encMobCountMod</vt:lpstr>
      <vt:lpstr>'1) Cave Mouth'!encMobCountMod</vt:lpstr>
      <vt:lpstr>'2) Kennel'!encMobCountMod</vt:lpstr>
      <vt:lpstr>'3) Passageway'!encMobCountMod</vt:lpstr>
      <vt:lpstr>'4) The Dams'!encMobCountMod</vt:lpstr>
      <vt:lpstr>'5) Living Quarters'!encMobCountMod</vt:lpstr>
      <vt:lpstr>encMobCountMod</vt:lpstr>
      <vt:lpstr>'_1) Cave Mouth'!encMobSize</vt:lpstr>
      <vt:lpstr>'1) Cave Mouth'!encMobSize</vt:lpstr>
      <vt:lpstr>'2) Kennel'!encMobSize</vt:lpstr>
      <vt:lpstr>'3) Passageway'!encMobSize</vt:lpstr>
      <vt:lpstr>'4) The Dams'!encMobSize</vt:lpstr>
      <vt:lpstr>'5) Living Quarters'!encMobSize</vt:lpstr>
      <vt:lpstr>encMobSize</vt:lpstr>
      <vt:lpstr>'_1) Cave Mouth'!encPartyCount</vt:lpstr>
      <vt:lpstr>'1) Cave Mouth'!encPartyCount</vt:lpstr>
      <vt:lpstr>'2) Kennel'!encPartyCount</vt:lpstr>
      <vt:lpstr>'3) Passageway'!encPartyCount</vt:lpstr>
      <vt:lpstr>'4) The Dams'!encPartyCount</vt:lpstr>
      <vt:lpstr>'5) Living Quarters'!encPartyCount</vt:lpstr>
      <vt:lpstr>encPartyCount</vt:lpstr>
      <vt:lpstr>'_1) Cave Mouth'!encPartyCountMod</vt:lpstr>
      <vt:lpstr>'1) Cave Mouth'!encPartyCountMod</vt:lpstr>
      <vt:lpstr>'2) Kennel'!encPartyCountMod</vt:lpstr>
      <vt:lpstr>'3) Passageway'!encPartyCountMod</vt:lpstr>
      <vt:lpstr>'4) The Dams'!encPartyCountMod</vt:lpstr>
      <vt:lpstr>'5) Living Quarters'!encPartyCountMod</vt:lpstr>
      <vt:lpstr>encPartyCountMod</vt:lpstr>
      <vt:lpstr>'_1) Cave Mouth'!encPartySize</vt:lpstr>
      <vt:lpstr>'1) Cave Mouth'!encPartySize</vt:lpstr>
      <vt:lpstr>'2) Kennel'!encPartySize</vt:lpstr>
      <vt:lpstr>'3) Passageway'!encPartySize</vt:lpstr>
      <vt:lpstr>'4) The Dams'!encPartySize</vt:lpstr>
      <vt:lpstr>'5) Living Quarters'!encPartySize</vt:lpstr>
      <vt:lpstr>encPartySize</vt:lpstr>
      <vt:lpstr>'_1) Cave Mouth'!encPerXP</vt:lpstr>
      <vt:lpstr>'1) Cave Mouth'!encPerXP</vt:lpstr>
      <vt:lpstr>'2) Kennel'!encPerXP</vt:lpstr>
      <vt:lpstr>'3) Passageway'!encPerXP</vt:lpstr>
      <vt:lpstr>'4) The Dams'!encPerXP</vt:lpstr>
      <vt:lpstr>'5) Living Quarters'!encPerXP</vt:lpstr>
      <vt:lpstr>encPerXP</vt:lpstr>
      <vt:lpstr>'_1) Cave Mouth'!encTotalXP</vt:lpstr>
      <vt:lpstr>'1) Cave Mouth'!encTotalXP</vt:lpstr>
      <vt:lpstr>'2) Kennel'!encTotalXP</vt:lpstr>
      <vt:lpstr>'3) Passageway'!encTotalXP</vt:lpstr>
      <vt:lpstr>'4) The Dams'!encTotalXP</vt:lpstr>
      <vt:lpstr>'5) Living Quarters'!encTotalXP</vt:lpstr>
      <vt:lpstr>encTotalXP</vt:lpstr>
      <vt:lpstr>mult1v1</vt:lpstr>
      <vt:lpstr>'_1) Cave Mouth'!roundLabel</vt:lpstr>
      <vt:lpstr>'1) Cave Mouth'!roundLabel</vt:lpstr>
      <vt:lpstr>'2) Kennel'!roundLabel</vt:lpstr>
      <vt:lpstr>'3) Passageway'!roundLabel</vt:lpstr>
      <vt:lpstr>'4) The Dams'!roundLabel</vt:lpstr>
      <vt:lpstr>'5) Living Quarters'!roundLabel</vt:lpstr>
      <vt:lpstr>roundLabel</vt:lpstr>
      <vt:lpstr>'_1) Cave Mouth'!roundNo</vt:lpstr>
      <vt:lpstr>'1) Cave Mouth'!roundNo</vt:lpstr>
      <vt:lpstr>'2) Kennel'!roundNo</vt:lpstr>
      <vt:lpstr>'3) Passageway'!roundNo</vt:lpstr>
      <vt:lpstr>'4) The Dams'!roundNo</vt:lpstr>
      <vt:lpstr>'5) Living Quarters'!roundNo</vt:lpstr>
      <vt:lpstr>roundNo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Calvin Jee</cp:lastModifiedBy>
  <dcterms:created xsi:type="dcterms:W3CDTF">2017-05-21T17:10:54Z</dcterms:created>
  <dcterms:modified xsi:type="dcterms:W3CDTF">2018-05-20T07:12:25Z</dcterms:modified>
</cp:coreProperties>
</file>